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xceline-my.sharepoint.com/personal/celine_celinetytgadt_com/Documents/Documenten/Claude Cowork/boekhoudapp/"/>
    </mc:Choice>
  </mc:AlternateContent>
  <xr:revisionPtr revIDLastSave="123" documentId="11_40EB6DB3EFFA1041F75C1B152511CB3CC74B0D8E" xr6:coauthVersionLast="47" xr6:coauthVersionMax="47" xr10:uidLastSave="{688B841F-12C6-4124-B9E8-CE549ED0FF48}"/>
  <bookViews>
    <workbookView xWindow="-110" yWindow="-110" windowWidth="19420" windowHeight="11500" tabRatio="500" xr2:uid="{00000000-000D-0000-FFFF-FFFF00000000}"/>
  </bookViews>
  <sheets>
    <sheet name="1. Journaal" sheetId="1" r:id="rId1"/>
    <sheet name="2. Proef- en saldibalans" sheetId="2" r:id="rId2"/>
    <sheet name="3. Resultatenrekening" sheetId="3" r:id="rId3"/>
    <sheet name="4. Eindbalans" sheetId="4" r:id="rId4"/>
    <sheet name="5. Documenten" sheetId="5" r:id="rId5"/>
    <sheet name="6. Controles" sheetId="6" r:id="rId6"/>
    <sheet name="7. Aflossingstabel" sheetId="7" r:id="rId7"/>
  </sheets>
  <definedNames>
    <definedName name="_xlnm._FilterDatabase" localSheetId="0" hidden="1">'1. Journaal'!$A$3:$G$185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4" i="1" l="1"/>
  <c r="E143" i="1"/>
  <c r="F141" i="1"/>
  <c r="F19" i="1"/>
  <c r="E96" i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J16" i="7"/>
  <c r="E16" i="7"/>
  <c r="E15" i="7"/>
  <c r="E14" i="7"/>
  <c r="E13" i="7"/>
  <c r="E12" i="7"/>
  <c r="E11" i="7"/>
  <c r="E10" i="7"/>
  <c r="B10" i="7"/>
  <c r="B11" i="7" s="1"/>
  <c r="E9" i="7"/>
  <c r="D9" i="7"/>
  <c r="H9" i="7" s="1"/>
  <c r="D10" i="7" s="1"/>
  <c r="C9" i="7"/>
  <c r="B9" i="7"/>
  <c r="H8" i="7"/>
  <c r="F8" i="7"/>
  <c r="E8" i="7"/>
  <c r="D8" i="7"/>
  <c r="C8" i="7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F188" i="1"/>
  <c r="E188" i="1"/>
  <c r="F5" i="2" l="1"/>
  <c r="F29" i="2"/>
  <c r="F53" i="2"/>
  <c r="F45" i="2"/>
  <c r="F30" i="2"/>
  <c r="F38" i="2"/>
  <c r="F46" i="2"/>
  <c r="F54" i="2"/>
  <c r="F23" i="2"/>
  <c r="G31" i="2"/>
  <c r="F39" i="2"/>
  <c r="G47" i="2"/>
  <c r="G55" i="2"/>
  <c r="F22" i="2"/>
  <c r="F17" i="2"/>
  <c r="B17" i="6" s="1"/>
  <c r="F8" i="2"/>
  <c r="F16" i="2"/>
  <c r="B11" i="6" s="1"/>
  <c r="B12" i="6"/>
  <c r="F50" i="2"/>
  <c r="F14" i="2"/>
  <c r="G15" i="2"/>
  <c r="F9" i="2"/>
  <c r="F7" i="2"/>
  <c r="F24" i="2"/>
  <c r="F32" i="2"/>
  <c r="B9" i="6" s="1"/>
  <c r="F48" i="2"/>
  <c r="F56" i="2"/>
  <c r="F25" i="2"/>
  <c r="F33" i="2"/>
  <c r="B10" i="6" s="1"/>
  <c r="F49" i="2"/>
  <c r="F37" i="2"/>
  <c r="G11" i="2"/>
  <c r="G43" i="2"/>
  <c r="G54" i="2"/>
  <c r="G34" i="2"/>
  <c r="G42" i="2"/>
  <c r="G50" i="2"/>
  <c r="G51" i="2"/>
  <c r="G38" i="2"/>
  <c r="C7" i="3" s="1"/>
  <c r="G25" i="2"/>
  <c r="G39" i="2"/>
  <c r="G48" i="2"/>
  <c r="F10" i="2"/>
  <c r="F18" i="2"/>
  <c r="F26" i="2"/>
  <c r="F42" i="2"/>
  <c r="G21" i="2"/>
  <c r="G46" i="2"/>
  <c r="C15" i="3" s="1"/>
  <c r="G32" i="2"/>
  <c r="B4" i="6"/>
  <c r="F11" i="2"/>
  <c r="G19" i="2"/>
  <c r="F35" i="2"/>
  <c r="F43" i="2"/>
  <c r="G13" i="2"/>
  <c r="G29" i="2"/>
  <c r="D29" i="4" s="1"/>
  <c r="F4" i="2"/>
  <c r="F12" i="2"/>
  <c r="F20" i="2"/>
  <c r="F36" i="2"/>
  <c r="F44" i="2"/>
  <c r="G37" i="2"/>
  <c r="G17" i="2"/>
  <c r="F52" i="2"/>
  <c r="G33" i="2"/>
  <c r="E57" i="2"/>
  <c r="F27" i="2"/>
  <c r="F34" i="2"/>
  <c r="C34" i="4" s="1"/>
  <c r="F40" i="2"/>
  <c r="G53" i="2"/>
  <c r="G9" i="2"/>
  <c r="C9" i="4" s="1"/>
  <c r="F6" i="2"/>
  <c r="F13" i="2"/>
  <c r="G20" i="2"/>
  <c r="F55" i="2"/>
  <c r="G49" i="2"/>
  <c r="E189" i="1"/>
  <c r="G45" i="2"/>
  <c r="C14" i="3" s="1"/>
  <c r="F21" i="2"/>
  <c r="F28" i="2"/>
  <c r="G41" i="2"/>
  <c r="H10" i="7"/>
  <c r="D11" i="7" s="1"/>
  <c r="F10" i="7"/>
  <c r="B12" i="7"/>
  <c r="C11" i="7"/>
  <c r="G30" i="2"/>
  <c r="G7" i="2"/>
  <c r="G26" i="2"/>
  <c r="G35" i="2"/>
  <c r="G12" i="2"/>
  <c r="F31" i="2"/>
  <c r="D31" i="4" s="1"/>
  <c r="G40" i="2"/>
  <c r="F9" i="7"/>
  <c r="G9" i="7" s="1"/>
  <c r="G8" i="2"/>
  <c r="G36" i="2"/>
  <c r="G16" i="2"/>
  <c r="G18" i="2"/>
  <c r="G27" i="2"/>
  <c r="F41" i="2"/>
  <c r="G44" i="2"/>
  <c r="G14" i="2"/>
  <c r="G23" i="2"/>
  <c r="C10" i="7"/>
  <c r="G22" i="2"/>
  <c r="G4" i="2"/>
  <c r="F19" i="2"/>
  <c r="F51" i="2"/>
  <c r="G28" i="2"/>
  <c r="G10" i="2"/>
  <c r="G10" i="7"/>
  <c r="G5" i="2"/>
  <c r="D5" i="4" s="1"/>
  <c r="G24" i="2"/>
  <c r="F47" i="2"/>
  <c r="G56" i="2"/>
  <c r="F15" i="2"/>
  <c r="G6" i="2"/>
  <c r="D57" i="2"/>
  <c r="G8" i="7"/>
  <c r="G52" i="2"/>
  <c r="C16" i="3" l="1"/>
  <c r="D20" i="3"/>
  <c r="C17" i="4"/>
  <c r="D21" i="3"/>
  <c r="C16" i="4"/>
  <c r="C11" i="4"/>
  <c r="D30" i="4"/>
  <c r="C12" i="3"/>
  <c r="D22" i="3"/>
  <c r="C8" i="3"/>
  <c r="D23" i="4"/>
  <c r="B5" i="6"/>
  <c r="C14" i="4"/>
  <c r="C28" i="3"/>
  <c r="C15" i="4"/>
  <c r="C20" i="4"/>
  <c r="D23" i="3"/>
  <c r="C8" i="4"/>
  <c r="C32" i="4"/>
  <c r="C17" i="3"/>
  <c r="D24" i="4"/>
  <c r="C33" i="4"/>
  <c r="C6" i="3"/>
  <c r="C11" i="3"/>
  <c r="C18" i="3"/>
  <c r="C18" i="4"/>
  <c r="C5" i="3"/>
  <c r="C13" i="4"/>
  <c r="D25" i="4"/>
  <c r="D26" i="4"/>
  <c r="D21" i="4"/>
  <c r="D6" i="4"/>
  <c r="C12" i="4"/>
  <c r="C13" i="3"/>
  <c r="C31" i="3"/>
  <c r="C4" i="3"/>
  <c r="C10" i="4"/>
  <c r="C9" i="3"/>
  <c r="C19" i="4"/>
  <c r="D19" i="3"/>
  <c r="D27" i="4"/>
  <c r="D28" i="4"/>
  <c r="C10" i="3"/>
  <c r="B13" i="6"/>
  <c r="F57" i="2"/>
  <c r="D4" i="4"/>
  <c r="G57" i="2"/>
  <c r="B16" i="6"/>
  <c r="D22" i="4"/>
  <c r="B15" i="6"/>
  <c r="D7" i="4"/>
  <c r="B14" i="6"/>
  <c r="F11" i="7"/>
  <c r="G11" i="7" s="1"/>
  <c r="H11" i="7"/>
  <c r="D12" i="7" s="1"/>
  <c r="B13" i="7"/>
  <c r="C12" i="7"/>
  <c r="D25" i="3" l="1"/>
  <c r="C35" i="4"/>
  <c r="C25" i="3"/>
  <c r="B6" i="6"/>
  <c r="H12" i="7"/>
  <c r="D13" i="7" s="1"/>
  <c r="F12" i="7"/>
  <c r="G12" i="7" s="1"/>
  <c r="D35" i="4"/>
  <c r="B14" i="7"/>
  <c r="C13" i="7"/>
  <c r="C27" i="3" l="1"/>
  <c r="C29" i="3" s="1"/>
  <c r="B8" i="6" s="1"/>
  <c r="B7" i="6"/>
  <c r="H13" i="7"/>
  <c r="D14" i="7" s="1"/>
  <c r="F13" i="7"/>
  <c r="G13" i="7" s="1"/>
  <c r="B15" i="7"/>
  <c r="C14" i="7"/>
  <c r="C15" i="7" l="1"/>
  <c r="B16" i="7"/>
  <c r="F14" i="7"/>
  <c r="G14" i="7" s="1"/>
  <c r="H14" i="7"/>
  <c r="D15" i="7" s="1"/>
  <c r="H15" i="7" l="1"/>
  <c r="D16" i="7" s="1"/>
  <c r="F15" i="7"/>
  <c r="G15" i="7" s="1"/>
  <c r="C16" i="7"/>
  <c r="B17" i="7"/>
  <c r="C17" i="7" l="1"/>
  <c r="B18" i="7"/>
  <c r="H16" i="7"/>
  <c r="D17" i="7" s="1"/>
  <c r="F16" i="7"/>
  <c r="G16" i="7" s="1"/>
  <c r="B19" i="7" l="1"/>
  <c r="C18" i="7"/>
  <c r="F17" i="7"/>
  <c r="G17" i="7" s="1"/>
  <c r="H17" i="7"/>
  <c r="D18" i="7" s="1"/>
  <c r="B20" i="7" l="1"/>
  <c r="C19" i="7"/>
  <c r="F18" i="7"/>
  <c r="G18" i="7" s="1"/>
  <c r="H18" i="7"/>
  <c r="D19" i="7" s="1"/>
  <c r="F19" i="7" l="1"/>
  <c r="G19" i="7" s="1"/>
  <c r="H19" i="7"/>
  <c r="D20" i="7" s="1"/>
  <c r="B21" i="7"/>
  <c r="C20" i="7"/>
  <c r="B22" i="7" l="1"/>
  <c r="C21" i="7"/>
  <c r="H20" i="7"/>
  <c r="D21" i="7" s="1"/>
  <c r="F20" i="7"/>
  <c r="G20" i="7" s="1"/>
  <c r="H21" i="7" l="1"/>
  <c r="D22" i="7" s="1"/>
  <c r="F21" i="7"/>
  <c r="G21" i="7" s="1"/>
  <c r="B23" i="7"/>
  <c r="C22" i="7"/>
  <c r="B24" i="7" l="1"/>
  <c r="C23" i="7"/>
  <c r="H22" i="7"/>
  <c r="D23" i="7" s="1"/>
  <c r="F22" i="7"/>
  <c r="G22" i="7" s="1"/>
  <c r="F23" i="7" l="1"/>
  <c r="G23" i="7" s="1"/>
  <c r="H23" i="7"/>
  <c r="D24" i="7" s="1"/>
  <c r="C24" i="7"/>
  <c r="B25" i="7"/>
  <c r="C25" i="7" l="1"/>
  <c r="B26" i="7"/>
  <c r="H24" i="7"/>
  <c r="D25" i="7" s="1"/>
  <c r="F24" i="7"/>
  <c r="G24" i="7" s="1"/>
  <c r="H25" i="7" l="1"/>
  <c r="D26" i="7" s="1"/>
  <c r="F25" i="7"/>
  <c r="G25" i="7" s="1"/>
  <c r="B27" i="7"/>
  <c r="C26" i="7"/>
  <c r="B28" i="7" l="1"/>
  <c r="C27" i="7"/>
  <c r="F26" i="7"/>
  <c r="G26" i="7" s="1"/>
  <c r="H26" i="7"/>
  <c r="D27" i="7" s="1"/>
  <c r="F27" i="7" l="1"/>
  <c r="G27" i="7" s="1"/>
  <c r="H27" i="7"/>
  <c r="D28" i="7" s="1"/>
  <c r="C28" i="7"/>
  <c r="B29" i="7"/>
  <c r="B30" i="7" l="1"/>
  <c r="C29" i="7"/>
  <c r="H28" i="7"/>
  <c r="D29" i="7" s="1"/>
  <c r="F28" i="7"/>
  <c r="G28" i="7" s="1"/>
  <c r="H29" i="7" l="1"/>
  <c r="D30" i="7" s="1"/>
  <c r="F29" i="7"/>
  <c r="G29" i="7" s="1"/>
  <c r="B31" i="7"/>
  <c r="C30" i="7"/>
  <c r="C31" i="7" l="1"/>
  <c r="B32" i="7"/>
  <c r="H30" i="7"/>
  <c r="D31" i="7" s="1"/>
  <c r="F30" i="7"/>
  <c r="G30" i="7" s="1"/>
  <c r="C32" i="7" l="1"/>
  <c r="B33" i="7"/>
  <c r="H31" i="7"/>
  <c r="D32" i="7" s="1"/>
  <c r="F31" i="7"/>
  <c r="G31" i="7" s="1"/>
  <c r="F32" i="7" l="1"/>
  <c r="G32" i="7" s="1"/>
  <c r="H32" i="7"/>
  <c r="D33" i="7" s="1"/>
  <c r="C33" i="7"/>
  <c r="B34" i="7"/>
  <c r="B35" i="7" l="1"/>
  <c r="C34" i="7"/>
  <c r="H33" i="7"/>
  <c r="D34" i="7" s="1"/>
  <c r="F33" i="7"/>
  <c r="G33" i="7" s="1"/>
  <c r="F34" i="7" l="1"/>
  <c r="G34" i="7" s="1"/>
  <c r="H34" i="7"/>
  <c r="D35" i="7" s="1"/>
  <c r="C35" i="7"/>
  <c r="B36" i="7"/>
  <c r="B37" i="7" l="1"/>
  <c r="C36" i="7"/>
  <c r="F35" i="7"/>
  <c r="G35" i="7" s="1"/>
  <c r="H35" i="7"/>
  <c r="D36" i="7" s="1"/>
  <c r="H36" i="7" l="1"/>
  <c r="D37" i="7" s="1"/>
  <c r="F36" i="7"/>
  <c r="G36" i="7" s="1"/>
  <c r="B38" i="7"/>
  <c r="C37" i="7"/>
  <c r="B39" i="7" l="1"/>
  <c r="C38" i="7"/>
  <c r="H37" i="7"/>
  <c r="D38" i="7" s="1"/>
  <c r="F37" i="7"/>
  <c r="G37" i="7" s="1"/>
  <c r="H38" i="7" l="1"/>
  <c r="D39" i="7" s="1"/>
  <c r="F38" i="7"/>
  <c r="G38" i="7" s="1"/>
  <c r="B40" i="7"/>
  <c r="C39" i="7"/>
  <c r="C40" i="7" l="1"/>
  <c r="B41" i="7"/>
  <c r="F39" i="7"/>
  <c r="G39" i="7" s="1"/>
  <c r="H39" i="7"/>
  <c r="D40" i="7" s="1"/>
  <c r="F40" i="7" l="1"/>
  <c r="G40" i="7" s="1"/>
  <c r="H40" i="7"/>
  <c r="D41" i="7" s="1"/>
  <c r="C41" i="7"/>
  <c r="B42" i="7"/>
  <c r="B43" i="7" l="1"/>
  <c r="C42" i="7"/>
  <c r="H41" i="7"/>
  <c r="D42" i="7" s="1"/>
  <c r="F41" i="7"/>
  <c r="G41" i="7" s="1"/>
  <c r="F42" i="7" l="1"/>
  <c r="G42" i="7" s="1"/>
  <c r="H42" i="7"/>
  <c r="D43" i="7" s="1"/>
  <c r="B44" i="7"/>
  <c r="C43" i="7"/>
  <c r="F43" i="7" l="1"/>
  <c r="G43" i="7" s="1"/>
  <c r="H43" i="7"/>
  <c r="D44" i="7" s="1"/>
  <c r="C44" i="7"/>
  <c r="B45" i="7"/>
  <c r="B46" i="7" l="1"/>
  <c r="C45" i="7"/>
  <c r="H44" i="7"/>
  <c r="D45" i="7" s="1"/>
  <c r="F44" i="7"/>
  <c r="G44" i="7" s="1"/>
  <c r="H45" i="7" l="1"/>
  <c r="D46" i="7" s="1"/>
  <c r="F45" i="7"/>
  <c r="G45" i="7" s="1"/>
  <c r="B47" i="7"/>
  <c r="C46" i="7"/>
  <c r="C47" i="7" l="1"/>
  <c r="B48" i="7"/>
  <c r="H46" i="7"/>
  <c r="D47" i="7" s="1"/>
  <c r="F46" i="7"/>
  <c r="G46" i="7" s="1"/>
  <c r="F47" i="7" l="1"/>
  <c r="G47" i="7" s="1"/>
  <c r="H47" i="7"/>
  <c r="D48" i="7" s="1"/>
  <c r="C48" i="7"/>
  <c r="B49" i="7"/>
  <c r="C49" i="7" l="1"/>
  <c r="B50" i="7"/>
  <c r="H48" i="7"/>
  <c r="D49" i="7" s="1"/>
  <c r="F48" i="7"/>
  <c r="G48" i="7" s="1"/>
  <c r="H49" i="7" l="1"/>
  <c r="D50" i="7" s="1"/>
  <c r="F49" i="7"/>
  <c r="G49" i="7" s="1"/>
  <c r="B51" i="7"/>
  <c r="C50" i="7"/>
  <c r="C51" i="7" l="1"/>
  <c r="B52" i="7"/>
  <c r="F50" i="7"/>
  <c r="G50" i="7" s="1"/>
  <c r="H50" i="7"/>
  <c r="D51" i="7" s="1"/>
  <c r="F51" i="7" l="1"/>
  <c r="G51" i="7" s="1"/>
  <c r="H51" i="7"/>
  <c r="D52" i="7" s="1"/>
  <c r="B53" i="7"/>
  <c r="C52" i="7"/>
  <c r="B54" i="7" l="1"/>
  <c r="C53" i="7"/>
  <c r="H52" i="7"/>
  <c r="D53" i="7" s="1"/>
  <c r="F52" i="7"/>
  <c r="G52" i="7" s="1"/>
  <c r="H53" i="7" l="1"/>
  <c r="D54" i="7" s="1"/>
  <c r="F53" i="7"/>
  <c r="G53" i="7" s="1"/>
  <c r="B55" i="7"/>
  <c r="C54" i="7"/>
  <c r="B56" i="7" l="1"/>
  <c r="C55" i="7"/>
  <c r="H54" i="7"/>
  <c r="D55" i="7" s="1"/>
  <c r="F54" i="7"/>
  <c r="G54" i="7" s="1"/>
  <c r="F55" i="7" l="1"/>
  <c r="G55" i="7" s="1"/>
  <c r="H55" i="7"/>
  <c r="D56" i="7" s="1"/>
  <c r="C56" i="7"/>
  <c r="B57" i="7"/>
  <c r="C57" i="7" l="1"/>
  <c r="B58" i="7"/>
  <c r="H56" i="7"/>
  <c r="D57" i="7" s="1"/>
  <c r="F56" i="7"/>
  <c r="G56" i="7" s="1"/>
  <c r="H57" i="7" l="1"/>
  <c r="D58" i="7" s="1"/>
  <c r="F57" i="7"/>
  <c r="G57" i="7" s="1"/>
  <c r="B59" i="7"/>
  <c r="C58" i="7"/>
  <c r="B60" i="7" l="1"/>
  <c r="C59" i="7"/>
  <c r="F58" i="7"/>
  <c r="G58" i="7" s="1"/>
  <c r="H58" i="7"/>
  <c r="D59" i="7" s="1"/>
  <c r="F59" i="7" l="1"/>
  <c r="G59" i="7" s="1"/>
  <c r="H59" i="7"/>
  <c r="D60" i="7" s="1"/>
  <c r="C60" i="7"/>
  <c r="B61" i="7"/>
  <c r="B62" i="7" l="1"/>
  <c r="C61" i="7"/>
  <c r="H60" i="7"/>
  <c r="D61" i="7" s="1"/>
  <c r="F60" i="7"/>
  <c r="G60" i="7" s="1"/>
  <c r="H61" i="7" l="1"/>
  <c r="D62" i="7" s="1"/>
  <c r="F61" i="7"/>
  <c r="G61" i="7" s="1"/>
  <c r="B63" i="7"/>
  <c r="C62" i="7"/>
  <c r="C63" i="7" l="1"/>
  <c r="B64" i="7"/>
  <c r="H62" i="7"/>
  <c r="D63" i="7" s="1"/>
  <c r="F62" i="7"/>
  <c r="G62" i="7" s="1"/>
  <c r="H63" i="7" l="1"/>
  <c r="D64" i="7" s="1"/>
  <c r="F63" i="7"/>
  <c r="G63" i="7" s="1"/>
  <c r="C64" i="7"/>
  <c r="B65" i="7"/>
  <c r="C65" i="7" l="1"/>
  <c r="B66" i="7"/>
  <c r="F64" i="7"/>
  <c r="G64" i="7" s="1"/>
  <c r="H64" i="7"/>
  <c r="D65" i="7" s="1"/>
  <c r="B67" i="7" l="1"/>
  <c r="C67" i="7" s="1"/>
  <c r="C66" i="7"/>
  <c r="H65" i="7"/>
  <c r="D66" i="7" s="1"/>
  <c r="F65" i="7"/>
  <c r="G65" i="7" s="1"/>
  <c r="H66" i="7" l="1"/>
  <c r="D67" i="7" s="1"/>
  <c r="F66" i="7"/>
  <c r="G66" i="7" s="1"/>
  <c r="L9" i="7"/>
  <c r="L8" i="7"/>
  <c r="L10" i="7"/>
  <c r="K11" i="7"/>
  <c r="K12" i="7"/>
  <c r="K8" i="7"/>
  <c r="M8" i="7" s="1"/>
  <c r="L11" i="7"/>
  <c r="K9" i="7"/>
  <c r="K10" i="7"/>
  <c r="M9" i="7" l="1"/>
  <c r="M10" i="7" s="1"/>
  <c r="M11" i="7" s="1"/>
  <c r="M12" i="7" s="1"/>
  <c r="H67" i="7"/>
  <c r="F67" i="7"/>
  <c r="G67" i="7" l="1"/>
  <c r="L12" i="7"/>
</calcChain>
</file>

<file path=xl/sharedStrings.xml><?xml version="1.0" encoding="utf-8"?>
<sst xmlns="http://schemas.openxmlformats.org/spreadsheetml/2006/main" count="992" uniqueCount="332">
  <si>
    <t>MetWear bv - journaal 1e kwartaal 2026</t>
  </si>
  <si>
    <t>Ref</t>
  </si>
  <si>
    <t>Datum</t>
  </si>
  <si>
    <t>Rekening</t>
  </si>
  <si>
    <t>Naam rekening</t>
  </si>
  <si>
    <t>Debet</t>
  </si>
  <si>
    <t>Credit</t>
  </si>
  <si>
    <t>Toelichting</t>
  </si>
  <si>
    <t>BEGINBALANS</t>
  </si>
  <si>
    <t>Gebouwen</t>
  </si>
  <si>
    <t>Beginbalans 1 januari 2026</t>
  </si>
  <si>
    <t>Afschrijvingen op gebouwen (-)</t>
  </si>
  <si>
    <t>Installaties</t>
  </si>
  <si>
    <t>Afschrijvingen op installaties (-)</t>
  </si>
  <si>
    <t>Meubilair</t>
  </si>
  <si>
    <t>Afschrijvingen op meubilair (-)</t>
  </si>
  <si>
    <t>Rollend materieel</t>
  </si>
  <si>
    <t>Afschrijvingen op rollend materieel (-)</t>
  </si>
  <si>
    <t>Voorraad handelsgoederen</t>
  </si>
  <si>
    <t>Handelsdebiteuren</t>
  </si>
  <si>
    <t>Bankrekening</t>
  </si>
  <si>
    <t>Kas</t>
  </si>
  <si>
    <t>Geplaatst kapitaal</t>
  </si>
  <si>
    <t>Wettelijke reserve</t>
  </si>
  <si>
    <t>Overgedragen winst</t>
  </si>
  <si>
    <t>Leveranciers</t>
  </si>
  <si>
    <t>Te betalen btw-saldo</t>
  </si>
  <si>
    <t>Ingehouden bedrijfsvoorheffing</t>
  </si>
  <si>
    <t>Rijksdienst voor Sociale Zekerheid (RSZ)</t>
  </si>
  <si>
    <t>Verschuldigde lonen bedienden</t>
  </si>
  <si>
    <t>Verschuldigde lonen arbeiders</t>
  </si>
  <si>
    <t>VK01</t>
  </si>
  <si>
    <t>Verkopen handelsgoederen</t>
  </si>
  <si>
    <t>Verkoopfactuur 2026-01 - Concept Store Nova bv</t>
  </si>
  <si>
    <t>Handelskorting op verkopen (-)</t>
  </si>
  <si>
    <t>Verschuldigde btw</t>
  </si>
  <si>
    <t>VK02</t>
  </si>
  <si>
    <t>Verkoopfactuur 2026-02 - Kringwinkel De Draad vzw</t>
  </si>
  <si>
    <t>VK03</t>
  </si>
  <si>
    <t>Verkoopfactuur 2026-03 - Modehuis Vandeputte bv</t>
  </si>
  <si>
    <t>Doorgerekende kosten</t>
  </si>
  <si>
    <t>Terug te betalen verpakking</t>
  </si>
  <si>
    <t>VK04</t>
  </si>
  <si>
    <t>Creditnota 2026-04 - Modehuis Vandeputte bv - teruggestuurde verpakking</t>
  </si>
  <si>
    <t>VK05</t>
  </si>
  <si>
    <t>Verkoopfactuur 2026-05 - Boetiek Lumen bv</t>
  </si>
  <si>
    <t>Betalingskortingen aan klanten</t>
  </si>
  <si>
    <t>VK06</t>
  </si>
  <si>
    <t>Verkoopfactuur 2026-06 - Sportclub De Kern vzw</t>
  </si>
  <si>
    <t>VK07</t>
  </si>
  <si>
    <t>Verkoopfactuur 2026-07 - Concept Store Nova bv</t>
  </si>
  <si>
    <t>VK08</t>
  </si>
  <si>
    <t>Retours op verkopen (-)</t>
  </si>
  <si>
    <t>Creditnota 2026-08 - Concept Store Nova bv - teruggestuurde goederen</t>
  </si>
  <si>
    <t>Aftrekbare btw op uitgaande creditnota’s</t>
  </si>
  <si>
    <t>AK01</t>
  </si>
  <si>
    <t>Aankopen handelsgoederen</t>
  </si>
  <si>
    <t>Aankoopfactuur TX-2026/418 - Textura nv</t>
  </si>
  <si>
    <t>Aftrekbare btw</t>
  </si>
  <si>
    <t>AK02</t>
  </si>
  <si>
    <t>Aankoopfactuur 2026/0912 - Groene Draad bvba</t>
  </si>
  <si>
    <t>Handelskorting op aankopen (-)</t>
  </si>
  <si>
    <t>AK03</t>
  </si>
  <si>
    <t>Aankoopfactuur BCB-4471 - Bio Cotton Belgium bv</t>
  </si>
  <si>
    <t>Aankoopkosten</t>
  </si>
  <si>
    <t>Terug te vorderen verpakking</t>
  </si>
  <si>
    <t>AK04</t>
  </si>
  <si>
    <t>Creditnota BCB-CN-215 - Bio Cotton Belgium bv - teruggestuurde verpakking</t>
  </si>
  <si>
    <t>AK05</t>
  </si>
  <si>
    <t>Aankoopfactuur 2026-037 - Atelier Lino (vrijstelling art. 56bis)</t>
  </si>
  <si>
    <t>AK06</t>
  </si>
  <si>
    <t>Aankoopfactuur DD/26/2205 - Denim Depot nv</t>
  </si>
  <si>
    <t>Betalingskortingen van leveranciers</t>
  </si>
  <si>
    <t>AK07</t>
  </si>
  <si>
    <t>Aankoopfactuur TX-2026/633 - Textura nv</t>
  </si>
  <si>
    <t>AK08</t>
  </si>
  <si>
    <t>Creditnota TX-2026/CN-71 - Textura nv - teruggestuurde goederen</t>
  </si>
  <si>
    <t>Retours op aankopen (-)</t>
  </si>
  <si>
    <t>Verschuldigde btw op inkomende creditnota’s</t>
  </si>
  <si>
    <t>AK09</t>
  </si>
  <si>
    <t>Verbruik elektriciteit</t>
  </si>
  <si>
    <t>Aankoopfactuur NE-2026-5502 - NovaEnergy nv - elektriciteit 6% btw</t>
  </si>
  <si>
    <t>Verbruik gas</t>
  </si>
  <si>
    <t>Aankoopfactuur NE-2026-5502 - NovaEnergy nv - aardgas 6% btw</t>
  </si>
  <si>
    <t>Aankoopfactuur NE-2026-5502 - NovaEnergy nv - btw 6% op 2.000</t>
  </si>
  <si>
    <t>Aankoopfactuur NE-2026-5502 - NovaEnergy nv - elektriciteit en aardgas</t>
  </si>
  <si>
    <t>AK10</t>
  </si>
  <si>
    <t>Aankoopfactuur GD-2026/188 - Garage Delvaux bv - bestelwagen</t>
  </si>
  <si>
    <t>AK11</t>
  </si>
  <si>
    <t>Factuur SL-2026/0631 - SoLoon vzw - doorstorting RSZ en bedrijfsvoorheffing februari</t>
  </si>
  <si>
    <t>AK12</t>
  </si>
  <si>
    <t>Sociaal secretariaat</t>
  </si>
  <si>
    <t>Aankoopfactuur SL-2026/0632 - SoLoon vzw - beheerskosten loonadministratie</t>
  </si>
  <si>
    <t>ONTV01</t>
  </si>
  <si>
    <t>Dagontvangstenjournaal januari 2026</t>
  </si>
  <si>
    <t>Interne overboekingen</t>
  </si>
  <si>
    <t>KAS01</t>
  </si>
  <si>
    <t>Kasblad 1e kwartaal 2026 - geld uitgehaald om op de bank te storten</t>
  </si>
  <si>
    <t>LOON</t>
  </si>
  <si>
    <t>Bezoldigingen arbeiders</t>
  </si>
  <si>
    <t>Loonstaat februari 2026 - SoLoon vzw</t>
  </si>
  <si>
    <t>Bezoldigingen bedienden</t>
  </si>
  <si>
    <t>Werkgeversbijdrage RSZ</t>
  </si>
  <si>
    <t>BANK01</t>
  </si>
  <si>
    <t>Kredietopname lening 2026/4471</t>
  </si>
  <si>
    <t>Schulden aan kredietinstellingen</t>
  </si>
  <si>
    <t>Ontvangst openstaande klantenfacturen 2025</t>
  </si>
  <si>
    <t>BANK02</t>
  </si>
  <si>
    <t>Betaling openstaande leveranciersfacturen 2025</t>
  </si>
  <si>
    <t>Betaling nettolonen december 2025</t>
  </si>
  <si>
    <t>BANK03</t>
  </si>
  <si>
    <t>Betaling factuur TX-2026/418</t>
  </si>
  <si>
    <t>BANK04</t>
  </si>
  <si>
    <t>Betaling btw-saldo 4e kwartaal 2025</t>
  </si>
  <si>
    <t>BANK05</t>
  </si>
  <si>
    <t>Ontvangst factuur 2026-01</t>
  </si>
  <si>
    <t>Betaling factuur 2026/0912</t>
  </si>
  <si>
    <t>BANK06</t>
  </si>
  <si>
    <t>Ontvangst factuur 2026-02</t>
  </si>
  <si>
    <t>Ontvangsten bankkaart januari 2026</t>
  </si>
  <si>
    <t>Aflossing lening 2026/4471 - maand 1 (zie LENING1)</t>
  </si>
  <si>
    <t>Rente, commissies en kosten verbonden aan schulden</t>
  </si>
  <si>
    <t>BANK07</t>
  </si>
  <si>
    <t>Betaling factuur BCB-4471 onder aftrek creditnota BCB-CN-215</t>
  </si>
  <si>
    <t>Storting cash uit de kassa</t>
  </si>
  <si>
    <t>BANK08</t>
  </si>
  <si>
    <t>Ontvangst factuur 2026-03 onder aftrek creditnota 2026-04</t>
  </si>
  <si>
    <t>Ontvangst factuur 2026-05</t>
  </si>
  <si>
    <t>BANK09</t>
  </si>
  <si>
    <t>Betaling factuur DD/26/2205</t>
  </si>
  <si>
    <t>Betaling nettolonen februari 2026</t>
  </si>
  <si>
    <t>Aflossing lening 2026/4471 - maand 2 (zie LENING1)</t>
  </si>
  <si>
    <t>BANK10</t>
  </si>
  <si>
    <t>Betaling factuur NE-2026-5502</t>
  </si>
  <si>
    <t>BANK11</t>
  </si>
  <si>
    <t>Betaling factuur GD-2026/188</t>
  </si>
  <si>
    <t>Betaling factuur SL-2026/0631</t>
  </si>
  <si>
    <t>Betaling factuur SL-2026/0632</t>
  </si>
  <si>
    <t>BANK12</t>
  </si>
  <si>
    <t>Betaling factuur 2026-037</t>
  </si>
  <si>
    <t>BANK13</t>
  </si>
  <si>
    <t>Ontvangst factuur 2026-07 onder aftrek creditnota 2026-08</t>
  </si>
  <si>
    <t>BANK14</t>
  </si>
  <si>
    <t>Aflossing lening 2026/4471 - maand 3 (zie LENING1)</t>
  </si>
  <si>
    <t>BTW</t>
  </si>
  <si>
    <t>Btw-verwerking 1e kwartaal 2026</t>
  </si>
  <si>
    <t>AFSCHR1</t>
  </si>
  <si>
    <t>Afschrijvingen op materiële vaste activa</t>
  </si>
  <si>
    <t>Afschrijvingen 1e kwartaal 2026</t>
  </si>
  <si>
    <t>Afschrijvingen op meubilair en rollend materieel</t>
  </si>
  <si>
    <t>LENING2</t>
  </si>
  <si>
    <t>Overboeking lening 2026/4471 van lange naar korte termijn (12 x 2.500)</t>
  </si>
  <si>
    <t>Binnen het jaar vervallende schulden aan kredietinstellingen</t>
  </si>
  <si>
    <t>VR</t>
  </si>
  <si>
    <t>Voorraadwijziging handelsgoederen 1e kwartaal 2026 (110.000 - 100.000)</t>
  </si>
  <si>
    <t>Voorraadwijzigingen handelsgoederen</t>
  </si>
  <si>
    <t>BELASTING</t>
  </si>
  <si>
    <t>Geraamde belastingen</t>
  </si>
  <si>
    <t>Geraamde vennootschapsbelasting 1e kwartaal 2026 (20% van 9.730)</t>
  </si>
  <si>
    <t>Geraamd bedrag der Belgische winstbelastingen</t>
  </si>
  <si>
    <t>RESULTAAT</t>
  </si>
  <si>
    <t>Over te dragen winst</t>
  </si>
  <si>
    <t>Toevoeging van het resultaat aan de overgedragen winst</t>
  </si>
  <si>
    <t>TOTAAL</t>
  </si>
  <si>
    <t>Verschil debet - credit (moet 0 zijn)</t>
  </si>
  <si>
    <t>Proef- en saldibalans 31 maart 2026</t>
  </si>
  <si>
    <t>Soort</t>
  </si>
  <si>
    <t>Debettotaal</t>
  </si>
  <si>
    <t>Credittotaal</t>
  </si>
  <si>
    <t>Debetsaldo</t>
  </si>
  <si>
    <t>Creditsaldo</t>
  </si>
  <si>
    <t>Passief</t>
  </si>
  <si>
    <t>Actief</t>
  </si>
  <si>
    <t>Actief (min)</t>
  </si>
  <si>
    <t>Kost</t>
  </si>
  <si>
    <t>Resultaatverwerking</t>
  </si>
  <si>
    <t>Opbrengst</t>
  </si>
  <si>
    <t>Resultatenrekening 1 januari - 31 maart 2026</t>
  </si>
  <si>
    <t>Kosten</t>
  </si>
  <si>
    <t>Opbrengsten</t>
  </si>
  <si>
    <t>Totaal kosten (klasse 6)</t>
  </si>
  <si>
    <t>Totaal opbrengsten (klasse 7)</t>
  </si>
  <si>
    <t>Winst voor belasting</t>
  </si>
  <si>
    <t>Geraamde belastingen (20%)</t>
  </si>
  <si>
    <t>Winst na belasting</t>
  </si>
  <si>
    <t>Balans 31 maart 2026</t>
  </si>
  <si>
    <t>Overzicht van de 43 documenten</t>
  </si>
  <si>
    <t>Bestandsnaam</t>
  </si>
  <si>
    <t>Nummer op document</t>
  </si>
  <si>
    <t>Tegenpartij / omschrijving</t>
  </si>
  <si>
    <t>Totaalbedrag</t>
  </si>
  <si>
    <t>Bijzonderheid</t>
  </si>
  <si>
    <t>Beginbalans</t>
  </si>
  <si>
    <t>-</t>
  </si>
  <si>
    <t>MetWear bv</t>
  </si>
  <si>
    <t>balans op 1 januari 2026</t>
  </si>
  <si>
    <t>BEGINSALDI</t>
  </si>
  <si>
    <t>Beginsaldi</t>
  </si>
  <si>
    <t>overzicht van alle rekeningen</t>
  </si>
  <si>
    <t>Verkoopfactuur</t>
  </si>
  <si>
    <t>2026-01</t>
  </si>
  <si>
    <t>Concept Store Nova bv</t>
  </si>
  <si>
    <t>handelskorting 10%</t>
  </si>
  <si>
    <t>2026-02</t>
  </si>
  <si>
    <t>Kringwinkel De Draad vzw</t>
  </si>
  <si>
    <t>gemengd 21% en 6%</t>
  </si>
  <si>
    <t>2026-03</t>
  </si>
  <si>
    <t>Modehuis Vandeputte bv</t>
  </si>
  <si>
    <t>vervoerskosten, verpakking (waarborg)</t>
  </si>
  <si>
    <t>Creditnota verkoop</t>
  </si>
  <si>
    <t>2026-04</t>
  </si>
  <si>
    <t>op factuur 2026-03 - verpakking terug</t>
  </si>
  <si>
    <t>2026-05</t>
  </si>
  <si>
    <t>Boetiek Lumen bv</t>
  </si>
  <si>
    <t>financiele korting 2%</t>
  </si>
  <si>
    <t>2026-06</t>
  </si>
  <si>
    <t>Sportclub De Kern vzw</t>
  </si>
  <si>
    <t>handelskorting, vervoerskosten</t>
  </si>
  <si>
    <t>2026-07</t>
  </si>
  <si>
    <t>gemengd 21% en 6%, verpakking (waarborg)</t>
  </si>
  <si>
    <t>2026-08</t>
  </si>
  <si>
    <t>op factuur 2026-07 - goederen terug</t>
  </si>
  <si>
    <t>Aankoopfactuur</t>
  </si>
  <si>
    <t>TX-2026/418</t>
  </si>
  <si>
    <t>Textura nv</t>
  </si>
  <si>
    <t>2026/0912</t>
  </si>
  <si>
    <t>Groene Draad bvba</t>
  </si>
  <si>
    <t>BCB-4471</t>
  </si>
  <si>
    <t>Bio Cotton Belgium bv</t>
  </si>
  <si>
    <t>Creditnota aankoop</t>
  </si>
  <si>
    <t>BCB-CN-215</t>
  </si>
  <si>
    <t>op factuur BCB-4471 - verpakking terug</t>
  </si>
  <si>
    <t>2026-037</t>
  </si>
  <si>
    <t>Atelier Lino</t>
  </si>
  <si>
    <t>vrijstelling art. 56bis - geen btw</t>
  </si>
  <si>
    <t>DD/26/2205</t>
  </si>
  <si>
    <t>Denim Depot nv</t>
  </si>
  <si>
    <t>TX-2026/633</t>
  </si>
  <si>
    <t>handelskorting, verpakking (waarborg) - blijft openstaan op 31/03</t>
  </si>
  <si>
    <t>TX-2026/CN-71</t>
  </si>
  <si>
    <t>op factuur TX-2026/633 - goederen terug met handelskorting</t>
  </si>
  <si>
    <t>NE-2026-5502</t>
  </si>
  <si>
    <t>NovaEnergy nv</t>
  </si>
  <si>
    <t>elektriciteit 1.500 + aardgas 500, 6% btw - twee kostenrekeningen</t>
  </si>
  <si>
    <t>GD-2026/188</t>
  </si>
  <si>
    <t>Garage Delvaux bv</t>
  </si>
  <si>
    <t>investering bestelwagen</t>
  </si>
  <si>
    <t>SL-2026/0631</t>
  </si>
  <si>
    <t>SoLoon vzw</t>
  </si>
  <si>
    <t>doorstorting RSZ en bedrijfsvoorheffing - geen kost</t>
  </si>
  <si>
    <t>SL-2026/0632</t>
  </si>
  <si>
    <t>beheerskosten loonadministratie</t>
  </si>
  <si>
    <t>Dagontvangstenjournaal</t>
  </si>
  <si>
    <t>winkel Zavellaan 123</t>
  </si>
  <si>
    <t>cash 5.200 + bankkaart 21.120</t>
  </si>
  <si>
    <t>Loonstaat</t>
  </si>
  <si>
    <t>totale loonkost februari 2026</t>
  </si>
  <si>
    <t>Bankuittreksel</t>
  </si>
  <si>
    <t>2026/01</t>
  </si>
  <si>
    <t>NovaBank</t>
  </si>
  <si>
    <t>kredietopname lening, ontvangst klanten 2025</t>
  </si>
  <si>
    <t>2026/02</t>
  </si>
  <si>
    <t>betaling leveranciers 2025, nettolonen december</t>
  </si>
  <si>
    <t>2026/03</t>
  </si>
  <si>
    <t>2026/05</t>
  </si>
  <si>
    <t>ontvangst 2026-01, betaling 2026/0912</t>
  </si>
  <si>
    <t>2026/06</t>
  </si>
  <si>
    <t>bankkaartontvangsten, 1e aflossing lening</t>
  </si>
  <si>
    <t>2026/07</t>
  </si>
  <si>
    <t>betaling onder aftrek creditnota, storting kas</t>
  </si>
  <si>
    <t>2026/08</t>
  </si>
  <si>
    <t>ontvangst onder aftrek creditnota</t>
  </si>
  <si>
    <t>2026/09</t>
  </si>
  <si>
    <t>nettolonen februari, 2e aflossing lening</t>
  </si>
  <si>
    <t>2026/10</t>
  </si>
  <si>
    <t>betaling NE-2026-5502</t>
  </si>
  <si>
    <t>2026/11</t>
  </si>
  <si>
    <t>betaling GD-2026/188, SL-0631, SL-0632</t>
  </si>
  <si>
    <t>2026/12</t>
  </si>
  <si>
    <t>betaling 2026-037</t>
  </si>
  <si>
    <t>2026/13</t>
  </si>
  <si>
    <t>ontvangst factuur 2026-07 onder aftrek creditnota 2026-08</t>
  </si>
  <si>
    <t>2026/14</t>
  </si>
  <si>
    <t>3e aflossing lening - eindsaldo 146.676</t>
  </si>
  <si>
    <t>Kasblad</t>
  </si>
  <si>
    <t>KAS 01</t>
  </si>
  <si>
    <t>eindsaldo kas 1.200</t>
  </si>
  <si>
    <t>LENING1</t>
  </si>
  <si>
    <t>Aflossingstabel p.1</t>
  </si>
  <si>
    <t>2026/4471</t>
  </si>
  <si>
    <t>maandelijks 2026 - nodig bij de bankuittreksels</t>
  </si>
  <si>
    <t>Aflossingstabel p.2</t>
  </si>
  <si>
    <t>per jaar 2026-2030 - nodig bij de overboeking LT naar KT</t>
  </si>
  <si>
    <t>Afschrijvingstabel</t>
  </si>
  <si>
    <t>afschrijving 1e kwartaal, pro rata 3/12</t>
  </si>
  <si>
    <t>Voorraadtelling</t>
  </si>
  <si>
    <t>eindvoorraad handelsgoederen</t>
  </si>
  <si>
    <t>Controles - elke uitkomst moet 0 zijn</t>
  </si>
  <si>
    <t>Controle</t>
  </si>
  <si>
    <t>Uitkomst</t>
  </si>
  <si>
    <t>Journaal: totaal debet - totaal credit</t>
  </si>
  <si>
    <t>Proefbalans: debettotalen - credittotalen</t>
  </si>
  <si>
    <t>Saldibalans: debetsaldi - creditsaldi</t>
  </si>
  <si>
    <t>Balans: actief - passief</t>
  </si>
  <si>
    <t>Winst na belasting - toevoeging aan overgedragen winst (693000)</t>
  </si>
  <si>
    <t>Banksaldo 550000 - eindsaldo BANK14 (146.676)</t>
  </si>
  <si>
    <t>Kassaldo 570000 - eindsaldo KAS01 (1.200)</t>
  </si>
  <si>
    <t>Voorraad 340000 - voorraadtelling VR (110.000)</t>
  </si>
  <si>
    <t>Interne overboekingen 580000 (moet leeg zijn)</t>
  </si>
  <si>
    <t>Tussentijdse btw-rekeningen 411100 / 411200 / 451100 / 451200 (moeten leeg zijn)</t>
  </si>
  <si>
    <t>Verschuldigde lonen 455200 + 455300 na uitbetaling (moeten leeg zijn)</t>
  </si>
  <si>
    <t>Lening: 173000 + 423000 - openstaand kapitaal 31/03 (142.500)</t>
  </si>
  <si>
    <t>Openstaand bij leveranciers 440000 - AK07 min creditnota AK08 (21.091)</t>
  </si>
  <si>
    <t>Openstaand bij klanten 400000 - VK06 Sportclub De Kern (22.264)</t>
  </si>
  <si>
    <t>Lening 2026/4471 - NovaBank</t>
  </si>
  <si>
    <t>kapitaal</t>
  </si>
  <si>
    <t>jaarlijkse rentevoet</t>
  </si>
  <si>
    <t>aflossing kapitaal per maand</t>
  </si>
  <si>
    <t>MND</t>
  </si>
  <si>
    <t>VERVALDAG</t>
  </si>
  <si>
    <t>JAAR</t>
  </si>
  <si>
    <t>OPENSTAANDE SCHULD</t>
  </si>
  <si>
    <t>AF TE LOSSEN KAPITAAL</t>
  </si>
  <si>
    <t>TE BETALEN INTEREST</t>
  </si>
  <si>
    <t>MAANDLAST</t>
  </si>
  <si>
    <t>NOG VERSCHULDIGD KAPITAAL</t>
  </si>
  <si>
    <t>AFLOSSING KAPITAAL</t>
  </si>
  <si>
    <t>BETAALDE INTEREST</t>
  </si>
  <si>
    <t>Overboeking lange naar korte termijn op 31/03/2026</t>
  </si>
  <si>
    <t>12 maandaflossingen die vervallen tussen 01/04/2026 en 31/03/2027</t>
  </si>
  <si>
    <t>Betaling dagontvangsten januari</t>
  </si>
  <si>
    <t>betaling TX-2026/418,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</si>
</sst>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_);[Red]\(#,##0.00\)"/>
    <numFmt numFmtId="166" formatCode="#,##0.00;[Red]#,##0.00"/>
  </numFmts>
  <fonts count="4" x14ac:knownFonts="1">
    <font>
      <sz val="11"/>
      <color theme="1"/>
      <name val="Calibri"/>
      <family val="2"/>
      <charset val="1"/>
    </font>
    <font>
      <b/>
      <sz val="16"/>
      <color rgb="FF1F2A6E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6E"/>
        <bgColor rgb="FF3333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1F2A6E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5" fontId="3" fillId="0" borderId="1" xfId="0" applyNumberFormat="1" applyFont="1" applyBorder="1"/>
    <xf numFmtId="165" fontId="3" fillId="0" borderId="0" xfId="0" applyNumberFormat="1" applyFont="1"/>
    <xf numFmtId="10" fontId="0" fillId="0" borderId="0" xfId="0" applyNumberFormat="1"/>
    <xf numFmtId="0" fontId="2" fillId="2" borderId="0" xfId="0" applyFont="1" applyFill="1" applyAlignment="1">
      <alignment horizontal="center" wrapText="1"/>
    </xf>
    <xf numFmtId="0" fontId="3" fillId="3" borderId="0" xfId="0" applyFont="1" applyFill="1"/>
    <xf numFmtId="16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A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zoomScaleNormal="100" workbookViewId="0">
      <pane ySplit="3" topLeftCell="A112" activePane="bottomLeft" state="frozen"/>
      <selection pane="bottomLeft" activeCell="F145" sqref="F145"/>
    </sheetView>
  </sheetViews>
  <sheetFormatPr defaultColWidth="8.6328125" defaultRowHeight="14.5" x14ac:dyDescent="0.35"/>
  <cols>
    <col min="1" max="2" width="12" customWidth="1"/>
    <col min="3" max="3" width="11" customWidth="1"/>
    <col min="4" max="4" width="46" customWidth="1"/>
    <col min="5" max="6" width="13" customWidth="1"/>
    <col min="7" max="7" width="62" customWidth="1"/>
  </cols>
  <sheetData>
    <row r="1" spans="1:7" ht="21" customHeight="1" x14ac:dyDescent="0.5">
      <c r="A1" s="1" t="s">
        <v>0</v>
      </c>
    </row>
    <row r="3" spans="1:7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t="s">
        <v>8</v>
      </c>
      <c r="B4" s="3">
        <v>46023</v>
      </c>
      <c r="C4">
        <v>221000</v>
      </c>
      <c r="D4" t="s">
        <v>9</v>
      </c>
      <c r="E4" s="4">
        <v>400000</v>
      </c>
      <c r="G4" t="s">
        <v>10</v>
      </c>
    </row>
    <row r="5" spans="1:7" x14ac:dyDescent="0.35">
      <c r="A5" t="s">
        <v>8</v>
      </c>
      <c r="B5" s="3">
        <v>46023</v>
      </c>
      <c r="C5">
        <v>221009</v>
      </c>
      <c r="D5" t="s">
        <v>11</v>
      </c>
      <c r="E5" s="4"/>
      <c r="F5">
        <v>160000</v>
      </c>
      <c r="G5" t="s">
        <v>10</v>
      </c>
    </row>
    <row r="6" spans="1:7" x14ac:dyDescent="0.35">
      <c r="A6" t="s">
        <v>8</v>
      </c>
      <c r="B6" s="3">
        <v>46023</v>
      </c>
      <c r="C6">
        <v>230000</v>
      </c>
      <c r="D6" t="s">
        <v>12</v>
      </c>
      <c r="E6" s="4">
        <v>100000</v>
      </c>
      <c r="G6" t="s">
        <v>10</v>
      </c>
    </row>
    <row r="7" spans="1:7" x14ac:dyDescent="0.35">
      <c r="A7" t="s">
        <v>8</v>
      </c>
      <c r="B7" s="3">
        <v>46023</v>
      </c>
      <c r="C7">
        <v>230009</v>
      </c>
      <c r="D7" t="s">
        <v>13</v>
      </c>
      <c r="E7" s="4"/>
      <c r="F7">
        <v>70000</v>
      </c>
      <c r="G7" t="s">
        <v>10</v>
      </c>
    </row>
    <row r="8" spans="1:7" x14ac:dyDescent="0.35">
      <c r="A8" t="s">
        <v>8</v>
      </c>
      <c r="B8" s="3">
        <v>46023</v>
      </c>
      <c r="C8">
        <v>240000</v>
      </c>
      <c r="D8" t="s">
        <v>14</v>
      </c>
      <c r="E8" s="4">
        <v>60000</v>
      </c>
      <c r="G8" t="s">
        <v>10</v>
      </c>
    </row>
    <row r="9" spans="1:7" x14ac:dyDescent="0.35">
      <c r="A9" t="s">
        <v>8</v>
      </c>
      <c r="B9" s="3">
        <v>46023</v>
      </c>
      <c r="C9">
        <v>240009</v>
      </c>
      <c r="D9" t="s">
        <v>15</v>
      </c>
      <c r="E9" s="4"/>
      <c r="F9">
        <v>30000</v>
      </c>
      <c r="G9" t="s">
        <v>10</v>
      </c>
    </row>
    <row r="10" spans="1:7" x14ac:dyDescent="0.35">
      <c r="A10" t="s">
        <v>8</v>
      </c>
      <c r="B10" s="3">
        <v>46023</v>
      </c>
      <c r="C10">
        <v>241000</v>
      </c>
      <c r="D10" t="s">
        <v>16</v>
      </c>
      <c r="E10" s="4">
        <v>50000</v>
      </c>
      <c r="G10" t="s">
        <v>10</v>
      </c>
    </row>
    <row r="11" spans="1:7" x14ac:dyDescent="0.35">
      <c r="A11" t="s">
        <v>8</v>
      </c>
      <c r="B11" s="3">
        <v>46023</v>
      </c>
      <c r="C11">
        <v>241009</v>
      </c>
      <c r="D11" t="s">
        <v>17</v>
      </c>
      <c r="E11" s="4"/>
      <c r="F11">
        <v>40000</v>
      </c>
      <c r="G11" t="s">
        <v>10</v>
      </c>
    </row>
    <row r="12" spans="1:7" x14ac:dyDescent="0.35">
      <c r="A12" t="s">
        <v>8</v>
      </c>
      <c r="B12" s="3">
        <v>46023</v>
      </c>
      <c r="C12">
        <v>340000</v>
      </c>
      <c r="D12" t="s">
        <v>18</v>
      </c>
      <c r="E12" s="4">
        <v>100000</v>
      </c>
      <c r="G12" t="s">
        <v>10</v>
      </c>
    </row>
    <row r="13" spans="1:7" x14ac:dyDescent="0.35">
      <c r="A13" t="s">
        <v>8</v>
      </c>
      <c r="B13" s="3">
        <v>46023</v>
      </c>
      <c r="C13">
        <v>400000</v>
      </c>
      <c r="D13" t="s">
        <v>19</v>
      </c>
      <c r="E13" s="4">
        <v>60000</v>
      </c>
      <c r="G13" t="s">
        <v>10</v>
      </c>
    </row>
    <row r="14" spans="1:7" x14ac:dyDescent="0.35">
      <c r="A14" t="s">
        <v>8</v>
      </c>
      <c r="B14" s="3">
        <v>46023</v>
      </c>
      <c r="C14">
        <v>550000</v>
      </c>
      <c r="D14" t="s">
        <v>20</v>
      </c>
      <c r="E14" s="4">
        <v>70000</v>
      </c>
      <c r="G14" t="s">
        <v>10</v>
      </c>
    </row>
    <row r="15" spans="1:7" x14ac:dyDescent="0.35">
      <c r="A15" t="s">
        <v>8</v>
      </c>
      <c r="B15" s="3">
        <v>46023</v>
      </c>
      <c r="C15">
        <v>570000</v>
      </c>
      <c r="D15" t="s">
        <v>21</v>
      </c>
      <c r="E15" s="4">
        <v>2000</v>
      </c>
      <c r="G15" t="s">
        <v>10</v>
      </c>
    </row>
    <row r="16" spans="1:7" x14ac:dyDescent="0.35">
      <c r="A16" t="s">
        <v>8</v>
      </c>
      <c r="B16" s="3">
        <v>46023</v>
      </c>
      <c r="C16">
        <v>100000</v>
      </c>
      <c r="D16" t="s">
        <v>22</v>
      </c>
      <c r="E16" s="4"/>
      <c r="F16">
        <v>350000</v>
      </c>
      <c r="G16" t="s">
        <v>10</v>
      </c>
    </row>
    <row r="17" spans="1:7" x14ac:dyDescent="0.35">
      <c r="A17" t="s">
        <v>8</v>
      </c>
      <c r="B17" s="3">
        <v>46023</v>
      </c>
      <c r="C17">
        <v>130000</v>
      </c>
      <c r="D17" t="s">
        <v>23</v>
      </c>
      <c r="E17" s="4"/>
      <c r="F17">
        <v>50000</v>
      </c>
      <c r="G17" t="s">
        <v>10</v>
      </c>
    </row>
    <row r="18" spans="1:7" x14ac:dyDescent="0.35">
      <c r="A18" t="s">
        <v>8</v>
      </c>
      <c r="B18" s="3">
        <v>46023</v>
      </c>
      <c r="C18">
        <v>140000</v>
      </c>
      <c r="D18" t="s">
        <v>24</v>
      </c>
      <c r="E18" s="4"/>
      <c r="F18">
        <v>40000</v>
      </c>
      <c r="G18" t="s">
        <v>10</v>
      </c>
    </row>
    <row r="19" spans="1:7" x14ac:dyDescent="0.35">
      <c r="A19" t="s">
        <v>8</v>
      </c>
      <c r="B19" s="3">
        <v>46023</v>
      </c>
      <c r="C19">
        <v>440000</v>
      </c>
      <c r="D19" t="s">
        <v>25</v>
      </c>
      <c r="E19" s="4"/>
      <c r="F19">
        <f>50000+22000</f>
        <v>72000</v>
      </c>
      <c r="G19" t="s">
        <v>10</v>
      </c>
    </row>
    <row r="20" spans="1:7" x14ac:dyDescent="0.35">
      <c r="A20" t="s">
        <v>8</v>
      </c>
      <c r="B20" s="3">
        <v>46023</v>
      </c>
      <c r="C20">
        <v>451000</v>
      </c>
      <c r="D20" t="s">
        <v>26</v>
      </c>
      <c r="E20" s="4"/>
      <c r="F20">
        <v>12000</v>
      </c>
      <c r="G20" t="s">
        <v>10</v>
      </c>
    </row>
    <row r="21" spans="1:7" x14ac:dyDescent="0.35">
      <c r="A21" t="s">
        <v>8</v>
      </c>
      <c r="B21" s="3">
        <v>46023</v>
      </c>
      <c r="C21">
        <v>455200</v>
      </c>
      <c r="D21" t="s">
        <v>29</v>
      </c>
      <c r="E21" s="4"/>
      <c r="F21">
        <v>13000</v>
      </c>
      <c r="G21" t="s">
        <v>10</v>
      </c>
    </row>
    <row r="22" spans="1:7" x14ac:dyDescent="0.35">
      <c r="A22" t="s">
        <v>8</v>
      </c>
      <c r="B22" s="3">
        <v>46023</v>
      </c>
      <c r="C22">
        <v>455300</v>
      </c>
      <c r="D22" t="s">
        <v>30</v>
      </c>
      <c r="E22" s="4"/>
      <c r="F22">
        <v>5000</v>
      </c>
      <c r="G22" t="s">
        <v>10</v>
      </c>
    </row>
    <row r="23" spans="1:7" x14ac:dyDescent="0.35">
      <c r="A23" t="s">
        <v>31</v>
      </c>
      <c r="B23" s="3">
        <v>46025</v>
      </c>
      <c r="C23">
        <v>704000</v>
      </c>
      <c r="D23" t="s">
        <v>32</v>
      </c>
      <c r="E23" s="4"/>
      <c r="F23">
        <v>24000</v>
      </c>
      <c r="G23" t="s">
        <v>33</v>
      </c>
    </row>
    <row r="24" spans="1:7" x14ac:dyDescent="0.35">
      <c r="A24" t="s">
        <v>31</v>
      </c>
      <c r="B24" s="3">
        <v>46025</v>
      </c>
      <c r="C24">
        <v>704020</v>
      </c>
      <c r="D24" t="s">
        <v>34</v>
      </c>
      <c r="E24" s="4">
        <v>2400</v>
      </c>
      <c r="G24" t="s">
        <v>33</v>
      </c>
    </row>
    <row r="25" spans="1:7" x14ac:dyDescent="0.35">
      <c r="A25" t="s">
        <v>31</v>
      </c>
      <c r="B25" s="3">
        <v>46025</v>
      </c>
      <c r="C25">
        <v>451100</v>
      </c>
      <c r="D25" t="s">
        <v>35</v>
      </c>
      <c r="E25" s="4"/>
      <c r="F25">
        <v>4536</v>
      </c>
      <c r="G25" t="s">
        <v>33</v>
      </c>
    </row>
    <row r="26" spans="1:7" x14ac:dyDescent="0.35">
      <c r="A26" t="s">
        <v>31</v>
      </c>
      <c r="B26" s="3">
        <v>46025</v>
      </c>
      <c r="C26">
        <v>400000</v>
      </c>
      <c r="D26" t="s">
        <v>19</v>
      </c>
      <c r="E26" s="4">
        <v>26136</v>
      </c>
      <c r="G26" t="s">
        <v>33</v>
      </c>
    </row>
    <row r="27" spans="1:7" x14ac:dyDescent="0.35">
      <c r="A27" t="s">
        <v>36</v>
      </c>
      <c r="B27" s="3">
        <v>46032</v>
      </c>
      <c r="C27">
        <v>704000</v>
      </c>
      <c r="D27" t="s">
        <v>32</v>
      </c>
      <c r="E27" s="4"/>
      <c r="F27">
        <v>18000</v>
      </c>
      <c r="G27" t="s">
        <v>37</v>
      </c>
    </row>
    <row r="28" spans="1:7" x14ac:dyDescent="0.35">
      <c r="A28" t="s">
        <v>36</v>
      </c>
      <c r="B28" s="3">
        <v>46032</v>
      </c>
      <c r="C28">
        <v>704000</v>
      </c>
      <c r="D28" t="s">
        <v>32</v>
      </c>
      <c r="E28" s="4"/>
      <c r="F28">
        <v>3000</v>
      </c>
      <c r="G28" t="s">
        <v>37</v>
      </c>
    </row>
    <row r="29" spans="1:7" x14ac:dyDescent="0.35">
      <c r="A29" t="s">
        <v>36</v>
      </c>
      <c r="B29" s="3">
        <v>46032</v>
      </c>
      <c r="C29">
        <v>451100</v>
      </c>
      <c r="D29" t="s">
        <v>35</v>
      </c>
      <c r="E29" s="4"/>
      <c r="F29">
        <v>3780</v>
      </c>
      <c r="G29" t="s">
        <v>37</v>
      </c>
    </row>
    <row r="30" spans="1:7" x14ac:dyDescent="0.35">
      <c r="A30" t="s">
        <v>36</v>
      </c>
      <c r="B30" s="3">
        <v>46032</v>
      </c>
      <c r="C30">
        <v>451100</v>
      </c>
      <c r="D30" t="s">
        <v>35</v>
      </c>
      <c r="E30" s="4"/>
      <c r="F30">
        <v>180</v>
      </c>
      <c r="G30" t="s">
        <v>37</v>
      </c>
    </row>
    <row r="31" spans="1:7" x14ac:dyDescent="0.35">
      <c r="A31" t="s">
        <v>36</v>
      </c>
      <c r="B31" s="3">
        <v>46032</v>
      </c>
      <c r="C31">
        <v>400000</v>
      </c>
      <c r="D31" t="s">
        <v>19</v>
      </c>
      <c r="E31" s="4">
        <v>24960</v>
      </c>
      <c r="G31" t="s">
        <v>37</v>
      </c>
    </row>
    <row r="32" spans="1:7" x14ac:dyDescent="0.35">
      <c r="A32" t="s">
        <v>38</v>
      </c>
      <c r="B32" s="3">
        <v>46039</v>
      </c>
      <c r="C32">
        <v>704000</v>
      </c>
      <c r="D32" t="s">
        <v>32</v>
      </c>
      <c r="E32" s="4"/>
      <c r="F32">
        <v>30000</v>
      </c>
      <c r="G32" t="s">
        <v>39</v>
      </c>
    </row>
    <row r="33" spans="1:7" x14ac:dyDescent="0.35">
      <c r="A33" t="s">
        <v>38</v>
      </c>
      <c r="B33" s="3">
        <v>46039</v>
      </c>
      <c r="C33">
        <v>746000</v>
      </c>
      <c r="D33" t="s">
        <v>40</v>
      </c>
      <c r="E33" s="4"/>
      <c r="F33">
        <v>600</v>
      </c>
      <c r="G33" t="s">
        <v>39</v>
      </c>
    </row>
    <row r="34" spans="1:7" x14ac:dyDescent="0.35">
      <c r="A34" t="s">
        <v>38</v>
      </c>
      <c r="B34" s="3">
        <v>46039</v>
      </c>
      <c r="C34">
        <v>451100</v>
      </c>
      <c r="D34" t="s">
        <v>35</v>
      </c>
      <c r="E34" s="4"/>
      <c r="F34">
        <v>6426</v>
      </c>
      <c r="G34" t="s">
        <v>39</v>
      </c>
    </row>
    <row r="35" spans="1:7" x14ac:dyDescent="0.35">
      <c r="A35" t="s">
        <v>38</v>
      </c>
      <c r="B35" s="3">
        <v>46039</v>
      </c>
      <c r="C35">
        <v>488000</v>
      </c>
      <c r="D35" t="s">
        <v>41</v>
      </c>
      <c r="E35" s="4"/>
      <c r="F35">
        <v>500</v>
      </c>
      <c r="G35" t="s">
        <v>39</v>
      </c>
    </row>
    <row r="36" spans="1:7" x14ac:dyDescent="0.35">
      <c r="A36" t="s">
        <v>38</v>
      </c>
      <c r="B36" s="3">
        <v>46039</v>
      </c>
      <c r="C36">
        <v>400000</v>
      </c>
      <c r="D36" t="s">
        <v>19</v>
      </c>
      <c r="E36" s="4">
        <v>37526</v>
      </c>
      <c r="G36" t="s">
        <v>39</v>
      </c>
    </row>
    <row r="37" spans="1:7" x14ac:dyDescent="0.35">
      <c r="A37" t="s">
        <v>42</v>
      </c>
      <c r="B37" s="3">
        <v>46057</v>
      </c>
      <c r="C37">
        <v>488000</v>
      </c>
      <c r="D37" t="s">
        <v>41</v>
      </c>
      <c r="E37" s="4">
        <v>500</v>
      </c>
      <c r="G37" t="s">
        <v>43</v>
      </c>
    </row>
    <row r="38" spans="1:7" x14ac:dyDescent="0.35">
      <c r="A38" t="s">
        <v>42</v>
      </c>
      <c r="B38" s="3">
        <v>46057</v>
      </c>
      <c r="C38">
        <v>400000</v>
      </c>
      <c r="D38" t="s">
        <v>19</v>
      </c>
      <c r="E38" s="4"/>
      <c r="F38">
        <v>500</v>
      </c>
      <c r="G38" t="s">
        <v>43</v>
      </c>
    </row>
    <row r="39" spans="1:7" x14ac:dyDescent="0.35">
      <c r="A39" t="s">
        <v>44</v>
      </c>
      <c r="B39" s="3">
        <v>46061</v>
      </c>
      <c r="C39">
        <v>704000</v>
      </c>
      <c r="D39" t="s">
        <v>32</v>
      </c>
      <c r="E39" s="4"/>
      <c r="F39">
        <v>40000</v>
      </c>
      <c r="G39" t="s">
        <v>45</v>
      </c>
    </row>
    <row r="40" spans="1:7" x14ac:dyDescent="0.35">
      <c r="A40" t="s">
        <v>44</v>
      </c>
      <c r="B40" s="3">
        <v>46061</v>
      </c>
      <c r="C40">
        <v>451100</v>
      </c>
      <c r="D40" t="s">
        <v>35</v>
      </c>
      <c r="E40" s="4"/>
      <c r="F40">
        <v>8232</v>
      </c>
      <c r="G40" t="s">
        <v>45</v>
      </c>
    </row>
    <row r="41" spans="1:7" x14ac:dyDescent="0.35">
      <c r="A41" t="s">
        <v>44</v>
      </c>
      <c r="B41" s="3">
        <v>46061</v>
      </c>
      <c r="C41">
        <v>400000</v>
      </c>
      <c r="D41" t="s">
        <v>19</v>
      </c>
      <c r="E41" s="4">
        <v>48232</v>
      </c>
      <c r="G41" t="s">
        <v>45</v>
      </c>
    </row>
    <row r="42" spans="1:7" x14ac:dyDescent="0.35">
      <c r="A42" t="s">
        <v>47</v>
      </c>
      <c r="B42" s="3">
        <v>46075</v>
      </c>
      <c r="C42">
        <v>704000</v>
      </c>
      <c r="D42" t="s">
        <v>32</v>
      </c>
      <c r="E42" s="4"/>
      <c r="F42">
        <v>20000</v>
      </c>
      <c r="G42" t="s">
        <v>48</v>
      </c>
    </row>
    <row r="43" spans="1:7" x14ac:dyDescent="0.35">
      <c r="A43" t="s">
        <v>47</v>
      </c>
      <c r="B43" s="3">
        <v>46075</v>
      </c>
      <c r="C43">
        <v>704020</v>
      </c>
      <c r="D43" t="s">
        <v>34</v>
      </c>
      <c r="E43" s="4">
        <v>2000</v>
      </c>
      <c r="G43" t="s">
        <v>48</v>
      </c>
    </row>
    <row r="44" spans="1:7" x14ac:dyDescent="0.35">
      <c r="A44" t="s">
        <v>47</v>
      </c>
      <c r="B44" s="3">
        <v>46075</v>
      </c>
      <c r="C44">
        <v>746000</v>
      </c>
      <c r="D44" t="s">
        <v>40</v>
      </c>
      <c r="E44" s="4"/>
      <c r="F44">
        <v>400</v>
      </c>
      <c r="G44" t="s">
        <v>48</v>
      </c>
    </row>
    <row r="45" spans="1:7" x14ac:dyDescent="0.35">
      <c r="A45" t="s">
        <v>47</v>
      </c>
      <c r="B45" s="3">
        <v>46075</v>
      </c>
      <c r="C45">
        <v>451100</v>
      </c>
      <c r="D45" t="s">
        <v>35</v>
      </c>
      <c r="E45" s="4"/>
      <c r="F45">
        <v>3864</v>
      </c>
      <c r="G45" t="s">
        <v>48</v>
      </c>
    </row>
    <row r="46" spans="1:7" x14ac:dyDescent="0.35">
      <c r="A46" t="s">
        <v>47</v>
      </c>
      <c r="B46" s="3">
        <v>46075</v>
      </c>
      <c r="C46">
        <v>400000</v>
      </c>
      <c r="D46" t="s">
        <v>19</v>
      </c>
      <c r="E46" s="4">
        <v>22264</v>
      </c>
      <c r="G46" t="s">
        <v>48</v>
      </c>
    </row>
    <row r="47" spans="1:7" x14ac:dyDescent="0.35">
      <c r="A47" t="s">
        <v>49</v>
      </c>
      <c r="B47" s="3">
        <v>46093</v>
      </c>
      <c r="C47">
        <v>704000</v>
      </c>
      <c r="D47" t="s">
        <v>32</v>
      </c>
      <c r="E47" s="4"/>
      <c r="F47">
        <v>28000</v>
      </c>
      <c r="G47" t="s">
        <v>50</v>
      </c>
    </row>
    <row r="48" spans="1:7" x14ac:dyDescent="0.35">
      <c r="A48" t="s">
        <v>49</v>
      </c>
      <c r="B48" s="3">
        <v>46093</v>
      </c>
      <c r="C48">
        <v>704000</v>
      </c>
      <c r="D48" t="s">
        <v>32</v>
      </c>
      <c r="E48" s="4"/>
      <c r="F48">
        <v>2000</v>
      </c>
      <c r="G48" t="s">
        <v>50</v>
      </c>
    </row>
    <row r="49" spans="1:7" x14ac:dyDescent="0.35">
      <c r="A49" t="s">
        <v>49</v>
      </c>
      <c r="B49" s="3">
        <v>46093</v>
      </c>
      <c r="C49">
        <v>451100</v>
      </c>
      <c r="D49" t="s">
        <v>35</v>
      </c>
      <c r="E49" s="4"/>
      <c r="F49">
        <v>5880</v>
      </c>
      <c r="G49" t="s">
        <v>50</v>
      </c>
    </row>
    <row r="50" spans="1:7" x14ac:dyDescent="0.35">
      <c r="A50" t="s">
        <v>49</v>
      </c>
      <c r="B50" s="3">
        <v>46093</v>
      </c>
      <c r="C50">
        <v>451100</v>
      </c>
      <c r="D50" t="s">
        <v>35</v>
      </c>
      <c r="E50" s="4"/>
      <c r="F50">
        <v>120</v>
      </c>
      <c r="G50" t="s">
        <v>50</v>
      </c>
    </row>
    <row r="51" spans="1:7" x14ac:dyDescent="0.35">
      <c r="A51" t="s">
        <v>49</v>
      </c>
      <c r="B51" s="3">
        <v>46093</v>
      </c>
      <c r="C51">
        <v>488000</v>
      </c>
      <c r="D51" t="s">
        <v>41</v>
      </c>
      <c r="E51" s="4"/>
      <c r="F51">
        <v>500</v>
      </c>
      <c r="G51" t="s">
        <v>50</v>
      </c>
    </row>
    <row r="52" spans="1:7" x14ac:dyDescent="0.35">
      <c r="A52" t="s">
        <v>49</v>
      </c>
      <c r="B52" s="3">
        <v>46093</v>
      </c>
      <c r="C52">
        <v>400000</v>
      </c>
      <c r="D52" t="s">
        <v>19</v>
      </c>
      <c r="E52" s="4">
        <v>36500</v>
      </c>
      <c r="G52" t="s">
        <v>50</v>
      </c>
    </row>
    <row r="53" spans="1:7" x14ac:dyDescent="0.35">
      <c r="A53" t="s">
        <v>51</v>
      </c>
      <c r="B53" s="3">
        <v>46105</v>
      </c>
      <c r="C53">
        <v>704010</v>
      </c>
      <c r="D53" t="s">
        <v>52</v>
      </c>
      <c r="E53" s="4">
        <v>4000</v>
      </c>
      <c r="G53" t="s">
        <v>53</v>
      </c>
    </row>
    <row r="54" spans="1:7" x14ac:dyDescent="0.35">
      <c r="A54" t="s">
        <v>51</v>
      </c>
      <c r="B54" s="3">
        <v>46105</v>
      </c>
      <c r="C54">
        <v>411200</v>
      </c>
      <c r="D54" t="s">
        <v>54</v>
      </c>
      <c r="E54" s="4">
        <v>840</v>
      </c>
      <c r="G54" t="s">
        <v>53</v>
      </c>
    </row>
    <row r="55" spans="1:7" x14ac:dyDescent="0.35">
      <c r="A55" t="s">
        <v>51</v>
      </c>
      <c r="B55" s="3">
        <v>46105</v>
      </c>
      <c r="C55">
        <v>400000</v>
      </c>
      <c r="D55" t="s">
        <v>19</v>
      </c>
      <c r="E55" s="4"/>
      <c r="F55">
        <v>4840</v>
      </c>
      <c r="G55" t="s">
        <v>53</v>
      </c>
    </row>
    <row r="56" spans="1:7" x14ac:dyDescent="0.35">
      <c r="A56" t="s">
        <v>55</v>
      </c>
      <c r="B56" s="3">
        <v>46024</v>
      </c>
      <c r="C56">
        <v>604000</v>
      </c>
      <c r="D56" t="s">
        <v>56</v>
      </c>
      <c r="E56" s="4">
        <v>20000</v>
      </c>
      <c r="G56" t="s">
        <v>57</v>
      </c>
    </row>
    <row r="57" spans="1:7" x14ac:dyDescent="0.35">
      <c r="A57" t="s">
        <v>55</v>
      </c>
      <c r="B57" s="3">
        <v>46024</v>
      </c>
      <c r="C57">
        <v>411100</v>
      </c>
      <c r="D57" t="s">
        <v>58</v>
      </c>
      <c r="E57" s="4">
        <v>4200</v>
      </c>
      <c r="G57" t="s">
        <v>57</v>
      </c>
    </row>
    <row r="58" spans="1:7" x14ac:dyDescent="0.35">
      <c r="A58" t="s">
        <v>55</v>
      </c>
      <c r="B58" s="3">
        <v>46024</v>
      </c>
      <c r="C58">
        <v>440000</v>
      </c>
      <c r="D58" t="s">
        <v>25</v>
      </c>
      <c r="E58" s="4"/>
      <c r="F58">
        <v>24200</v>
      </c>
      <c r="G58" t="s">
        <v>57</v>
      </c>
    </row>
    <row r="59" spans="1:7" x14ac:dyDescent="0.35">
      <c r="A59" t="s">
        <v>59</v>
      </c>
      <c r="B59" s="3">
        <v>46031</v>
      </c>
      <c r="C59">
        <v>604000</v>
      </c>
      <c r="D59" t="s">
        <v>56</v>
      </c>
      <c r="E59" s="4">
        <v>30000</v>
      </c>
      <c r="G59" t="s">
        <v>60</v>
      </c>
    </row>
    <row r="60" spans="1:7" x14ac:dyDescent="0.35">
      <c r="A60" t="s">
        <v>59</v>
      </c>
      <c r="B60" s="3">
        <v>46031</v>
      </c>
      <c r="C60">
        <v>604020</v>
      </c>
      <c r="D60" t="s">
        <v>61</v>
      </c>
      <c r="E60" s="4"/>
      <c r="F60">
        <v>3000</v>
      </c>
      <c r="G60" t="s">
        <v>60</v>
      </c>
    </row>
    <row r="61" spans="1:7" x14ac:dyDescent="0.35">
      <c r="A61" t="s">
        <v>59</v>
      </c>
      <c r="B61" s="3">
        <v>46031</v>
      </c>
      <c r="C61">
        <v>411100</v>
      </c>
      <c r="D61" t="s">
        <v>58</v>
      </c>
      <c r="E61" s="4">
        <v>5670</v>
      </c>
      <c r="G61" t="s">
        <v>60</v>
      </c>
    </row>
    <row r="62" spans="1:7" x14ac:dyDescent="0.35">
      <c r="A62" t="s">
        <v>59</v>
      </c>
      <c r="B62" s="3">
        <v>46031</v>
      </c>
      <c r="C62">
        <v>440000</v>
      </c>
      <c r="D62" t="s">
        <v>25</v>
      </c>
      <c r="E62" s="4"/>
      <c r="F62">
        <v>32670</v>
      </c>
      <c r="G62" t="s">
        <v>60</v>
      </c>
    </row>
    <row r="63" spans="1:7" x14ac:dyDescent="0.35">
      <c r="A63" t="s">
        <v>62</v>
      </c>
      <c r="B63" s="3">
        <v>46043</v>
      </c>
      <c r="C63">
        <v>604000</v>
      </c>
      <c r="D63" t="s">
        <v>56</v>
      </c>
      <c r="E63" s="4">
        <v>24000</v>
      </c>
      <c r="G63" t="s">
        <v>63</v>
      </c>
    </row>
    <row r="64" spans="1:7" x14ac:dyDescent="0.35">
      <c r="A64" t="s">
        <v>62</v>
      </c>
      <c r="B64" s="3">
        <v>46043</v>
      </c>
      <c r="C64">
        <v>604030</v>
      </c>
      <c r="D64" t="s">
        <v>64</v>
      </c>
      <c r="E64" s="4">
        <v>400</v>
      </c>
      <c r="G64" t="s">
        <v>63</v>
      </c>
    </row>
    <row r="65" spans="1:7" x14ac:dyDescent="0.35">
      <c r="A65" t="s">
        <v>62</v>
      </c>
      <c r="B65" s="3">
        <v>46043</v>
      </c>
      <c r="C65">
        <v>411100</v>
      </c>
      <c r="D65" t="s">
        <v>58</v>
      </c>
      <c r="E65" s="4">
        <v>5124</v>
      </c>
      <c r="G65" t="s">
        <v>63</v>
      </c>
    </row>
    <row r="66" spans="1:7" x14ac:dyDescent="0.35">
      <c r="A66" t="s">
        <v>62</v>
      </c>
      <c r="B66" s="3">
        <v>46043</v>
      </c>
      <c r="C66">
        <v>418000</v>
      </c>
      <c r="D66" t="s">
        <v>65</v>
      </c>
      <c r="E66" s="4">
        <v>600</v>
      </c>
      <c r="G66" t="s">
        <v>63</v>
      </c>
    </row>
    <row r="67" spans="1:7" x14ac:dyDescent="0.35">
      <c r="A67" t="s">
        <v>62</v>
      </c>
      <c r="B67" s="3">
        <v>46043</v>
      </c>
      <c r="C67">
        <v>440000</v>
      </c>
      <c r="D67" t="s">
        <v>25</v>
      </c>
      <c r="E67" s="4"/>
      <c r="F67">
        <v>30124</v>
      </c>
      <c r="G67" t="s">
        <v>63</v>
      </c>
    </row>
    <row r="68" spans="1:7" x14ac:dyDescent="0.35">
      <c r="A68" t="s">
        <v>66</v>
      </c>
      <c r="B68" s="3">
        <v>46051</v>
      </c>
      <c r="C68">
        <v>440000</v>
      </c>
      <c r="D68" t="s">
        <v>25</v>
      </c>
      <c r="E68" s="4">
        <v>600</v>
      </c>
      <c r="G68" t="s">
        <v>67</v>
      </c>
    </row>
    <row r="69" spans="1:7" x14ac:dyDescent="0.35">
      <c r="A69" t="s">
        <v>66</v>
      </c>
      <c r="B69" s="3">
        <v>46051</v>
      </c>
      <c r="C69">
        <v>418000</v>
      </c>
      <c r="D69" t="s">
        <v>65</v>
      </c>
      <c r="E69" s="4"/>
      <c r="F69">
        <v>600</v>
      </c>
      <c r="G69" t="s">
        <v>67</v>
      </c>
    </row>
    <row r="70" spans="1:7" x14ac:dyDescent="0.35">
      <c r="A70" t="s">
        <v>68</v>
      </c>
      <c r="B70" s="3">
        <v>46058</v>
      </c>
      <c r="C70">
        <v>604000</v>
      </c>
      <c r="D70" t="s">
        <v>56</v>
      </c>
      <c r="E70" s="4">
        <v>6000</v>
      </c>
      <c r="G70" t="s">
        <v>69</v>
      </c>
    </row>
    <row r="71" spans="1:7" x14ac:dyDescent="0.35">
      <c r="A71" t="s">
        <v>68</v>
      </c>
      <c r="B71" s="3">
        <v>46058</v>
      </c>
      <c r="C71">
        <v>440000</v>
      </c>
      <c r="D71" t="s">
        <v>25</v>
      </c>
      <c r="E71" s="4"/>
      <c r="F71">
        <v>6000</v>
      </c>
      <c r="G71" t="s">
        <v>69</v>
      </c>
    </row>
    <row r="72" spans="1:7" x14ac:dyDescent="0.35">
      <c r="A72" t="s">
        <v>70</v>
      </c>
      <c r="B72" s="3">
        <v>46073</v>
      </c>
      <c r="C72">
        <v>604000</v>
      </c>
      <c r="D72" t="s">
        <v>56</v>
      </c>
      <c r="E72" s="4">
        <v>30000</v>
      </c>
      <c r="G72" t="s">
        <v>71</v>
      </c>
    </row>
    <row r="73" spans="1:7" x14ac:dyDescent="0.35">
      <c r="A73" t="s">
        <v>70</v>
      </c>
      <c r="B73" s="3">
        <v>46073</v>
      </c>
      <c r="C73">
        <v>411100</v>
      </c>
      <c r="D73" t="s">
        <v>58</v>
      </c>
      <c r="E73" s="4">
        <v>6174</v>
      </c>
      <c r="G73" t="s">
        <v>71</v>
      </c>
    </row>
    <row r="74" spans="1:7" x14ac:dyDescent="0.35">
      <c r="A74" t="s">
        <v>70</v>
      </c>
      <c r="B74" s="3">
        <v>46073</v>
      </c>
      <c r="C74">
        <v>440000</v>
      </c>
      <c r="D74" t="s">
        <v>25</v>
      </c>
      <c r="E74" s="4"/>
      <c r="F74" s="11">
        <f>E72+E73</f>
        <v>36174</v>
      </c>
      <c r="G74" t="s">
        <v>71</v>
      </c>
    </row>
    <row r="75" spans="1:7" x14ac:dyDescent="0.35">
      <c r="A75" t="s">
        <v>73</v>
      </c>
      <c r="B75" s="3">
        <v>46089</v>
      </c>
      <c r="C75">
        <v>604000</v>
      </c>
      <c r="D75" t="s">
        <v>56</v>
      </c>
      <c r="E75" s="4">
        <v>20000</v>
      </c>
      <c r="G75" t="s">
        <v>74</v>
      </c>
    </row>
    <row r="76" spans="1:7" x14ac:dyDescent="0.35">
      <c r="A76" t="s">
        <v>73</v>
      </c>
      <c r="B76" s="3">
        <v>46089</v>
      </c>
      <c r="C76">
        <v>604020</v>
      </c>
      <c r="D76" t="s">
        <v>61</v>
      </c>
      <c r="E76" s="4"/>
      <c r="F76">
        <v>1000</v>
      </c>
      <c r="G76" t="s">
        <v>74</v>
      </c>
    </row>
    <row r="77" spans="1:7" x14ac:dyDescent="0.35">
      <c r="A77" t="s">
        <v>73</v>
      </c>
      <c r="B77" s="3">
        <v>46089</v>
      </c>
      <c r="C77">
        <v>411100</v>
      </c>
      <c r="D77" t="s">
        <v>58</v>
      </c>
      <c r="E77" s="4">
        <v>3990</v>
      </c>
      <c r="G77" t="s">
        <v>74</v>
      </c>
    </row>
    <row r="78" spans="1:7" x14ac:dyDescent="0.35">
      <c r="A78" t="s">
        <v>73</v>
      </c>
      <c r="B78" s="3">
        <v>46089</v>
      </c>
      <c r="C78">
        <v>418000</v>
      </c>
      <c r="D78" t="s">
        <v>65</v>
      </c>
      <c r="E78" s="4">
        <v>400</v>
      </c>
      <c r="G78" t="s">
        <v>74</v>
      </c>
    </row>
    <row r="79" spans="1:7" x14ac:dyDescent="0.35">
      <c r="A79" t="s">
        <v>73</v>
      </c>
      <c r="B79" s="3">
        <v>46089</v>
      </c>
      <c r="C79">
        <v>440000</v>
      </c>
      <c r="D79" t="s">
        <v>25</v>
      </c>
      <c r="E79" s="4"/>
      <c r="F79">
        <v>23390</v>
      </c>
      <c r="G79" t="s">
        <v>74</v>
      </c>
    </row>
    <row r="80" spans="1:7" x14ac:dyDescent="0.35">
      <c r="A80" t="s">
        <v>75</v>
      </c>
      <c r="B80" s="3">
        <v>46103</v>
      </c>
      <c r="C80">
        <v>440000</v>
      </c>
      <c r="D80" t="s">
        <v>25</v>
      </c>
      <c r="E80" s="4">
        <v>2299</v>
      </c>
      <c r="G80" t="s">
        <v>76</v>
      </c>
    </row>
    <row r="81" spans="1:7" x14ac:dyDescent="0.35">
      <c r="A81" t="s">
        <v>75</v>
      </c>
      <c r="B81" s="3">
        <v>46103</v>
      </c>
      <c r="C81">
        <v>604010</v>
      </c>
      <c r="D81" t="s">
        <v>77</v>
      </c>
      <c r="E81" s="4"/>
      <c r="F81">
        <v>2000</v>
      </c>
      <c r="G81" t="s">
        <v>76</v>
      </c>
    </row>
    <row r="82" spans="1:7" x14ac:dyDescent="0.35">
      <c r="A82" t="s">
        <v>75</v>
      </c>
      <c r="B82" s="3">
        <v>46103</v>
      </c>
      <c r="C82">
        <v>604020</v>
      </c>
      <c r="D82" t="s">
        <v>61</v>
      </c>
      <c r="E82" s="4">
        <v>100</v>
      </c>
      <c r="G82" t="s">
        <v>76</v>
      </c>
    </row>
    <row r="83" spans="1:7" x14ac:dyDescent="0.35">
      <c r="A83" t="s">
        <v>75</v>
      </c>
      <c r="B83" s="3">
        <v>46103</v>
      </c>
      <c r="C83">
        <v>451200</v>
      </c>
      <c r="D83" t="s">
        <v>78</v>
      </c>
      <c r="E83" s="4"/>
      <c r="F83">
        <v>399</v>
      </c>
      <c r="G83" t="s">
        <v>76</v>
      </c>
    </row>
    <row r="84" spans="1:7" x14ac:dyDescent="0.35">
      <c r="A84" t="s">
        <v>79</v>
      </c>
      <c r="B84" s="3">
        <v>46052</v>
      </c>
      <c r="C84">
        <v>612700</v>
      </c>
      <c r="D84" t="s">
        <v>80</v>
      </c>
      <c r="E84" s="4">
        <v>1500</v>
      </c>
      <c r="G84" t="s">
        <v>81</v>
      </c>
    </row>
    <row r="85" spans="1:7" x14ac:dyDescent="0.35">
      <c r="A85" t="s">
        <v>79</v>
      </c>
      <c r="B85" s="3">
        <v>46052</v>
      </c>
      <c r="C85">
        <v>612600</v>
      </c>
      <c r="D85" t="s">
        <v>82</v>
      </c>
      <c r="E85" s="4">
        <v>500</v>
      </c>
      <c r="G85" t="s">
        <v>83</v>
      </c>
    </row>
    <row r="86" spans="1:7" x14ac:dyDescent="0.35">
      <c r="A86" t="s">
        <v>79</v>
      </c>
      <c r="B86" s="3">
        <v>46052</v>
      </c>
      <c r="C86">
        <v>411100</v>
      </c>
      <c r="D86" t="s">
        <v>58</v>
      </c>
      <c r="E86" s="4">
        <v>120</v>
      </c>
      <c r="G86" t="s">
        <v>84</v>
      </c>
    </row>
    <row r="87" spans="1:7" x14ac:dyDescent="0.35">
      <c r="A87" t="s">
        <v>79</v>
      </c>
      <c r="B87" s="3">
        <v>46052</v>
      </c>
      <c r="C87">
        <v>440000</v>
      </c>
      <c r="D87" t="s">
        <v>25</v>
      </c>
      <c r="E87" s="4"/>
      <c r="F87">
        <v>2120</v>
      </c>
      <c r="G87" t="s">
        <v>85</v>
      </c>
    </row>
    <row r="88" spans="1:7" x14ac:dyDescent="0.35">
      <c r="A88" t="s">
        <v>86</v>
      </c>
      <c r="B88" s="3">
        <v>46057</v>
      </c>
      <c r="C88">
        <v>241000</v>
      </c>
      <c r="D88" t="s">
        <v>16</v>
      </c>
      <c r="E88" s="4">
        <v>40000</v>
      </c>
      <c r="G88" t="s">
        <v>87</v>
      </c>
    </row>
    <row r="89" spans="1:7" x14ac:dyDescent="0.35">
      <c r="A89" t="s">
        <v>86</v>
      </c>
      <c r="B89" s="3">
        <v>46057</v>
      </c>
      <c r="C89">
        <v>411100</v>
      </c>
      <c r="D89" t="s">
        <v>58</v>
      </c>
      <c r="E89" s="4">
        <v>8400</v>
      </c>
      <c r="G89" t="s">
        <v>87</v>
      </c>
    </row>
    <row r="90" spans="1:7" x14ac:dyDescent="0.35">
      <c r="A90" t="s">
        <v>86</v>
      </c>
      <c r="B90" s="3">
        <v>46057</v>
      </c>
      <c r="C90">
        <v>440000</v>
      </c>
      <c r="D90" t="s">
        <v>25</v>
      </c>
      <c r="E90" s="4"/>
      <c r="F90">
        <v>48400</v>
      </c>
      <c r="G90" t="s">
        <v>87</v>
      </c>
    </row>
    <row r="91" spans="1:7" x14ac:dyDescent="0.35">
      <c r="A91" t="s">
        <v>88</v>
      </c>
      <c r="B91" s="3">
        <v>46084</v>
      </c>
      <c r="C91">
        <v>454000</v>
      </c>
      <c r="D91" t="s">
        <v>28</v>
      </c>
      <c r="E91" s="4">
        <v>11421</v>
      </c>
      <c r="G91" t="s">
        <v>89</v>
      </c>
    </row>
    <row r="92" spans="1:7" x14ac:dyDescent="0.35">
      <c r="A92" t="s">
        <v>88</v>
      </c>
      <c r="B92" s="3">
        <v>46084</v>
      </c>
      <c r="C92">
        <v>453000</v>
      </c>
      <c r="D92" t="s">
        <v>27</v>
      </c>
      <c r="E92" s="4">
        <v>6079</v>
      </c>
      <c r="G92" t="s">
        <v>89</v>
      </c>
    </row>
    <row r="93" spans="1:7" x14ac:dyDescent="0.35">
      <c r="A93" t="s">
        <v>88</v>
      </c>
      <c r="B93" s="3">
        <v>46084</v>
      </c>
      <c r="C93">
        <v>440000</v>
      </c>
      <c r="D93" t="s">
        <v>25</v>
      </c>
      <c r="E93" s="4"/>
      <c r="F93">
        <v>17500</v>
      </c>
      <c r="G93" t="s">
        <v>89</v>
      </c>
    </row>
    <row r="94" spans="1:7" x14ac:dyDescent="0.35">
      <c r="A94" t="s">
        <v>90</v>
      </c>
      <c r="B94" s="3">
        <v>46084</v>
      </c>
      <c r="C94">
        <v>613300</v>
      </c>
      <c r="D94" t="s">
        <v>91</v>
      </c>
      <c r="E94" s="4">
        <v>400</v>
      </c>
      <c r="G94" t="s">
        <v>92</v>
      </c>
    </row>
    <row r="95" spans="1:7" x14ac:dyDescent="0.35">
      <c r="A95" t="s">
        <v>90</v>
      </c>
      <c r="B95" s="3">
        <v>46084</v>
      </c>
      <c r="C95">
        <v>440000</v>
      </c>
      <c r="D95" t="s">
        <v>25</v>
      </c>
      <c r="E95" s="4"/>
      <c r="F95">
        <v>400</v>
      </c>
      <c r="G95" t="s">
        <v>92</v>
      </c>
    </row>
    <row r="96" spans="1:7" x14ac:dyDescent="0.35">
      <c r="A96" t="s">
        <v>93</v>
      </c>
      <c r="B96" s="3">
        <v>46053</v>
      </c>
      <c r="C96">
        <v>400000</v>
      </c>
      <c r="D96" t="s">
        <v>19</v>
      </c>
      <c r="E96" s="4">
        <f>21120+5200</f>
        <v>26320</v>
      </c>
      <c r="G96" t="s">
        <v>94</v>
      </c>
    </row>
    <row r="97" spans="1:7" x14ac:dyDescent="0.35">
      <c r="A97" t="s">
        <v>93</v>
      </c>
      <c r="B97" s="3">
        <v>46053</v>
      </c>
      <c r="C97">
        <v>704000</v>
      </c>
      <c r="D97" t="s">
        <v>32</v>
      </c>
      <c r="E97" s="4"/>
      <c r="F97">
        <v>22000</v>
      </c>
      <c r="G97" t="s">
        <v>94</v>
      </c>
    </row>
    <row r="98" spans="1:7" x14ac:dyDescent="0.35">
      <c r="A98" t="s">
        <v>93</v>
      </c>
      <c r="B98" s="3">
        <v>46053</v>
      </c>
      <c r="C98">
        <v>451100</v>
      </c>
      <c r="D98" t="s">
        <v>35</v>
      </c>
      <c r="E98" s="4"/>
      <c r="F98">
        <v>4320</v>
      </c>
      <c r="G98" t="s">
        <v>94</v>
      </c>
    </row>
    <row r="99" spans="1:7" x14ac:dyDescent="0.35">
      <c r="A99" t="s">
        <v>96</v>
      </c>
      <c r="B99" s="3">
        <v>46052</v>
      </c>
      <c r="C99">
        <v>570000</v>
      </c>
      <c r="D99" t="s">
        <v>21</v>
      </c>
      <c r="E99" s="4">
        <v>5200</v>
      </c>
      <c r="G99" t="s">
        <v>97</v>
      </c>
    </row>
    <row r="100" spans="1:7" x14ac:dyDescent="0.35">
      <c r="A100" t="s">
        <v>96</v>
      </c>
      <c r="B100" s="3">
        <v>46052</v>
      </c>
      <c r="C100">
        <v>400000</v>
      </c>
      <c r="D100" t="s">
        <v>19</v>
      </c>
      <c r="E100" s="4"/>
      <c r="F100">
        <v>5200</v>
      </c>
      <c r="G100" t="s">
        <v>97</v>
      </c>
    </row>
    <row r="101" spans="1:7" x14ac:dyDescent="0.35">
      <c r="A101" t="s">
        <v>96</v>
      </c>
      <c r="B101" s="3">
        <v>46059</v>
      </c>
      <c r="C101">
        <v>580000</v>
      </c>
      <c r="D101" t="s">
        <v>95</v>
      </c>
      <c r="E101" s="4">
        <v>6000</v>
      </c>
      <c r="G101" t="s">
        <v>97</v>
      </c>
    </row>
    <row r="102" spans="1:7" x14ac:dyDescent="0.35">
      <c r="A102" t="s">
        <v>96</v>
      </c>
      <c r="B102" s="3">
        <v>46059</v>
      </c>
      <c r="C102">
        <v>570000</v>
      </c>
      <c r="D102" t="s">
        <v>21</v>
      </c>
      <c r="E102" s="4"/>
      <c r="F102">
        <v>6000</v>
      </c>
      <c r="G102" t="s">
        <v>97</v>
      </c>
    </row>
    <row r="103" spans="1:7" x14ac:dyDescent="0.35">
      <c r="A103" t="s">
        <v>98</v>
      </c>
      <c r="B103" s="3">
        <v>46081</v>
      </c>
      <c r="C103">
        <v>620300</v>
      </c>
      <c r="D103" t="s">
        <v>99</v>
      </c>
      <c r="E103" s="4">
        <v>10000</v>
      </c>
      <c r="G103" t="s">
        <v>100</v>
      </c>
    </row>
    <row r="104" spans="1:7" x14ac:dyDescent="0.35">
      <c r="A104" t="s">
        <v>98</v>
      </c>
      <c r="B104" s="3">
        <v>46081</v>
      </c>
      <c r="C104">
        <v>620200</v>
      </c>
      <c r="D104" t="s">
        <v>101</v>
      </c>
      <c r="E104" s="4">
        <v>20000</v>
      </c>
      <c r="G104" t="s">
        <v>100</v>
      </c>
    </row>
    <row r="105" spans="1:7" x14ac:dyDescent="0.35">
      <c r="A105" t="s">
        <v>98</v>
      </c>
      <c r="B105" s="3">
        <v>46081</v>
      </c>
      <c r="C105">
        <v>621000</v>
      </c>
      <c r="D105" t="s">
        <v>102</v>
      </c>
      <c r="E105" s="4">
        <v>7500</v>
      </c>
      <c r="G105" t="s">
        <v>100</v>
      </c>
    </row>
    <row r="106" spans="1:7" x14ac:dyDescent="0.35">
      <c r="A106" t="s">
        <v>98</v>
      </c>
      <c r="B106" s="3">
        <v>46081</v>
      </c>
      <c r="C106">
        <v>455300</v>
      </c>
      <c r="D106" t="s">
        <v>30</v>
      </c>
      <c r="E106" s="4"/>
      <c r="F106">
        <v>7000</v>
      </c>
      <c r="G106" t="s">
        <v>100</v>
      </c>
    </row>
    <row r="107" spans="1:7" x14ac:dyDescent="0.35">
      <c r="A107" t="s">
        <v>98</v>
      </c>
      <c r="B107" s="3">
        <v>46081</v>
      </c>
      <c r="C107">
        <v>455200</v>
      </c>
      <c r="D107" t="s">
        <v>29</v>
      </c>
      <c r="E107" s="4"/>
      <c r="F107">
        <v>13000</v>
      </c>
      <c r="G107" t="s">
        <v>100</v>
      </c>
    </row>
    <row r="108" spans="1:7" x14ac:dyDescent="0.35">
      <c r="A108" t="s">
        <v>98</v>
      </c>
      <c r="B108" s="3">
        <v>46081</v>
      </c>
      <c r="C108">
        <v>453000</v>
      </c>
      <c r="D108" t="s">
        <v>27</v>
      </c>
      <c r="E108" s="4"/>
      <c r="F108">
        <v>6079</v>
      </c>
      <c r="G108" t="s">
        <v>100</v>
      </c>
    </row>
    <row r="109" spans="1:7" x14ac:dyDescent="0.35">
      <c r="A109" t="s">
        <v>98</v>
      </c>
      <c r="B109" s="3">
        <v>46081</v>
      </c>
      <c r="C109">
        <v>454000</v>
      </c>
      <c r="D109" t="s">
        <v>28</v>
      </c>
      <c r="E109" s="4"/>
      <c r="F109">
        <v>11421</v>
      </c>
      <c r="G109" t="s">
        <v>100</v>
      </c>
    </row>
    <row r="110" spans="1:7" x14ac:dyDescent="0.35">
      <c r="A110" t="s">
        <v>103</v>
      </c>
      <c r="B110" s="3">
        <v>46023</v>
      </c>
      <c r="C110">
        <v>550000</v>
      </c>
      <c r="D110" t="s">
        <v>20</v>
      </c>
      <c r="E110" s="4">
        <v>150000</v>
      </c>
      <c r="G110" t="s">
        <v>104</v>
      </c>
    </row>
    <row r="111" spans="1:7" x14ac:dyDescent="0.35">
      <c r="A111" t="s">
        <v>103</v>
      </c>
      <c r="B111" s="3">
        <v>46023</v>
      </c>
      <c r="C111">
        <v>173000</v>
      </c>
      <c r="D111" t="s">
        <v>105</v>
      </c>
      <c r="E111" s="4"/>
      <c r="F111">
        <v>150000</v>
      </c>
      <c r="G111" t="s">
        <v>104</v>
      </c>
    </row>
    <row r="112" spans="1:7" x14ac:dyDescent="0.35">
      <c r="A112" t="s">
        <v>103</v>
      </c>
      <c r="B112" s="3">
        <v>46024</v>
      </c>
      <c r="C112">
        <v>550000</v>
      </c>
      <c r="D112" t="s">
        <v>20</v>
      </c>
      <c r="E112" s="4">
        <v>60000</v>
      </c>
      <c r="G112" t="s">
        <v>106</v>
      </c>
    </row>
    <row r="113" spans="1:7" x14ac:dyDescent="0.35">
      <c r="A113" t="s">
        <v>103</v>
      </c>
      <c r="B113" s="3">
        <v>46024</v>
      </c>
      <c r="C113">
        <v>400000</v>
      </c>
      <c r="D113" t="s">
        <v>19</v>
      </c>
      <c r="E113" s="4"/>
      <c r="F113">
        <v>60000</v>
      </c>
      <c r="G113" t="s">
        <v>106</v>
      </c>
    </row>
    <row r="114" spans="1:7" x14ac:dyDescent="0.35">
      <c r="A114" t="s">
        <v>107</v>
      </c>
      <c r="B114" s="3">
        <v>46025</v>
      </c>
      <c r="C114">
        <v>440000</v>
      </c>
      <c r="D114" t="s">
        <v>25</v>
      </c>
      <c r="E114" s="4">
        <v>72000</v>
      </c>
      <c r="G114" t="s">
        <v>108</v>
      </c>
    </row>
    <row r="115" spans="1:7" x14ac:dyDescent="0.35">
      <c r="A115" t="s">
        <v>107</v>
      </c>
      <c r="B115" s="3">
        <v>46025</v>
      </c>
      <c r="C115">
        <v>550000</v>
      </c>
      <c r="D115" t="s">
        <v>20</v>
      </c>
      <c r="E115" s="4"/>
      <c r="F115">
        <v>72000</v>
      </c>
      <c r="G115" t="s">
        <v>108</v>
      </c>
    </row>
    <row r="116" spans="1:7" x14ac:dyDescent="0.35">
      <c r="A116" t="s">
        <v>107</v>
      </c>
      <c r="B116" s="3">
        <v>46025</v>
      </c>
      <c r="C116">
        <v>455200</v>
      </c>
      <c r="D116" t="s">
        <v>29</v>
      </c>
      <c r="E116" s="4">
        <v>13000</v>
      </c>
      <c r="G116" t="s">
        <v>109</v>
      </c>
    </row>
    <row r="117" spans="1:7" x14ac:dyDescent="0.35">
      <c r="A117" t="s">
        <v>107</v>
      </c>
      <c r="B117" s="3">
        <v>46025</v>
      </c>
      <c r="C117">
        <v>455300</v>
      </c>
      <c r="D117" t="s">
        <v>30</v>
      </c>
      <c r="E117" s="4">
        <v>5000</v>
      </c>
      <c r="G117" t="s">
        <v>109</v>
      </c>
    </row>
    <row r="118" spans="1:7" x14ac:dyDescent="0.35">
      <c r="A118" t="s">
        <v>107</v>
      </c>
      <c r="B118" s="3">
        <v>46025</v>
      </c>
      <c r="C118">
        <v>550000</v>
      </c>
      <c r="D118" t="s">
        <v>20</v>
      </c>
      <c r="E118" s="4"/>
      <c r="F118">
        <v>18000</v>
      </c>
      <c r="G118" t="s">
        <v>109</v>
      </c>
    </row>
    <row r="119" spans="1:7" x14ac:dyDescent="0.35">
      <c r="A119" t="s">
        <v>110</v>
      </c>
      <c r="B119" s="3">
        <v>46029</v>
      </c>
      <c r="C119">
        <v>440000</v>
      </c>
      <c r="D119" t="s">
        <v>25</v>
      </c>
      <c r="E119" s="4">
        <v>24200</v>
      </c>
      <c r="G119" t="s">
        <v>111</v>
      </c>
    </row>
    <row r="120" spans="1:7" x14ac:dyDescent="0.35">
      <c r="A120" t="s">
        <v>110</v>
      </c>
      <c r="B120" s="3">
        <v>46029</v>
      </c>
      <c r="C120">
        <v>550000</v>
      </c>
      <c r="D120" t="s">
        <v>20</v>
      </c>
      <c r="E120" s="4"/>
      <c r="F120">
        <v>24200</v>
      </c>
      <c r="G120" t="s">
        <v>111</v>
      </c>
    </row>
    <row r="121" spans="1:7" x14ac:dyDescent="0.35">
      <c r="A121" t="s">
        <v>110</v>
      </c>
      <c r="B121" s="3">
        <v>46036</v>
      </c>
      <c r="C121">
        <v>451000</v>
      </c>
      <c r="D121" t="s">
        <v>26</v>
      </c>
      <c r="E121" s="4">
        <v>12000</v>
      </c>
      <c r="G121" t="s">
        <v>113</v>
      </c>
    </row>
    <row r="122" spans="1:7" x14ac:dyDescent="0.35">
      <c r="A122" t="s">
        <v>110</v>
      </c>
      <c r="B122" s="3">
        <v>46036</v>
      </c>
      <c r="C122">
        <v>550000</v>
      </c>
      <c r="D122" t="s">
        <v>20</v>
      </c>
      <c r="E122" s="4"/>
      <c r="F122">
        <v>12000</v>
      </c>
      <c r="G122" t="s">
        <v>113</v>
      </c>
    </row>
    <row r="123" spans="1:7" x14ac:dyDescent="0.35">
      <c r="A123" t="s">
        <v>112</v>
      </c>
      <c r="B123" s="3">
        <v>46038</v>
      </c>
      <c r="C123">
        <v>550000</v>
      </c>
      <c r="D123" t="s">
        <v>20</v>
      </c>
      <c r="E123" s="4">
        <v>26136</v>
      </c>
      <c r="G123" t="s">
        <v>115</v>
      </c>
    </row>
    <row r="124" spans="1:7" x14ac:dyDescent="0.35">
      <c r="A124" t="s">
        <v>112</v>
      </c>
      <c r="B124" s="3">
        <v>46038</v>
      </c>
      <c r="C124">
        <v>400000</v>
      </c>
      <c r="D124" t="s">
        <v>19</v>
      </c>
      <c r="E124" s="4"/>
      <c r="F124">
        <v>26136</v>
      </c>
      <c r="G124" t="s">
        <v>115</v>
      </c>
    </row>
    <row r="125" spans="1:7" x14ac:dyDescent="0.35">
      <c r="A125" t="s">
        <v>112</v>
      </c>
      <c r="B125" s="3">
        <v>46042</v>
      </c>
      <c r="C125">
        <v>440000</v>
      </c>
      <c r="D125" t="s">
        <v>25</v>
      </c>
      <c r="E125" s="4">
        <v>32670</v>
      </c>
      <c r="G125" t="s">
        <v>116</v>
      </c>
    </row>
    <row r="126" spans="1:7" x14ac:dyDescent="0.35">
      <c r="A126" t="s">
        <v>112</v>
      </c>
      <c r="B126" s="3">
        <v>46042</v>
      </c>
      <c r="C126">
        <v>550000</v>
      </c>
      <c r="D126" t="s">
        <v>20</v>
      </c>
      <c r="E126" s="4"/>
      <c r="F126">
        <v>32670</v>
      </c>
      <c r="G126" t="s">
        <v>116</v>
      </c>
    </row>
    <row r="127" spans="1:7" x14ac:dyDescent="0.35">
      <c r="A127" t="s">
        <v>114</v>
      </c>
      <c r="B127" s="3">
        <v>46046</v>
      </c>
      <c r="C127">
        <v>550000</v>
      </c>
      <c r="D127" t="s">
        <v>20</v>
      </c>
      <c r="E127" s="4">
        <v>24960</v>
      </c>
      <c r="G127" t="s">
        <v>118</v>
      </c>
    </row>
    <row r="128" spans="1:7" x14ac:dyDescent="0.35">
      <c r="A128" t="s">
        <v>114</v>
      </c>
      <c r="B128" s="3">
        <v>46046</v>
      </c>
      <c r="C128">
        <v>400000</v>
      </c>
      <c r="D128" t="s">
        <v>19</v>
      </c>
      <c r="E128" s="4"/>
      <c r="F128">
        <v>24960</v>
      </c>
      <c r="G128" t="s">
        <v>118</v>
      </c>
    </row>
    <row r="129" spans="1:7" x14ac:dyDescent="0.35">
      <c r="A129" t="s">
        <v>117</v>
      </c>
      <c r="B129" s="3">
        <v>46052</v>
      </c>
      <c r="C129">
        <v>550000</v>
      </c>
      <c r="D129" t="s">
        <v>20</v>
      </c>
      <c r="E129" s="4">
        <v>21120</v>
      </c>
      <c r="G129" t="s">
        <v>119</v>
      </c>
    </row>
    <row r="130" spans="1:7" x14ac:dyDescent="0.35">
      <c r="A130" t="s">
        <v>117</v>
      </c>
      <c r="B130" s="3">
        <v>46052</v>
      </c>
      <c r="C130">
        <v>400000</v>
      </c>
      <c r="D130" t="s">
        <v>19</v>
      </c>
      <c r="E130" s="4"/>
      <c r="F130">
        <v>21120</v>
      </c>
      <c r="G130" t="s">
        <v>330</v>
      </c>
    </row>
    <row r="131" spans="1:7" x14ac:dyDescent="0.35">
      <c r="A131" t="s">
        <v>117</v>
      </c>
      <c r="B131" s="3">
        <v>46053</v>
      </c>
      <c r="C131">
        <v>173000</v>
      </c>
      <c r="D131" t="s">
        <v>105</v>
      </c>
      <c r="E131" s="4">
        <v>2500</v>
      </c>
      <c r="G131" t="s">
        <v>120</v>
      </c>
    </row>
    <row r="132" spans="1:7" x14ac:dyDescent="0.35">
      <c r="A132" t="s">
        <v>117</v>
      </c>
      <c r="B132" s="3">
        <v>46053</v>
      </c>
      <c r="C132">
        <v>650000</v>
      </c>
      <c r="D132" t="s">
        <v>121</v>
      </c>
      <c r="E132" s="4">
        <v>600</v>
      </c>
      <c r="G132" t="s">
        <v>120</v>
      </c>
    </row>
    <row r="133" spans="1:7" x14ac:dyDescent="0.35">
      <c r="A133" t="s">
        <v>117</v>
      </c>
      <c r="B133" s="3">
        <v>46053</v>
      </c>
      <c r="C133">
        <v>550000</v>
      </c>
      <c r="D133" t="s">
        <v>20</v>
      </c>
      <c r="E133" s="4"/>
      <c r="F133">
        <v>3100</v>
      </c>
      <c r="G133" t="s">
        <v>120</v>
      </c>
    </row>
    <row r="134" spans="1:7" x14ac:dyDescent="0.35">
      <c r="A134" t="s">
        <v>122</v>
      </c>
      <c r="B134" s="3">
        <v>46057</v>
      </c>
      <c r="C134">
        <v>440000</v>
      </c>
      <c r="D134" t="s">
        <v>25</v>
      </c>
      <c r="E134" s="4">
        <v>29524</v>
      </c>
      <c r="G134" t="s">
        <v>123</v>
      </c>
    </row>
    <row r="135" spans="1:7" x14ac:dyDescent="0.35">
      <c r="A135" t="s">
        <v>122</v>
      </c>
      <c r="B135" s="3">
        <v>46057</v>
      </c>
      <c r="C135">
        <v>550000</v>
      </c>
      <c r="D135" t="s">
        <v>20</v>
      </c>
      <c r="E135" s="4"/>
      <c r="F135">
        <v>29524</v>
      </c>
      <c r="G135" t="s">
        <v>123</v>
      </c>
    </row>
    <row r="136" spans="1:7" x14ac:dyDescent="0.35">
      <c r="A136" t="s">
        <v>122</v>
      </c>
      <c r="B136" s="3">
        <v>46059</v>
      </c>
      <c r="C136">
        <v>550000</v>
      </c>
      <c r="D136" t="s">
        <v>20</v>
      </c>
      <c r="E136" s="4">
        <v>6000</v>
      </c>
      <c r="G136" t="s">
        <v>124</v>
      </c>
    </row>
    <row r="137" spans="1:7" x14ac:dyDescent="0.35">
      <c r="A137" t="s">
        <v>122</v>
      </c>
      <c r="B137" s="3">
        <v>46059</v>
      </c>
      <c r="C137">
        <v>580000</v>
      </c>
      <c r="D137" t="s">
        <v>95</v>
      </c>
      <c r="E137" s="4"/>
      <c r="F137">
        <v>6000</v>
      </c>
      <c r="G137" t="s">
        <v>124</v>
      </c>
    </row>
    <row r="138" spans="1:7" x14ac:dyDescent="0.35">
      <c r="A138" t="s">
        <v>125</v>
      </c>
      <c r="B138" s="3">
        <v>46065</v>
      </c>
      <c r="C138">
        <v>550000</v>
      </c>
      <c r="D138" t="s">
        <v>20</v>
      </c>
      <c r="E138" s="4">
        <v>37026</v>
      </c>
      <c r="G138" t="s">
        <v>126</v>
      </c>
    </row>
    <row r="139" spans="1:7" x14ac:dyDescent="0.35">
      <c r="A139" t="s">
        <v>125</v>
      </c>
      <c r="B139" s="3">
        <v>46065</v>
      </c>
      <c r="C139">
        <v>400000</v>
      </c>
      <c r="D139" t="s">
        <v>19</v>
      </c>
      <c r="E139" s="4"/>
      <c r="F139">
        <v>37026</v>
      </c>
      <c r="G139" t="s">
        <v>126</v>
      </c>
    </row>
    <row r="140" spans="1:7" x14ac:dyDescent="0.35">
      <c r="A140" t="s">
        <v>125</v>
      </c>
      <c r="B140" s="3">
        <v>46071</v>
      </c>
      <c r="C140">
        <v>550000</v>
      </c>
      <c r="D140" t="s">
        <v>20</v>
      </c>
      <c r="E140" s="4">
        <v>47432</v>
      </c>
      <c r="G140" t="s">
        <v>127</v>
      </c>
    </row>
    <row r="141" spans="1:7" x14ac:dyDescent="0.35">
      <c r="A141" t="s">
        <v>125</v>
      </c>
      <c r="B141" s="3">
        <v>46071</v>
      </c>
      <c r="C141">
        <v>400000</v>
      </c>
      <c r="D141" t="s">
        <v>19</v>
      </c>
      <c r="E141" s="4"/>
      <c r="F141" s="11">
        <f>E140+E142</f>
        <v>48232</v>
      </c>
      <c r="G141" t="s">
        <v>127</v>
      </c>
    </row>
    <row r="142" spans="1:7" x14ac:dyDescent="0.35">
      <c r="A142" t="s">
        <v>125</v>
      </c>
      <c r="B142" s="3">
        <v>46071</v>
      </c>
      <c r="C142">
        <v>657000</v>
      </c>
      <c r="D142" t="s">
        <v>46</v>
      </c>
      <c r="E142" s="4">
        <v>800</v>
      </c>
      <c r="G142" t="s">
        <v>45</v>
      </c>
    </row>
    <row r="143" spans="1:7" x14ac:dyDescent="0.35">
      <c r="A143" t="s">
        <v>128</v>
      </c>
      <c r="B143" s="3">
        <v>46079</v>
      </c>
      <c r="C143">
        <v>440000</v>
      </c>
      <c r="D143" t="s">
        <v>25</v>
      </c>
      <c r="E143" s="4">
        <f>F144+F145</f>
        <v>36174</v>
      </c>
      <c r="G143" t="s">
        <v>129</v>
      </c>
    </row>
    <row r="144" spans="1:7" x14ac:dyDescent="0.35">
      <c r="A144" t="s">
        <v>128</v>
      </c>
      <c r="B144" s="3">
        <v>46079</v>
      </c>
      <c r="C144">
        <v>550000</v>
      </c>
      <c r="D144" t="s">
        <v>20</v>
      </c>
      <c r="E144" s="4"/>
      <c r="F144">
        <v>35574</v>
      </c>
      <c r="G144" t="s">
        <v>129</v>
      </c>
    </row>
    <row r="145" spans="1:7" x14ac:dyDescent="0.35">
      <c r="A145" t="s">
        <v>128</v>
      </c>
      <c r="B145" s="3">
        <v>46079</v>
      </c>
      <c r="C145">
        <v>757000</v>
      </c>
      <c r="D145" t="s">
        <v>72</v>
      </c>
      <c r="E145" s="4"/>
      <c r="F145">
        <v>600</v>
      </c>
      <c r="G145" t="s">
        <v>71</v>
      </c>
    </row>
    <row r="146" spans="1:7" x14ac:dyDescent="0.35">
      <c r="A146" t="s">
        <v>128</v>
      </c>
      <c r="B146" s="3">
        <v>46079</v>
      </c>
      <c r="C146">
        <v>440000</v>
      </c>
      <c r="D146" t="s">
        <v>25</v>
      </c>
      <c r="E146" s="4">
        <v>2120</v>
      </c>
      <c r="G146" t="s">
        <v>133</v>
      </c>
    </row>
    <row r="147" spans="1:7" x14ac:dyDescent="0.35">
      <c r="A147" t="s">
        <v>128</v>
      </c>
      <c r="B147" s="3">
        <v>46079</v>
      </c>
      <c r="C147">
        <v>550000</v>
      </c>
      <c r="D147" t="s">
        <v>20</v>
      </c>
      <c r="E147" s="4"/>
      <c r="F147">
        <v>2120</v>
      </c>
      <c r="G147" t="s">
        <v>133</v>
      </c>
    </row>
    <row r="148" spans="1:7" x14ac:dyDescent="0.35">
      <c r="A148" t="s">
        <v>132</v>
      </c>
      <c r="B148" s="3">
        <v>46081</v>
      </c>
      <c r="C148">
        <v>455200</v>
      </c>
      <c r="D148" t="s">
        <v>29</v>
      </c>
      <c r="E148" s="4">
        <v>13000</v>
      </c>
      <c r="G148" t="s">
        <v>130</v>
      </c>
    </row>
    <row r="149" spans="1:7" x14ac:dyDescent="0.35">
      <c r="A149" t="s">
        <v>132</v>
      </c>
      <c r="B149" s="3">
        <v>46081</v>
      </c>
      <c r="C149">
        <v>455300</v>
      </c>
      <c r="D149" t="s">
        <v>30</v>
      </c>
      <c r="E149" s="4">
        <v>7000</v>
      </c>
      <c r="G149" t="s">
        <v>130</v>
      </c>
    </row>
    <row r="150" spans="1:7" x14ac:dyDescent="0.35">
      <c r="A150" t="s">
        <v>132</v>
      </c>
      <c r="B150" s="3">
        <v>46081</v>
      </c>
      <c r="C150">
        <v>550000</v>
      </c>
      <c r="D150" t="s">
        <v>20</v>
      </c>
      <c r="E150" s="4"/>
      <c r="F150">
        <v>20000</v>
      </c>
      <c r="G150" t="s">
        <v>130</v>
      </c>
    </row>
    <row r="151" spans="1:7" x14ac:dyDescent="0.35">
      <c r="A151" t="s">
        <v>132</v>
      </c>
      <c r="B151" s="3">
        <v>46081</v>
      </c>
      <c r="C151">
        <v>173000</v>
      </c>
      <c r="D151" t="s">
        <v>105</v>
      </c>
      <c r="E151" s="4">
        <v>2500</v>
      </c>
      <c r="G151" t="s">
        <v>131</v>
      </c>
    </row>
    <row r="152" spans="1:7" x14ac:dyDescent="0.35">
      <c r="A152" t="s">
        <v>132</v>
      </c>
      <c r="B152" s="3">
        <v>46081</v>
      </c>
      <c r="C152">
        <v>650000</v>
      </c>
      <c r="D152" t="s">
        <v>121</v>
      </c>
      <c r="E152" s="4">
        <v>590</v>
      </c>
      <c r="G152" t="s">
        <v>131</v>
      </c>
    </row>
    <row r="153" spans="1:7" x14ac:dyDescent="0.35">
      <c r="A153" t="s">
        <v>132</v>
      </c>
      <c r="B153" s="3">
        <v>46081</v>
      </c>
      <c r="C153">
        <v>550000</v>
      </c>
      <c r="D153" t="s">
        <v>20</v>
      </c>
      <c r="E153" s="4"/>
      <c r="F153">
        <v>3090</v>
      </c>
      <c r="G153" t="s">
        <v>131</v>
      </c>
    </row>
    <row r="154" spans="1:7" x14ac:dyDescent="0.35">
      <c r="A154" t="s">
        <v>134</v>
      </c>
      <c r="B154" s="3">
        <v>46091</v>
      </c>
      <c r="C154">
        <v>440000</v>
      </c>
      <c r="D154" t="s">
        <v>25</v>
      </c>
      <c r="E154" s="4">
        <v>48400</v>
      </c>
      <c r="G154" t="s">
        <v>135</v>
      </c>
    </row>
    <row r="155" spans="1:7" x14ac:dyDescent="0.35">
      <c r="A155" t="s">
        <v>134</v>
      </c>
      <c r="B155" s="3">
        <v>46091</v>
      </c>
      <c r="C155">
        <v>550000</v>
      </c>
      <c r="D155" t="s">
        <v>20</v>
      </c>
      <c r="E155" s="4"/>
      <c r="F155">
        <v>48400</v>
      </c>
      <c r="G155" t="s">
        <v>135</v>
      </c>
    </row>
    <row r="156" spans="1:7" x14ac:dyDescent="0.35">
      <c r="A156" t="s">
        <v>134</v>
      </c>
      <c r="B156" s="3">
        <v>46093</v>
      </c>
      <c r="C156">
        <v>440000</v>
      </c>
      <c r="D156" t="s">
        <v>25</v>
      </c>
      <c r="E156" s="4">
        <v>6000</v>
      </c>
      <c r="G156" t="s">
        <v>139</v>
      </c>
    </row>
    <row r="157" spans="1:7" x14ac:dyDescent="0.35">
      <c r="A157" t="s">
        <v>134</v>
      </c>
      <c r="B157" s="3">
        <v>46093</v>
      </c>
      <c r="C157">
        <v>550000</v>
      </c>
      <c r="D157" t="s">
        <v>20</v>
      </c>
      <c r="E157" s="4"/>
      <c r="F157">
        <v>6000</v>
      </c>
      <c r="G157" t="s">
        <v>139</v>
      </c>
    </row>
    <row r="158" spans="1:7" x14ac:dyDescent="0.35">
      <c r="A158" t="s">
        <v>138</v>
      </c>
      <c r="B158" s="3">
        <v>46096</v>
      </c>
      <c r="C158">
        <v>440000</v>
      </c>
      <c r="D158" t="s">
        <v>25</v>
      </c>
      <c r="E158" s="4">
        <v>17500</v>
      </c>
      <c r="G158" t="s">
        <v>136</v>
      </c>
    </row>
    <row r="159" spans="1:7" x14ac:dyDescent="0.35">
      <c r="A159" t="s">
        <v>138</v>
      </c>
      <c r="B159" s="3">
        <v>46096</v>
      </c>
      <c r="C159">
        <v>550000</v>
      </c>
      <c r="D159" t="s">
        <v>20</v>
      </c>
      <c r="E159" s="4"/>
      <c r="F159">
        <v>17500</v>
      </c>
      <c r="G159" t="s">
        <v>136</v>
      </c>
    </row>
    <row r="160" spans="1:7" x14ac:dyDescent="0.35">
      <c r="A160" t="s">
        <v>138</v>
      </c>
      <c r="B160" s="3">
        <v>46096</v>
      </c>
      <c r="C160">
        <v>440000</v>
      </c>
      <c r="D160" t="s">
        <v>25</v>
      </c>
      <c r="E160" s="4">
        <v>400</v>
      </c>
      <c r="G160" t="s">
        <v>137</v>
      </c>
    </row>
    <row r="161" spans="1:7" x14ac:dyDescent="0.35">
      <c r="A161" t="s">
        <v>138</v>
      </c>
      <c r="B161" s="3">
        <v>46096</v>
      </c>
      <c r="C161">
        <v>550000</v>
      </c>
      <c r="D161" t="s">
        <v>20</v>
      </c>
      <c r="E161" s="4"/>
      <c r="F161">
        <v>400</v>
      </c>
      <c r="G161" t="s">
        <v>137</v>
      </c>
    </row>
    <row r="162" spans="1:7" x14ac:dyDescent="0.35">
      <c r="A162" t="s">
        <v>140</v>
      </c>
      <c r="B162" s="3">
        <v>46107</v>
      </c>
      <c r="C162">
        <v>550000</v>
      </c>
      <c r="D162" t="s">
        <v>20</v>
      </c>
      <c r="E162" s="4">
        <v>31660</v>
      </c>
      <c r="G162" t="s">
        <v>141</v>
      </c>
    </row>
    <row r="163" spans="1:7" x14ac:dyDescent="0.35">
      <c r="A163" t="s">
        <v>140</v>
      </c>
      <c r="B163" s="3">
        <v>46107</v>
      </c>
      <c r="C163">
        <v>400000</v>
      </c>
      <c r="D163" t="s">
        <v>19</v>
      </c>
      <c r="E163" s="4"/>
      <c r="F163">
        <v>31660</v>
      </c>
      <c r="G163" t="s">
        <v>141</v>
      </c>
    </row>
    <row r="164" spans="1:7" x14ac:dyDescent="0.35">
      <c r="A164" t="s">
        <v>140</v>
      </c>
      <c r="B164" s="3">
        <v>46112</v>
      </c>
      <c r="C164">
        <v>173000</v>
      </c>
      <c r="D164" t="s">
        <v>105</v>
      </c>
      <c r="E164" s="4">
        <v>2500</v>
      </c>
      <c r="G164" t="s">
        <v>143</v>
      </c>
    </row>
    <row r="165" spans="1:7" x14ac:dyDescent="0.35">
      <c r="A165" t="s">
        <v>140</v>
      </c>
      <c r="B165" s="3">
        <v>46112</v>
      </c>
      <c r="C165">
        <v>650000</v>
      </c>
      <c r="D165" t="s">
        <v>121</v>
      </c>
      <c r="E165" s="4">
        <v>580</v>
      </c>
      <c r="G165" t="s">
        <v>143</v>
      </c>
    </row>
    <row r="166" spans="1:7" x14ac:dyDescent="0.35">
      <c r="A166" t="s">
        <v>140</v>
      </c>
      <c r="B166" s="3">
        <v>46112</v>
      </c>
      <c r="C166">
        <v>550000</v>
      </c>
      <c r="D166" t="s">
        <v>20</v>
      </c>
      <c r="E166" s="4"/>
      <c r="F166">
        <v>3080</v>
      </c>
      <c r="G166" t="s">
        <v>143</v>
      </c>
    </row>
    <row r="167" spans="1:7" x14ac:dyDescent="0.35">
      <c r="A167" t="s">
        <v>144</v>
      </c>
      <c r="B167" s="3">
        <v>46112</v>
      </c>
      <c r="C167">
        <v>451100</v>
      </c>
      <c r="D167" t="s">
        <v>35</v>
      </c>
      <c r="E167" s="4">
        <v>37338</v>
      </c>
      <c r="G167" t="s">
        <v>145</v>
      </c>
    </row>
    <row r="168" spans="1:7" x14ac:dyDescent="0.35">
      <c r="A168" t="s">
        <v>144</v>
      </c>
      <c r="B168" s="3">
        <v>46112</v>
      </c>
      <c r="C168">
        <v>451200</v>
      </c>
      <c r="D168" t="s">
        <v>78</v>
      </c>
      <c r="E168" s="4">
        <v>399</v>
      </c>
      <c r="G168" t="s">
        <v>145</v>
      </c>
    </row>
    <row r="169" spans="1:7" x14ac:dyDescent="0.35">
      <c r="A169" t="s">
        <v>144</v>
      </c>
      <c r="B169" s="3">
        <v>46112</v>
      </c>
      <c r="C169">
        <v>411100</v>
      </c>
      <c r="D169" t="s">
        <v>58</v>
      </c>
      <c r="E169" s="4"/>
      <c r="F169">
        <v>33678</v>
      </c>
      <c r="G169" t="s">
        <v>145</v>
      </c>
    </row>
    <row r="170" spans="1:7" x14ac:dyDescent="0.35">
      <c r="A170" t="s">
        <v>144</v>
      </c>
      <c r="B170" s="3">
        <v>46112</v>
      </c>
      <c r="C170">
        <v>411200</v>
      </c>
      <c r="D170" t="s">
        <v>54</v>
      </c>
      <c r="E170" s="4"/>
      <c r="F170">
        <v>840</v>
      </c>
      <c r="G170" t="s">
        <v>145</v>
      </c>
    </row>
    <row r="171" spans="1:7" x14ac:dyDescent="0.35">
      <c r="A171" t="s">
        <v>144</v>
      </c>
      <c r="B171" s="3">
        <v>46112</v>
      </c>
      <c r="C171">
        <v>451000</v>
      </c>
      <c r="D171" t="s">
        <v>26</v>
      </c>
      <c r="E171" s="4"/>
      <c r="F171">
        <v>3219</v>
      </c>
      <c r="G171" t="s">
        <v>145</v>
      </c>
    </row>
    <row r="172" spans="1:7" x14ac:dyDescent="0.35">
      <c r="A172" t="s">
        <v>146</v>
      </c>
      <c r="B172" s="3">
        <v>46112</v>
      </c>
      <c r="C172">
        <v>630200</v>
      </c>
      <c r="D172" t="s">
        <v>147</v>
      </c>
      <c r="E172" s="4">
        <v>7500</v>
      </c>
      <c r="G172" t="s">
        <v>148</v>
      </c>
    </row>
    <row r="173" spans="1:7" x14ac:dyDescent="0.35">
      <c r="A173" t="s">
        <v>146</v>
      </c>
      <c r="B173" s="3">
        <v>46112</v>
      </c>
      <c r="C173">
        <v>630300</v>
      </c>
      <c r="D173" t="s">
        <v>149</v>
      </c>
      <c r="E173" s="4">
        <v>6000</v>
      </c>
      <c r="G173" t="s">
        <v>148</v>
      </c>
    </row>
    <row r="174" spans="1:7" x14ac:dyDescent="0.35">
      <c r="A174" t="s">
        <v>146</v>
      </c>
      <c r="B174" s="3">
        <v>46112</v>
      </c>
      <c r="C174">
        <v>221009</v>
      </c>
      <c r="D174" t="s">
        <v>11</v>
      </c>
      <c r="E174" s="4"/>
      <c r="F174">
        <v>5000</v>
      </c>
      <c r="G174" t="s">
        <v>148</v>
      </c>
    </row>
    <row r="175" spans="1:7" x14ac:dyDescent="0.35">
      <c r="A175" t="s">
        <v>146</v>
      </c>
      <c r="B175" s="3">
        <v>46112</v>
      </c>
      <c r="C175">
        <v>230009</v>
      </c>
      <c r="D175" t="s">
        <v>13</v>
      </c>
      <c r="E175" s="4"/>
      <c r="F175">
        <v>2500</v>
      </c>
      <c r="G175" t="s">
        <v>148</v>
      </c>
    </row>
    <row r="176" spans="1:7" x14ac:dyDescent="0.35">
      <c r="A176" t="s">
        <v>146</v>
      </c>
      <c r="B176" s="3">
        <v>46112</v>
      </c>
      <c r="C176">
        <v>240009</v>
      </c>
      <c r="D176" t="s">
        <v>15</v>
      </c>
      <c r="E176" s="4"/>
      <c r="F176">
        <v>1500</v>
      </c>
      <c r="G176" t="s">
        <v>148</v>
      </c>
    </row>
    <row r="177" spans="1:7" x14ac:dyDescent="0.35">
      <c r="A177" t="s">
        <v>146</v>
      </c>
      <c r="B177" s="3">
        <v>46112</v>
      </c>
      <c r="C177">
        <v>241009</v>
      </c>
      <c r="D177" t="s">
        <v>17</v>
      </c>
      <c r="E177" s="4"/>
      <c r="F177">
        <v>4500</v>
      </c>
      <c r="G177" t="s">
        <v>148</v>
      </c>
    </row>
    <row r="178" spans="1:7" x14ac:dyDescent="0.35">
      <c r="A178" t="s">
        <v>150</v>
      </c>
      <c r="B178" s="3">
        <v>46112</v>
      </c>
      <c r="C178">
        <v>173000</v>
      </c>
      <c r="D178" t="s">
        <v>105</v>
      </c>
      <c r="E178" s="4">
        <v>30000</v>
      </c>
      <c r="G178" t="s">
        <v>151</v>
      </c>
    </row>
    <row r="179" spans="1:7" x14ac:dyDescent="0.35">
      <c r="A179" t="s">
        <v>150</v>
      </c>
      <c r="B179" s="3">
        <v>46112</v>
      </c>
      <c r="C179">
        <v>423000</v>
      </c>
      <c r="D179" t="s">
        <v>152</v>
      </c>
      <c r="E179" s="4"/>
      <c r="F179">
        <v>30000</v>
      </c>
      <c r="G179" t="s">
        <v>151</v>
      </c>
    </row>
    <row r="180" spans="1:7" x14ac:dyDescent="0.35">
      <c r="A180" t="s">
        <v>153</v>
      </c>
      <c r="B180" s="3">
        <v>46112</v>
      </c>
      <c r="C180">
        <v>340000</v>
      </c>
      <c r="D180" t="s">
        <v>18</v>
      </c>
      <c r="E180" s="4">
        <v>10000</v>
      </c>
      <c r="G180" t="s">
        <v>154</v>
      </c>
    </row>
    <row r="181" spans="1:7" x14ac:dyDescent="0.35">
      <c r="A181" t="s">
        <v>153</v>
      </c>
      <c r="B181" s="3">
        <v>46112</v>
      </c>
      <c r="C181">
        <v>609400</v>
      </c>
      <c r="D181" t="s">
        <v>155</v>
      </c>
      <c r="E181" s="4"/>
      <c r="F181">
        <v>10000</v>
      </c>
      <c r="G181" t="s">
        <v>154</v>
      </c>
    </row>
    <row r="182" spans="1:7" x14ac:dyDescent="0.35">
      <c r="A182" t="s">
        <v>156</v>
      </c>
      <c r="B182" s="3">
        <v>46112</v>
      </c>
      <c r="C182">
        <v>670200</v>
      </c>
      <c r="D182" t="s">
        <v>157</v>
      </c>
      <c r="E182" s="4">
        <v>1946</v>
      </c>
      <c r="G182" t="s">
        <v>158</v>
      </c>
    </row>
    <row r="183" spans="1:7" x14ac:dyDescent="0.35">
      <c r="A183" t="s">
        <v>156</v>
      </c>
      <c r="B183" s="3">
        <v>46112</v>
      </c>
      <c r="C183">
        <v>450000</v>
      </c>
      <c r="D183" t="s">
        <v>159</v>
      </c>
      <c r="E183" s="4"/>
      <c r="F183">
        <v>1946</v>
      </c>
      <c r="G183" t="s">
        <v>158</v>
      </c>
    </row>
    <row r="184" spans="1:7" x14ac:dyDescent="0.35">
      <c r="A184" t="s">
        <v>160</v>
      </c>
      <c r="B184" s="3">
        <v>46112</v>
      </c>
      <c r="C184">
        <v>693000</v>
      </c>
      <c r="D184" t="s">
        <v>161</v>
      </c>
      <c r="E184" s="4">
        <v>7784</v>
      </c>
      <c r="G184" t="s">
        <v>162</v>
      </c>
    </row>
    <row r="185" spans="1:7" x14ac:dyDescent="0.35">
      <c r="A185" t="s">
        <v>160</v>
      </c>
      <c r="B185" s="3">
        <v>46112</v>
      </c>
      <c r="C185">
        <v>140000</v>
      </c>
      <c r="D185" t="s">
        <v>24</v>
      </c>
      <c r="E185" s="4"/>
      <c r="F185">
        <v>7784</v>
      </c>
      <c r="G185" t="s">
        <v>162</v>
      </c>
    </row>
    <row r="186" spans="1:7" x14ac:dyDescent="0.35">
      <c r="B186" s="3"/>
      <c r="E186" s="4"/>
    </row>
    <row r="188" spans="1:7" x14ac:dyDescent="0.35">
      <c r="D188" s="5" t="s">
        <v>163</v>
      </c>
      <c r="E188" s="6">
        <f>SUM(E4:E186)</f>
        <v>2184714</v>
      </c>
      <c r="F188" s="6">
        <f>SUM(F4:F186)</f>
        <v>2184714</v>
      </c>
    </row>
    <row r="189" spans="1:7" x14ac:dyDescent="0.35">
      <c r="D189" s="5" t="s">
        <v>164</v>
      </c>
      <c r="E189" s="7">
        <f>E188-F188</f>
        <v>0</v>
      </c>
    </row>
  </sheetData>
  <autoFilter ref="A3:G185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zoomScaleNormal="100" workbookViewId="0">
      <pane ySplit="3" topLeftCell="A14" activePane="bottomLeft" state="frozen"/>
      <selection pane="bottomLeft" activeCell="D36" sqref="D36"/>
    </sheetView>
  </sheetViews>
  <sheetFormatPr defaultColWidth="8.6328125" defaultRowHeight="14.5" x14ac:dyDescent="0.35"/>
  <cols>
    <col min="1" max="1" width="11" customWidth="1"/>
    <col min="2" max="2" width="46" customWidth="1"/>
    <col min="3" max="3" width="14" customWidth="1"/>
    <col min="4" max="7" width="15" customWidth="1"/>
    <col min="9" max="9" width="9.81640625" bestFit="1" customWidth="1"/>
  </cols>
  <sheetData>
    <row r="1" spans="1:7" ht="21" customHeight="1" x14ac:dyDescent="0.5">
      <c r="A1" s="1" t="s">
        <v>165</v>
      </c>
    </row>
    <row r="3" spans="1:7" x14ac:dyDescent="0.35">
      <c r="A3" s="2" t="s">
        <v>3</v>
      </c>
      <c r="B3" s="2" t="s">
        <v>4</v>
      </c>
      <c r="C3" s="2" t="s">
        <v>166</v>
      </c>
      <c r="D3" s="2" t="s">
        <v>167</v>
      </c>
      <c r="E3" s="2" t="s">
        <v>168</v>
      </c>
      <c r="F3" s="2" t="s">
        <v>169</v>
      </c>
      <c r="G3" s="2" t="s">
        <v>170</v>
      </c>
    </row>
    <row r="4" spans="1:7" x14ac:dyDescent="0.35">
      <c r="A4">
        <v>100000</v>
      </c>
      <c r="B4" t="s">
        <v>22</v>
      </c>
      <c r="C4" t="s">
        <v>171</v>
      </c>
      <c r="D4" s="4">
        <f>SUMIF('1. Journaal'!$C$4:$C$186,$A4,'1. Journaal'!$E$4:$E$186)</f>
        <v>0</v>
      </c>
      <c r="E4" s="4">
        <f>SUMIF('1. Journaal'!$C$4:$C$186,$A4,'1. Journaal'!$F$4:$F$186)</f>
        <v>350000</v>
      </c>
      <c r="F4" s="4">
        <f t="shared" ref="F4:F35" si="0">IF(D4-E4&gt;0,D4-E4,0)</f>
        <v>0</v>
      </c>
      <c r="G4" s="4">
        <f t="shared" ref="G4:G35" si="1">IF(E4-D4&gt;0,E4-D4,0)</f>
        <v>350000</v>
      </c>
    </row>
    <row r="5" spans="1:7" x14ac:dyDescent="0.35">
      <c r="A5">
        <v>130000</v>
      </c>
      <c r="B5" t="s">
        <v>23</v>
      </c>
      <c r="C5" t="s">
        <v>171</v>
      </c>
      <c r="D5" s="4">
        <f>SUMIF('1. Journaal'!$C$4:$C$186,$A5,'1. Journaal'!$E$4:$E$186)</f>
        <v>0</v>
      </c>
      <c r="E5" s="4">
        <f>SUMIF('1. Journaal'!$C$4:$C$186,$A5,'1. Journaal'!$F$4:$F$186)</f>
        <v>50000</v>
      </c>
      <c r="F5" s="4">
        <f t="shared" si="0"/>
        <v>0</v>
      </c>
      <c r="G5" s="4">
        <f t="shared" si="1"/>
        <v>50000</v>
      </c>
    </row>
    <row r="6" spans="1:7" x14ac:dyDescent="0.35">
      <c r="A6">
        <v>140000</v>
      </c>
      <c r="B6" t="s">
        <v>24</v>
      </c>
      <c r="C6" t="s">
        <v>171</v>
      </c>
      <c r="D6" s="4">
        <f>SUMIF('1. Journaal'!$C$4:$C$186,$A6,'1. Journaal'!$E$4:$E$186)</f>
        <v>0</v>
      </c>
      <c r="E6" s="4">
        <f>SUMIF('1. Journaal'!$C$4:$C$186,$A6,'1. Journaal'!$F$4:$F$186)</f>
        <v>47784</v>
      </c>
      <c r="F6" s="4">
        <f t="shared" si="0"/>
        <v>0</v>
      </c>
      <c r="G6" s="4">
        <f t="shared" si="1"/>
        <v>47784</v>
      </c>
    </row>
    <row r="7" spans="1:7" x14ac:dyDescent="0.35">
      <c r="A7">
        <v>173000</v>
      </c>
      <c r="B7" t="s">
        <v>105</v>
      </c>
      <c r="C7" t="s">
        <v>171</v>
      </c>
      <c r="D7" s="4">
        <f>SUMIF('1. Journaal'!$C$4:$C$186,$A7,'1. Journaal'!$E$4:$E$186)</f>
        <v>37500</v>
      </c>
      <c r="E7" s="4">
        <f>SUMIF('1. Journaal'!$C$4:$C$186,$A7,'1. Journaal'!$F$4:$F$186)</f>
        <v>150000</v>
      </c>
      <c r="F7" s="4">
        <f t="shared" si="0"/>
        <v>0</v>
      </c>
      <c r="G7" s="4">
        <f t="shared" si="1"/>
        <v>112500</v>
      </c>
    </row>
    <row r="8" spans="1:7" x14ac:dyDescent="0.35">
      <c r="A8">
        <v>221000</v>
      </c>
      <c r="B8" t="s">
        <v>9</v>
      </c>
      <c r="C8" t="s">
        <v>172</v>
      </c>
      <c r="D8" s="4">
        <f>SUMIF('1. Journaal'!$C$4:$C$186,$A8,'1. Journaal'!$E$4:$E$186)</f>
        <v>400000</v>
      </c>
      <c r="E8" s="4">
        <f>SUMIF('1. Journaal'!$C$4:$C$186,$A8,'1. Journaal'!$F$4:$F$186)</f>
        <v>0</v>
      </c>
      <c r="F8" s="4">
        <f t="shared" si="0"/>
        <v>400000</v>
      </c>
      <c r="G8" s="4">
        <f t="shared" si="1"/>
        <v>0</v>
      </c>
    </row>
    <row r="9" spans="1:7" x14ac:dyDescent="0.35">
      <c r="A9">
        <v>221009</v>
      </c>
      <c r="B9" t="s">
        <v>11</v>
      </c>
      <c r="C9" t="s">
        <v>173</v>
      </c>
      <c r="D9" s="4">
        <f>SUMIF('1. Journaal'!$C$4:$C$186,$A9,'1. Journaal'!$E$4:$E$186)</f>
        <v>0</v>
      </c>
      <c r="E9" s="4">
        <f>SUMIF('1. Journaal'!$C$4:$C$186,$A9,'1. Journaal'!$F$4:$F$186)</f>
        <v>165000</v>
      </c>
      <c r="F9" s="4">
        <f t="shared" si="0"/>
        <v>0</v>
      </c>
      <c r="G9" s="4">
        <f t="shared" si="1"/>
        <v>165000</v>
      </c>
    </row>
    <row r="10" spans="1:7" x14ac:dyDescent="0.35">
      <c r="A10">
        <v>230000</v>
      </c>
      <c r="B10" t="s">
        <v>12</v>
      </c>
      <c r="C10" t="s">
        <v>172</v>
      </c>
      <c r="D10" s="4">
        <f>SUMIF('1. Journaal'!$C$4:$C$186,$A10,'1. Journaal'!$E$4:$E$186)</f>
        <v>100000</v>
      </c>
      <c r="E10" s="4">
        <f>SUMIF('1. Journaal'!$C$4:$C$186,$A10,'1. Journaal'!$F$4:$F$186)</f>
        <v>0</v>
      </c>
      <c r="F10" s="4">
        <f t="shared" si="0"/>
        <v>100000</v>
      </c>
      <c r="G10" s="4">
        <f t="shared" si="1"/>
        <v>0</v>
      </c>
    </row>
    <row r="11" spans="1:7" x14ac:dyDescent="0.35">
      <c r="A11">
        <v>230009</v>
      </c>
      <c r="B11" t="s">
        <v>13</v>
      </c>
      <c r="C11" t="s">
        <v>173</v>
      </c>
      <c r="D11" s="4">
        <f>SUMIF('1. Journaal'!$C$4:$C$186,$A11,'1. Journaal'!$E$4:$E$186)</f>
        <v>0</v>
      </c>
      <c r="E11" s="4">
        <f>SUMIF('1. Journaal'!$C$4:$C$186,$A11,'1. Journaal'!$F$4:$F$186)</f>
        <v>72500</v>
      </c>
      <c r="F11" s="4">
        <f t="shared" si="0"/>
        <v>0</v>
      </c>
      <c r="G11" s="4">
        <f t="shared" si="1"/>
        <v>72500</v>
      </c>
    </row>
    <row r="12" spans="1:7" x14ac:dyDescent="0.35">
      <c r="A12">
        <v>240000</v>
      </c>
      <c r="B12" t="s">
        <v>14</v>
      </c>
      <c r="C12" t="s">
        <v>172</v>
      </c>
      <c r="D12" s="4">
        <f>SUMIF('1. Journaal'!$C$4:$C$186,$A12,'1. Journaal'!$E$4:$E$186)</f>
        <v>60000</v>
      </c>
      <c r="E12" s="4">
        <f>SUMIF('1. Journaal'!$C$4:$C$186,$A12,'1. Journaal'!$F$4:$F$186)</f>
        <v>0</v>
      </c>
      <c r="F12" s="4">
        <f t="shared" si="0"/>
        <v>60000</v>
      </c>
      <c r="G12" s="4">
        <f t="shared" si="1"/>
        <v>0</v>
      </c>
    </row>
    <row r="13" spans="1:7" x14ac:dyDescent="0.35">
      <c r="A13">
        <v>240009</v>
      </c>
      <c r="B13" t="s">
        <v>15</v>
      </c>
      <c r="C13" t="s">
        <v>173</v>
      </c>
      <c r="D13" s="4">
        <f>SUMIF('1. Journaal'!$C$4:$C$186,$A13,'1. Journaal'!$E$4:$E$186)</f>
        <v>0</v>
      </c>
      <c r="E13" s="4">
        <f>SUMIF('1. Journaal'!$C$4:$C$186,$A13,'1. Journaal'!$F$4:$F$186)</f>
        <v>31500</v>
      </c>
      <c r="F13" s="4">
        <f t="shared" si="0"/>
        <v>0</v>
      </c>
      <c r="G13" s="4">
        <f t="shared" si="1"/>
        <v>31500</v>
      </c>
    </row>
    <row r="14" spans="1:7" x14ac:dyDescent="0.35">
      <c r="A14">
        <v>241000</v>
      </c>
      <c r="B14" t="s">
        <v>16</v>
      </c>
      <c r="C14" t="s">
        <v>172</v>
      </c>
      <c r="D14" s="4">
        <f>SUMIF('1. Journaal'!$C$4:$C$186,$A14,'1. Journaal'!$E$4:$E$186)</f>
        <v>90000</v>
      </c>
      <c r="E14" s="4">
        <f>SUMIF('1. Journaal'!$C$4:$C$186,$A14,'1. Journaal'!$F$4:$F$186)</f>
        <v>0</v>
      </c>
      <c r="F14" s="4">
        <f t="shared" si="0"/>
        <v>90000</v>
      </c>
      <c r="G14" s="4">
        <f t="shared" si="1"/>
        <v>0</v>
      </c>
    </row>
    <row r="15" spans="1:7" x14ac:dyDescent="0.35">
      <c r="A15">
        <v>241009</v>
      </c>
      <c r="B15" t="s">
        <v>17</v>
      </c>
      <c r="C15" t="s">
        <v>173</v>
      </c>
      <c r="D15" s="4">
        <f>SUMIF('1. Journaal'!$C$4:$C$186,$A15,'1. Journaal'!$E$4:$E$186)</f>
        <v>0</v>
      </c>
      <c r="E15" s="4">
        <f>SUMIF('1. Journaal'!$C$4:$C$186,$A15,'1. Journaal'!$F$4:$F$186)</f>
        <v>44500</v>
      </c>
      <c r="F15" s="4">
        <f t="shared" si="0"/>
        <v>0</v>
      </c>
      <c r="G15" s="4">
        <f t="shared" si="1"/>
        <v>44500</v>
      </c>
    </row>
    <row r="16" spans="1:7" x14ac:dyDescent="0.35">
      <c r="A16">
        <v>340000</v>
      </c>
      <c r="B16" t="s">
        <v>18</v>
      </c>
      <c r="C16" t="s">
        <v>172</v>
      </c>
      <c r="D16" s="4">
        <f>SUMIF('1. Journaal'!$C$4:$C$186,$A16,'1. Journaal'!$E$4:$E$186)</f>
        <v>110000</v>
      </c>
      <c r="E16" s="4">
        <f>SUMIF('1. Journaal'!$C$4:$C$186,$A16,'1. Journaal'!$F$4:$F$186)</f>
        <v>0</v>
      </c>
      <c r="F16" s="4">
        <f t="shared" si="0"/>
        <v>110000</v>
      </c>
      <c r="G16" s="4">
        <f t="shared" si="1"/>
        <v>0</v>
      </c>
    </row>
    <row r="17" spans="1:7" x14ac:dyDescent="0.35">
      <c r="A17">
        <v>400000</v>
      </c>
      <c r="B17" t="s">
        <v>19</v>
      </c>
      <c r="C17" t="s">
        <v>172</v>
      </c>
      <c r="D17" s="4">
        <f>SUMIF('1. Journaal'!$C$4:$C$186,$A17,'1. Journaal'!$E$4:$E$186)</f>
        <v>281938</v>
      </c>
      <c r="E17" s="4">
        <f>SUMIF('1. Journaal'!$C$4:$C$186,$A17,'1. Journaal'!$F$4:$F$186)</f>
        <v>259674</v>
      </c>
      <c r="F17" s="4">
        <f t="shared" si="0"/>
        <v>22264</v>
      </c>
      <c r="G17" s="4">
        <f t="shared" si="1"/>
        <v>0</v>
      </c>
    </row>
    <row r="18" spans="1:7" x14ac:dyDescent="0.35">
      <c r="A18">
        <v>411100</v>
      </c>
      <c r="B18" t="s">
        <v>58</v>
      </c>
      <c r="C18" t="s">
        <v>172</v>
      </c>
      <c r="D18" s="4">
        <f>SUMIF('1. Journaal'!$C$4:$C$186,$A18,'1. Journaal'!$E$4:$E$186)</f>
        <v>33678</v>
      </c>
      <c r="E18" s="4">
        <f>SUMIF('1. Journaal'!$C$4:$C$186,$A18,'1. Journaal'!$F$4:$F$186)</f>
        <v>33678</v>
      </c>
      <c r="F18" s="4">
        <f t="shared" si="0"/>
        <v>0</v>
      </c>
      <c r="G18" s="4">
        <f t="shared" si="1"/>
        <v>0</v>
      </c>
    </row>
    <row r="19" spans="1:7" x14ac:dyDescent="0.35">
      <c r="A19">
        <v>411200</v>
      </c>
      <c r="B19" t="s">
        <v>54</v>
      </c>
      <c r="C19" t="s">
        <v>172</v>
      </c>
      <c r="D19" s="4">
        <f>SUMIF('1. Journaal'!$C$4:$C$186,$A19,'1. Journaal'!$E$4:$E$186)</f>
        <v>840</v>
      </c>
      <c r="E19" s="4">
        <f>SUMIF('1. Journaal'!$C$4:$C$186,$A19,'1. Journaal'!$F$4:$F$186)</f>
        <v>840</v>
      </c>
      <c r="F19" s="4">
        <f t="shared" si="0"/>
        <v>0</v>
      </c>
      <c r="G19" s="4">
        <f t="shared" si="1"/>
        <v>0</v>
      </c>
    </row>
    <row r="20" spans="1:7" x14ac:dyDescent="0.35">
      <c r="A20">
        <v>418000</v>
      </c>
      <c r="B20" t="s">
        <v>65</v>
      </c>
      <c r="C20" t="s">
        <v>172</v>
      </c>
      <c r="D20" s="4">
        <f>SUMIF('1. Journaal'!$C$4:$C$186,$A20,'1. Journaal'!$E$4:$E$186)</f>
        <v>1000</v>
      </c>
      <c r="E20" s="4">
        <f>SUMIF('1. Journaal'!$C$4:$C$186,$A20,'1. Journaal'!$F$4:$F$186)</f>
        <v>600</v>
      </c>
      <c r="F20" s="4">
        <f t="shared" si="0"/>
        <v>400</v>
      </c>
      <c r="G20" s="4">
        <f t="shared" si="1"/>
        <v>0</v>
      </c>
    </row>
    <row r="21" spans="1:7" x14ac:dyDescent="0.35">
      <c r="A21">
        <v>423000</v>
      </c>
      <c r="B21" t="s">
        <v>152</v>
      </c>
      <c r="C21" t="s">
        <v>171</v>
      </c>
      <c r="D21" s="4">
        <f>SUMIF('1. Journaal'!$C$4:$C$186,$A21,'1. Journaal'!$E$4:$E$186)</f>
        <v>0</v>
      </c>
      <c r="E21" s="4">
        <f>SUMIF('1. Journaal'!$C$4:$C$186,$A21,'1. Journaal'!$F$4:$F$186)</f>
        <v>30000</v>
      </c>
      <c r="F21" s="4">
        <f t="shared" si="0"/>
        <v>0</v>
      </c>
      <c r="G21" s="4">
        <f t="shared" si="1"/>
        <v>30000</v>
      </c>
    </row>
    <row r="22" spans="1:7" x14ac:dyDescent="0.35">
      <c r="A22">
        <v>440000</v>
      </c>
      <c r="B22" t="s">
        <v>25</v>
      </c>
      <c r="C22" t="s">
        <v>171</v>
      </c>
      <c r="D22" s="4">
        <f>SUMIF('1. Journaal'!$C$4:$C$186,$A22,'1. Journaal'!$E$4:$E$186)</f>
        <v>271887</v>
      </c>
      <c r="E22" s="4">
        <f>SUMIF('1. Journaal'!$C$4:$C$186,$A22,'1. Journaal'!$F$4:$F$186)</f>
        <v>292978</v>
      </c>
      <c r="F22" s="4">
        <f t="shared" si="0"/>
        <v>0</v>
      </c>
      <c r="G22" s="4">
        <f t="shared" si="1"/>
        <v>21091</v>
      </c>
    </row>
    <row r="23" spans="1:7" x14ac:dyDescent="0.35">
      <c r="A23">
        <v>450000</v>
      </c>
      <c r="B23" t="s">
        <v>159</v>
      </c>
      <c r="C23" t="s">
        <v>171</v>
      </c>
      <c r="D23" s="4">
        <f>SUMIF('1. Journaal'!$C$4:$C$186,$A23,'1. Journaal'!$E$4:$E$186)</f>
        <v>0</v>
      </c>
      <c r="E23" s="4">
        <f>SUMIF('1. Journaal'!$C$4:$C$186,$A23,'1. Journaal'!$F$4:$F$186)</f>
        <v>1946</v>
      </c>
      <c r="F23" s="4">
        <f t="shared" si="0"/>
        <v>0</v>
      </c>
      <c r="G23" s="4">
        <f t="shared" si="1"/>
        <v>1946</v>
      </c>
    </row>
    <row r="24" spans="1:7" x14ac:dyDescent="0.35">
      <c r="A24">
        <v>451000</v>
      </c>
      <c r="B24" t="s">
        <v>26</v>
      </c>
      <c r="C24" t="s">
        <v>171</v>
      </c>
      <c r="D24" s="4">
        <f>SUMIF('1. Journaal'!$C$4:$C$186,$A24,'1. Journaal'!$E$4:$E$186)</f>
        <v>12000</v>
      </c>
      <c r="E24" s="4">
        <f>SUMIF('1. Journaal'!$C$4:$C$186,$A24,'1. Journaal'!$F$4:$F$186)</f>
        <v>15219</v>
      </c>
      <c r="F24" s="4">
        <f t="shared" si="0"/>
        <v>0</v>
      </c>
      <c r="G24" s="4">
        <f t="shared" si="1"/>
        <v>3219</v>
      </c>
    </row>
    <row r="25" spans="1:7" x14ac:dyDescent="0.35">
      <c r="A25">
        <v>451100</v>
      </c>
      <c r="B25" t="s">
        <v>35</v>
      </c>
      <c r="C25" t="s">
        <v>171</v>
      </c>
      <c r="D25" s="4">
        <f>SUMIF('1. Journaal'!$C$4:$C$186,$A25,'1. Journaal'!$E$4:$E$186)</f>
        <v>37338</v>
      </c>
      <c r="E25" s="4">
        <f>SUMIF('1. Journaal'!$C$4:$C$186,$A25,'1. Journaal'!$F$4:$F$186)</f>
        <v>37338</v>
      </c>
      <c r="F25" s="4">
        <f t="shared" si="0"/>
        <v>0</v>
      </c>
      <c r="G25" s="4">
        <f t="shared" si="1"/>
        <v>0</v>
      </c>
    </row>
    <row r="26" spans="1:7" x14ac:dyDescent="0.35">
      <c r="A26">
        <v>451200</v>
      </c>
      <c r="B26" t="s">
        <v>78</v>
      </c>
      <c r="C26" t="s">
        <v>171</v>
      </c>
      <c r="D26" s="4">
        <f>SUMIF('1. Journaal'!$C$4:$C$186,$A26,'1. Journaal'!$E$4:$E$186)</f>
        <v>399</v>
      </c>
      <c r="E26" s="4">
        <f>SUMIF('1. Journaal'!$C$4:$C$186,$A26,'1. Journaal'!$F$4:$F$186)</f>
        <v>399</v>
      </c>
      <c r="F26" s="4">
        <f t="shared" si="0"/>
        <v>0</v>
      </c>
      <c r="G26" s="4">
        <f t="shared" si="1"/>
        <v>0</v>
      </c>
    </row>
    <row r="27" spans="1:7" x14ac:dyDescent="0.35">
      <c r="A27">
        <v>453000</v>
      </c>
      <c r="B27" t="s">
        <v>27</v>
      </c>
      <c r="C27" t="s">
        <v>171</v>
      </c>
      <c r="D27" s="4">
        <f>SUMIF('1. Journaal'!$C$4:$C$186,$A27,'1. Journaal'!$E$4:$E$186)</f>
        <v>6079</v>
      </c>
      <c r="E27" s="4">
        <f>SUMIF('1. Journaal'!$C$4:$C$186,$A27,'1. Journaal'!$F$4:$F$186)</f>
        <v>6079</v>
      </c>
      <c r="F27" s="4">
        <f t="shared" si="0"/>
        <v>0</v>
      </c>
      <c r="G27" s="4">
        <f t="shared" si="1"/>
        <v>0</v>
      </c>
    </row>
    <row r="28" spans="1:7" x14ac:dyDescent="0.35">
      <c r="A28">
        <v>454000</v>
      </c>
      <c r="B28" t="s">
        <v>28</v>
      </c>
      <c r="C28" t="s">
        <v>171</v>
      </c>
      <c r="D28" s="4">
        <f>SUMIF('1. Journaal'!$C$4:$C$186,$A28,'1. Journaal'!$E$4:$E$186)</f>
        <v>11421</v>
      </c>
      <c r="E28" s="4">
        <f>SUMIF('1. Journaal'!$C$4:$C$186,$A28,'1. Journaal'!$F$4:$F$186)</f>
        <v>11421</v>
      </c>
      <c r="F28" s="4">
        <f t="shared" si="0"/>
        <v>0</v>
      </c>
      <c r="G28" s="4">
        <f t="shared" si="1"/>
        <v>0</v>
      </c>
    </row>
    <row r="29" spans="1:7" x14ac:dyDescent="0.35">
      <c r="A29">
        <v>455200</v>
      </c>
      <c r="B29" t="s">
        <v>29</v>
      </c>
      <c r="C29" t="s">
        <v>171</v>
      </c>
      <c r="D29" s="4">
        <f>SUMIF('1. Journaal'!$C$4:$C$186,$A29,'1. Journaal'!$E$4:$E$186)</f>
        <v>26000</v>
      </c>
      <c r="E29" s="4">
        <f>SUMIF('1. Journaal'!$C$4:$C$186,$A29,'1. Journaal'!$F$4:$F$186)</f>
        <v>26000</v>
      </c>
      <c r="F29" s="4">
        <f t="shared" si="0"/>
        <v>0</v>
      </c>
      <c r="G29" s="4">
        <f t="shared" si="1"/>
        <v>0</v>
      </c>
    </row>
    <row r="30" spans="1:7" x14ac:dyDescent="0.35">
      <c r="A30">
        <v>455300</v>
      </c>
      <c r="B30" t="s">
        <v>30</v>
      </c>
      <c r="C30" t="s">
        <v>171</v>
      </c>
      <c r="D30" s="4">
        <f>SUMIF('1. Journaal'!$C$4:$C$186,$A30,'1. Journaal'!$E$4:$E$186)</f>
        <v>12000</v>
      </c>
      <c r="E30" s="4">
        <f>SUMIF('1. Journaal'!$C$4:$C$186,$A30,'1. Journaal'!$F$4:$F$186)</f>
        <v>12000</v>
      </c>
      <c r="F30" s="4">
        <f t="shared" si="0"/>
        <v>0</v>
      </c>
      <c r="G30" s="4">
        <f t="shared" si="1"/>
        <v>0</v>
      </c>
    </row>
    <row r="31" spans="1:7" x14ac:dyDescent="0.35">
      <c r="A31">
        <v>488000</v>
      </c>
      <c r="B31" t="s">
        <v>41</v>
      </c>
      <c r="C31" t="s">
        <v>171</v>
      </c>
      <c r="D31" s="4">
        <f>SUMIF('1. Journaal'!$C$4:$C$186,$A31,'1. Journaal'!$E$4:$E$186)</f>
        <v>500</v>
      </c>
      <c r="E31" s="4">
        <f>SUMIF('1. Journaal'!$C$4:$C$186,$A31,'1. Journaal'!$F$4:$F$186)</f>
        <v>1000</v>
      </c>
      <c r="F31" s="4">
        <f t="shared" si="0"/>
        <v>0</v>
      </c>
      <c r="G31" s="4">
        <f t="shared" si="1"/>
        <v>500</v>
      </c>
    </row>
    <row r="32" spans="1:7" x14ac:dyDescent="0.35">
      <c r="A32">
        <v>550000</v>
      </c>
      <c r="B32" t="s">
        <v>20</v>
      </c>
      <c r="C32" t="s">
        <v>172</v>
      </c>
      <c r="D32" s="4">
        <f>SUMIF('1. Journaal'!$C$4:$C$186,$A32,'1. Journaal'!$E$4:$E$186)</f>
        <v>474334</v>
      </c>
      <c r="E32" s="4">
        <f>SUMIF('1. Journaal'!$C$4:$C$186,$A32,'1. Journaal'!$F$4:$F$186)</f>
        <v>327658</v>
      </c>
      <c r="F32" s="4">
        <f t="shared" si="0"/>
        <v>146676</v>
      </c>
      <c r="G32" s="4">
        <f t="shared" si="1"/>
        <v>0</v>
      </c>
    </row>
    <row r="33" spans="1:9" x14ac:dyDescent="0.35">
      <c r="A33">
        <v>570000</v>
      </c>
      <c r="B33" t="s">
        <v>21</v>
      </c>
      <c r="C33" t="s">
        <v>172</v>
      </c>
      <c r="D33" s="4">
        <f>SUMIF('1. Journaal'!$C$4:$C$186,$A33,'1. Journaal'!$E$4:$E$186)</f>
        <v>7200</v>
      </c>
      <c r="E33" s="4">
        <f>SUMIF('1. Journaal'!$C$4:$C$186,$A33,'1. Journaal'!$F$4:$F$186)</f>
        <v>6000</v>
      </c>
      <c r="F33" s="4">
        <f t="shared" si="0"/>
        <v>1200</v>
      </c>
      <c r="G33" s="4">
        <f t="shared" si="1"/>
        <v>0</v>
      </c>
    </row>
    <row r="34" spans="1:9" x14ac:dyDescent="0.35">
      <c r="A34">
        <v>580000</v>
      </c>
      <c r="B34" t="s">
        <v>95</v>
      </c>
      <c r="C34" t="s">
        <v>172</v>
      </c>
      <c r="D34" s="4">
        <f>SUMIF('1. Journaal'!$C$4:$C$186,$A34,'1. Journaal'!$E$4:$E$186)</f>
        <v>6000</v>
      </c>
      <c r="E34" s="4">
        <f>SUMIF('1. Journaal'!$C$4:$C$186,$A34,'1. Journaal'!$F$4:$F$186)</f>
        <v>6000</v>
      </c>
      <c r="F34" s="4">
        <f t="shared" si="0"/>
        <v>0</v>
      </c>
      <c r="G34" s="4">
        <f t="shared" si="1"/>
        <v>0</v>
      </c>
    </row>
    <row r="35" spans="1:9" x14ac:dyDescent="0.35">
      <c r="A35">
        <v>604000</v>
      </c>
      <c r="B35" t="s">
        <v>56</v>
      </c>
      <c r="C35" t="s">
        <v>174</v>
      </c>
      <c r="D35" s="4">
        <f>SUMIF('1. Journaal'!$C$4:$C$186,$A35,'1. Journaal'!$E$4:$E$186)</f>
        <v>130000</v>
      </c>
      <c r="E35" s="4">
        <f>SUMIF('1. Journaal'!$C$4:$C$186,$A35,'1. Journaal'!$F$4:$F$186)</f>
        <v>0</v>
      </c>
      <c r="F35" s="4">
        <f t="shared" si="0"/>
        <v>130000</v>
      </c>
      <c r="G35" s="4">
        <f t="shared" si="1"/>
        <v>0</v>
      </c>
      <c r="I35" s="11"/>
    </row>
    <row r="36" spans="1:9" x14ac:dyDescent="0.35">
      <c r="A36">
        <v>604010</v>
      </c>
      <c r="B36" t="s">
        <v>77</v>
      </c>
      <c r="C36" t="s">
        <v>174</v>
      </c>
      <c r="D36" s="4">
        <f>SUMIF('1. Journaal'!$C$4:$C$186,$A36,'1. Journaal'!$E$4:$E$186)</f>
        <v>0</v>
      </c>
      <c r="E36" s="4">
        <f>SUMIF('1. Journaal'!$C$4:$C$186,$A36,'1. Journaal'!$F$4:$F$186)</f>
        <v>2000</v>
      </c>
      <c r="F36" s="4">
        <f t="shared" ref="F36:F56" si="2">IF(D36-E36&gt;0,D36-E36,0)</f>
        <v>0</v>
      </c>
      <c r="G36" s="4">
        <f t="shared" ref="G36:G56" si="3">IF(E36-D36&gt;0,E36-D36,0)</f>
        <v>2000</v>
      </c>
    </row>
    <row r="37" spans="1:9" x14ac:dyDescent="0.35">
      <c r="A37">
        <v>604020</v>
      </c>
      <c r="B37" t="s">
        <v>61</v>
      </c>
      <c r="C37" t="s">
        <v>174</v>
      </c>
      <c r="D37" s="4">
        <f>SUMIF('1. Journaal'!$C$4:$C$186,$A37,'1. Journaal'!$E$4:$E$186)</f>
        <v>100</v>
      </c>
      <c r="E37" s="4">
        <f>SUMIF('1. Journaal'!$C$4:$C$186,$A37,'1. Journaal'!$F$4:$F$186)</f>
        <v>4000</v>
      </c>
      <c r="F37" s="4">
        <f t="shared" si="2"/>
        <v>0</v>
      </c>
      <c r="G37" s="4">
        <f t="shared" si="3"/>
        <v>3900</v>
      </c>
    </row>
    <row r="38" spans="1:9" x14ac:dyDescent="0.35">
      <c r="A38">
        <v>604030</v>
      </c>
      <c r="B38" t="s">
        <v>64</v>
      </c>
      <c r="C38" t="s">
        <v>174</v>
      </c>
      <c r="D38" s="4">
        <f>SUMIF('1. Journaal'!$C$4:$C$186,$A38,'1. Journaal'!$E$4:$E$186)</f>
        <v>400</v>
      </c>
      <c r="E38" s="4">
        <f>SUMIF('1. Journaal'!$C$4:$C$186,$A38,'1. Journaal'!$F$4:$F$186)</f>
        <v>0</v>
      </c>
      <c r="F38" s="4">
        <f t="shared" si="2"/>
        <v>400</v>
      </c>
      <c r="G38" s="4">
        <f t="shared" si="3"/>
        <v>0</v>
      </c>
    </row>
    <row r="39" spans="1:9" x14ac:dyDescent="0.35">
      <c r="A39">
        <v>609400</v>
      </c>
      <c r="B39" t="s">
        <v>155</v>
      </c>
      <c r="C39" t="s">
        <v>174</v>
      </c>
      <c r="D39" s="4">
        <f>SUMIF('1. Journaal'!$C$4:$C$186,$A39,'1. Journaal'!$E$4:$E$186)</f>
        <v>0</v>
      </c>
      <c r="E39" s="4">
        <f>SUMIF('1. Journaal'!$C$4:$C$186,$A39,'1. Journaal'!$F$4:$F$186)</f>
        <v>10000</v>
      </c>
      <c r="F39" s="4">
        <f t="shared" si="2"/>
        <v>0</v>
      </c>
      <c r="G39" s="4">
        <f t="shared" si="3"/>
        <v>10000</v>
      </c>
    </row>
    <row r="40" spans="1:9" x14ac:dyDescent="0.35">
      <c r="A40">
        <v>612600</v>
      </c>
      <c r="B40" t="s">
        <v>82</v>
      </c>
      <c r="C40" t="s">
        <v>174</v>
      </c>
      <c r="D40" s="4">
        <f>SUMIF('1. Journaal'!$C$4:$C$186,$A40,'1. Journaal'!$E$4:$E$186)</f>
        <v>500</v>
      </c>
      <c r="E40" s="4">
        <f>SUMIF('1. Journaal'!$C$4:$C$186,$A40,'1. Journaal'!$F$4:$F$186)</f>
        <v>0</v>
      </c>
      <c r="F40" s="4">
        <f t="shared" si="2"/>
        <v>500</v>
      </c>
      <c r="G40" s="4">
        <f t="shared" si="3"/>
        <v>0</v>
      </c>
    </row>
    <row r="41" spans="1:9" x14ac:dyDescent="0.35">
      <c r="A41">
        <v>612700</v>
      </c>
      <c r="B41" t="s">
        <v>80</v>
      </c>
      <c r="C41" t="s">
        <v>174</v>
      </c>
      <c r="D41" s="4">
        <f>SUMIF('1. Journaal'!$C$4:$C$186,$A41,'1. Journaal'!$E$4:$E$186)</f>
        <v>1500</v>
      </c>
      <c r="E41" s="4">
        <f>SUMIF('1. Journaal'!$C$4:$C$186,$A41,'1. Journaal'!$F$4:$F$186)</f>
        <v>0</v>
      </c>
      <c r="F41" s="4">
        <f t="shared" si="2"/>
        <v>1500</v>
      </c>
      <c r="G41" s="4">
        <f t="shared" si="3"/>
        <v>0</v>
      </c>
    </row>
    <row r="42" spans="1:9" x14ac:dyDescent="0.35">
      <c r="A42">
        <v>613300</v>
      </c>
      <c r="B42" t="s">
        <v>91</v>
      </c>
      <c r="C42" t="s">
        <v>174</v>
      </c>
      <c r="D42" s="4">
        <f>SUMIF('1. Journaal'!$C$4:$C$186,$A42,'1. Journaal'!$E$4:$E$186)</f>
        <v>400</v>
      </c>
      <c r="E42" s="4">
        <f>SUMIF('1. Journaal'!$C$4:$C$186,$A42,'1. Journaal'!$F$4:$F$186)</f>
        <v>0</v>
      </c>
      <c r="F42" s="4">
        <f t="shared" si="2"/>
        <v>400</v>
      </c>
      <c r="G42" s="4">
        <f t="shared" si="3"/>
        <v>0</v>
      </c>
    </row>
    <row r="43" spans="1:9" x14ac:dyDescent="0.35">
      <c r="A43">
        <v>620200</v>
      </c>
      <c r="B43" t="s">
        <v>101</v>
      </c>
      <c r="C43" t="s">
        <v>174</v>
      </c>
      <c r="D43" s="4">
        <f>SUMIF('1. Journaal'!$C$4:$C$186,$A43,'1. Journaal'!$E$4:$E$186)</f>
        <v>20000</v>
      </c>
      <c r="E43" s="4">
        <f>SUMIF('1. Journaal'!$C$4:$C$186,$A43,'1. Journaal'!$F$4:$F$186)</f>
        <v>0</v>
      </c>
      <c r="F43" s="4">
        <f t="shared" si="2"/>
        <v>20000</v>
      </c>
      <c r="G43" s="4">
        <f t="shared" si="3"/>
        <v>0</v>
      </c>
    </row>
    <row r="44" spans="1:9" x14ac:dyDescent="0.35">
      <c r="A44">
        <v>620300</v>
      </c>
      <c r="B44" t="s">
        <v>99</v>
      </c>
      <c r="C44" t="s">
        <v>174</v>
      </c>
      <c r="D44" s="4">
        <f>SUMIF('1. Journaal'!$C$4:$C$186,$A44,'1. Journaal'!$E$4:$E$186)</f>
        <v>10000</v>
      </c>
      <c r="E44" s="4">
        <f>SUMIF('1. Journaal'!$C$4:$C$186,$A44,'1. Journaal'!$F$4:$F$186)</f>
        <v>0</v>
      </c>
      <c r="F44" s="4">
        <f t="shared" si="2"/>
        <v>10000</v>
      </c>
      <c r="G44" s="4">
        <f t="shared" si="3"/>
        <v>0</v>
      </c>
    </row>
    <row r="45" spans="1:9" x14ac:dyDescent="0.35">
      <c r="A45">
        <v>621000</v>
      </c>
      <c r="B45" t="s">
        <v>102</v>
      </c>
      <c r="C45" t="s">
        <v>174</v>
      </c>
      <c r="D45" s="4">
        <f>SUMIF('1. Journaal'!$C$4:$C$186,$A45,'1. Journaal'!$E$4:$E$186)</f>
        <v>7500</v>
      </c>
      <c r="E45" s="4">
        <f>SUMIF('1. Journaal'!$C$4:$C$186,$A45,'1. Journaal'!$F$4:$F$186)</f>
        <v>0</v>
      </c>
      <c r="F45" s="4">
        <f t="shared" si="2"/>
        <v>7500</v>
      </c>
      <c r="G45" s="4">
        <f t="shared" si="3"/>
        <v>0</v>
      </c>
    </row>
    <row r="46" spans="1:9" x14ac:dyDescent="0.35">
      <c r="A46">
        <v>630200</v>
      </c>
      <c r="B46" t="s">
        <v>147</v>
      </c>
      <c r="C46" t="s">
        <v>174</v>
      </c>
      <c r="D46" s="4">
        <f>SUMIF('1. Journaal'!$C$4:$C$186,$A46,'1. Journaal'!$E$4:$E$186)</f>
        <v>7500</v>
      </c>
      <c r="E46" s="4">
        <f>SUMIF('1. Journaal'!$C$4:$C$186,$A46,'1. Journaal'!$F$4:$F$186)</f>
        <v>0</v>
      </c>
      <c r="F46" s="4">
        <f t="shared" si="2"/>
        <v>7500</v>
      </c>
      <c r="G46" s="4">
        <f t="shared" si="3"/>
        <v>0</v>
      </c>
    </row>
    <row r="47" spans="1:9" x14ac:dyDescent="0.35">
      <c r="A47">
        <v>630300</v>
      </c>
      <c r="B47" t="s">
        <v>149</v>
      </c>
      <c r="C47" t="s">
        <v>174</v>
      </c>
      <c r="D47" s="4">
        <f>SUMIF('1. Journaal'!$C$4:$C$186,$A47,'1. Journaal'!$E$4:$E$186)</f>
        <v>6000</v>
      </c>
      <c r="E47" s="4">
        <f>SUMIF('1. Journaal'!$C$4:$C$186,$A47,'1. Journaal'!$F$4:$F$186)</f>
        <v>0</v>
      </c>
      <c r="F47" s="4">
        <f t="shared" si="2"/>
        <v>6000</v>
      </c>
      <c r="G47" s="4">
        <f t="shared" si="3"/>
        <v>0</v>
      </c>
    </row>
    <row r="48" spans="1:9" x14ac:dyDescent="0.35">
      <c r="A48">
        <v>650000</v>
      </c>
      <c r="B48" t="s">
        <v>121</v>
      </c>
      <c r="C48" t="s">
        <v>174</v>
      </c>
      <c r="D48" s="4">
        <f>SUMIF('1. Journaal'!$C$4:$C$186,$A48,'1. Journaal'!$E$4:$E$186)</f>
        <v>1770</v>
      </c>
      <c r="E48" s="4">
        <f>SUMIF('1. Journaal'!$C$4:$C$186,$A48,'1. Journaal'!$F$4:$F$186)</f>
        <v>0</v>
      </c>
      <c r="F48" s="4">
        <f t="shared" si="2"/>
        <v>1770</v>
      </c>
      <c r="G48" s="4">
        <f t="shared" si="3"/>
        <v>0</v>
      </c>
    </row>
    <row r="49" spans="1:9" x14ac:dyDescent="0.35">
      <c r="A49">
        <v>657000</v>
      </c>
      <c r="B49" t="s">
        <v>46</v>
      </c>
      <c r="C49" t="s">
        <v>174</v>
      </c>
      <c r="D49" s="4">
        <f>SUMIF('1. Journaal'!$C$4:$C$186,$A49,'1. Journaal'!$E$4:$E$186)</f>
        <v>800</v>
      </c>
      <c r="E49" s="4">
        <f>SUMIF('1. Journaal'!$C$4:$C$186,$A49,'1. Journaal'!$F$4:$F$186)</f>
        <v>0</v>
      </c>
      <c r="F49" s="4">
        <f t="shared" si="2"/>
        <v>800</v>
      </c>
      <c r="G49" s="4">
        <f t="shared" si="3"/>
        <v>0</v>
      </c>
    </row>
    <row r="50" spans="1:9" x14ac:dyDescent="0.35">
      <c r="A50">
        <v>670200</v>
      </c>
      <c r="B50" t="s">
        <v>157</v>
      </c>
      <c r="C50" t="s">
        <v>174</v>
      </c>
      <c r="D50" s="4">
        <f>SUMIF('1. Journaal'!$C$4:$C$186,$A50,'1. Journaal'!$E$4:$E$186)</f>
        <v>1946</v>
      </c>
      <c r="E50" s="4">
        <f>SUMIF('1. Journaal'!$C$4:$C$186,$A50,'1. Journaal'!$F$4:$F$186)</f>
        <v>0</v>
      </c>
      <c r="F50" s="4">
        <f t="shared" si="2"/>
        <v>1946</v>
      </c>
      <c r="G50" s="4">
        <f t="shared" si="3"/>
        <v>0</v>
      </c>
    </row>
    <row r="51" spans="1:9" x14ac:dyDescent="0.35">
      <c r="A51">
        <v>693000</v>
      </c>
      <c r="B51" t="s">
        <v>161</v>
      </c>
      <c r="C51" t="s">
        <v>175</v>
      </c>
      <c r="D51" s="4">
        <f>SUMIF('1. Journaal'!$C$4:$C$186,$A51,'1. Journaal'!$E$4:$E$186)</f>
        <v>7784</v>
      </c>
      <c r="E51" s="4">
        <f>SUMIF('1. Journaal'!$C$4:$C$186,$A51,'1. Journaal'!$F$4:$F$186)</f>
        <v>0</v>
      </c>
      <c r="F51" s="4">
        <f t="shared" si="2"/>
        <v>7784</v>
      </c>
      <c r="G51" s="4">
        <f t="shared" si="3"/>
        <v>0</v>
      </c>
    </row>
    <row r="52" spans="1:9" x14ac:dyDescent="0.35">
      <c r="A52">
        <v>704000</v>
      </c>
      <c r="B52" t="s">
        <v>32</v>
      </c>
      <c r="C52" t="s">
        <v>176</v>
      </c>
      <c r="D52" s="4">
        <f>SUMIF('1. Journaal'!$C$4:$C$186,$A52,'1. Journaal'!$E$4:$E$186)</f>
        <v>0</v>
      </c>
      <c r="E52" s="4">
        <f>SUMIF('1. Journaal'!$C$4:$C$186,$A52,'1. Journaal'!$F$4:$F$186)</f>
        <v>187000</v>
      </c>
      <c r="F52" s="4">
        <f t="shared" si="2"/>
        <v>0</v>
      </c>
      <c r="G52" s="4">
        <f t="shared" si="3"/>
        <v>187000</v>
      </c>
      <c r="I52" s="11"/>
    </row>
    <row r="53" spans="1:9" x14ac:dyDescent="0.35">
      <c r="A53">
        <v>704010</v>
      </c>
      <c r="B53" t="s">
        <v>52</v>
      </c>
      <c r="C53" t="s">
        <v>176</v>
      </c>
      <c r="D53" s="4">
        <f>SUMIF('1. Journaal'!$C$4:$C$186,$A53,'1. Journaal'!$E$4:$E$186)</f>
        <v>4000</v>
      </c>
      <c r="E53" s="4">
        <f>SUMIF('1. Journaal'!$C$4:$C$186,$A53,'1. Journaal'!$F$4:$F$186)</f>
        <v>0</v>
      </c>
      <c r="F53" s="4">
        <f t="shared" si="2"/>
        <v>4000</v>
      </c>
      <c r="G53" s="4">
        <f t="shared" si="3"/>
        <v>0</v>
      </c>
    </row>
    <row r="54" spans="1:9" x14ac:dyDescent="0.35">
      <c r="A54">
        <v>704020</v>
      </c>
      <c r="B54" t="s">
        <v>34</v>
      </c>
      <c r="C54" t="s">
        <v>176</v>
      </c>
      <c r="D54" s="4">
        <f>SUMIF('1. Journaal'!$C$4:$C$186,$A54,'1. Journaal'!$E$4:$E$186)</f>
        <v>4400</v>
      </c>
      <c r="E54" s="4">
        <f>SUMIF('1. Journaal'!$C$4:$C$186,$A54,'1. Journaal'!$F$4:$F$186)</f>
        <v>0</v>
      </c>
      <c r="F54" s="4">
        <f t="shared" si="2"/>
        <v>4400</v>
      </c>
      <c r="G54" s="4">
        <f t="shared" si="3"/>
        <v>0</v>
      </c>
    </row>
    <row r="55" spans="1:9" x14ac:dyDescent="0.35">
      <c r="A55">
        <v>746000</v>
      </c>
      <c r="B55" t="s">
        <v>40</v>
      </c>
      <c r="C55" t="s">
        <v>176</v>
      </c>
      <c r="D55" s="4">
        <f>SUMIF('1. Journaal'!$C$4:$C$186,$A55,'1. Journaal'!$E$4:$E$186)</f>
        <v>0</v>
      </c>
      <c r="E55" s="4">
        <f>SUMIF('1. Journaal'!$C$4:$C$186,$A55,'1. Journaal'!$F$4:$F$186)</f>
        <v>1000</v>
      </c>
      <c r="F55" s="4">
        <f t="shared" si="2"/>
        <v>0</v>
      </c>
      <c r="G55" s="4">
        <f t="shared" si="3"/>
        <v>1000</v>
      </c>
    </row>
    <row r="56" spans="1:9" x14ac:dyDescent="0.35">
      <c r="A56">
        <v>757000</v>
      </c>
      <c r="B56" t="s">
        <v>72</v>
      </c>
      <c r="C56" t="s">
        <v>176</v>
      </c>
      <c r="D56" s="4">
        <f>SUMIF('1. Journaal'!$C$4:$C$186,$A56,'1. Journaal'!$E$4:$E$186)</f>
        <v>0</v>
      </c>
      <c r="E56" s="4">
        <f>SUMIF('1. Journaal'!$C$4:$C$186,$A56,'1. Journaal'!$F$4:$F$186)</f>
        <v>600</v>
      </c>
      <c r="F56" s="4">
        <f t="shared" si="2"/>
        <v>0</v>
      </c>
      <c r="G56" s="4">
        <f t="shared" si="3"/>
        <v>600</v>
      </c>
    </row>
    <row r="57" spans="1:9" x14ac:dyDescent="0.35">
      <c r="B57" s="5" t="s">
        <v>163</v>
      </c>
      <c r="D57" s="6">
        <f>SUM(D4:D56)</f>
        <v>2184714</v>
      </c>
      <c r="E57" s="6">
        <f>SUM(E4:E56)</f>
        <v>2184714</v>
      </c>
      <c r="F57" s="6">
        <f>SUM(F4:F56)</f>
        <v>1135040</v>
      </c>
      <c r="G57" s="6">
        <f>SUM(G4:G56)</f>
        <v>1135040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opLeftCell="B1" zoomScaleNormal="100" workbookViewId="0">
      <pane ySplit="3" topLeftCell="A19" activePane="bottomLeft" state="frozen"/>
      <selection pane="bottomLeft" activeCell="C27" sqref="C27"/>
    </sheetView>
  </sheetViews>
  <sheetFormatPr defaultColWidth="8.6328125" defaultRowHeight="14.5" x14ac:dyDescent="0.35"/>
  <cols>
    <col min="1" max="1" width="11" customWidth="1"/>
    <col min="2" max="2" width="46" customWidth="1"/>
    <col min="3" max="4" width="16" customWidth="1"/>
  </cols>
  <sheetData>
    <row r="1" spans="1:4" ht="21" customHeight="1" x14ac:dyDescent="0.5">
      <c r="A1" s="1" t="s">
        <v>177</v>
      </c>
    </row>
    <row r="3" spans="1:4" x14ac:dyDescent="0.35">
      <c r="A3" s="2" t="s">
        <v>3</v>
      </c>
      <c r="B3" s="2" t="s">
        <v>4</v>
      </c>
      <c r="C3" s="2" t="s">
        <v>178</v>
      </c>
      <c r="D3" s="2" t="s">
        <v>179</v>
      </c>
    </row>
    <row r="4" spans="1:4" x14ac:dyDescent="0.35">
      <c r="A4">
        <v>604000</v>
      </c>
      <c r="B4" t="s">
        <v>56</v>
      </c>
      <c r="C4" s="4">
        <f>'2. Proef- en saldibalans'!F35-'2. Proef- en saldibalans'!G35</f>
        <v>130000</v>
      </c>
    </row>
    <row r="5" spans="1:4" x14ac:dyDescent="0.35">
      <c r="A5">
        <v>604010</v>
      </c>
      <c r="B5" t="s">
        <v>77</v>
      </c>
      <c r="C5" s="4">
        <f>'2. Proef- en saldibalans'!F36-'2. Proef- en saldibalans'!G36</f>
        <v>-2000</v>
      </c>
    </row>
    <row r="6" spans="1:4" x14ac:dyDescent="0.35">
      <c r="A6">
        <v>604020</v>
      </c>
      <c r="B6" t="s">
        <v>61</v>
      </c>
      <c r="C6" s="4">
        <f>'2. Proef- en saldibalans'!F37-'2. Proef- en saldibalans'!G37</f>
        <v>-3900</v>
      </c>
    </row>
    <row r="7" spans="1:4" x14ac:dyDescent="0.35">
      <c r="A7">
        <v>604030</v>
      </c>
      <c r="B7" t="s">
        <v>64</v>
      </c>
      <c r="C7" s="4">
        <f>'2. Proef- en saldibalans'!F38-'2. Proef- en saldibalans'!G38</f>
        <v>400</v>
      </c>
    </row>
    <row r="8" spans="1:4" x14ac:dyDescent="0.35">
      <c r="A8">
        <v>609400</v>
      </c>
      <c r="B8" t="s">
        <v>155</v>
      </c>
      <c r="C8" s="4">
        <f>'2. Proef- en saldibalans'!F39-'2. Proef- en saldibalans'!G39</f>
        <v>-10000</v>
      </c>
    </row>
    <row r="9" spans="1:4" x14ac:dyDescent="0.35">
      <c r="A9">
        <v>612600</v>
      </c>
      <c r="B9" t="s">
        <v>82</v>
      </c>
      <c r="C9" s="4">
        <f>'2. Proef- en saldibalans'!F40-'2. Proef- en saldibalans'!G40</f>
        <v>500</v>
      </c>
    </row>
    <row r="10" spans="1:4" x14ac:dyDescent="0.35">
      <c r="A10">
        <v>612700</v>
      </c>
      <c r="B10" t="s">
        <v>80</v>
      </c>
      <c r="C10" s="4">
        <f>'2. Proef- en saldibalans'!F41-'2. Proef- en saldibalans'!G41</f>
        <v>1500</v>
      </c>
    </row>
    <row r="11" spans="1:4" x14ac:dyDescent="0.35">
      <c r="A11">
        <v>613300</v>
      </c>
      <c r="B11" t="s">
        <v>91</v>
      </c>
      <c r="C11" s="4">
        <f>'2. Proef- en saldibalans'!F42-'2. Proef- en saldibalans'!G42</f>
        <v>400</v>
      </c>
    </row>
    <row r="12" spans="1:4" x14ac:dyDescent="0.35">
      <c r="A12">
        <v>620200</v>
      </c>
      <c r="B12" t="s">
        <v>101</v>
      </c>
      <c r="C12" s="4">
        <f>'2. Proef- en saldibalans'!F43-'2. Proef- en saldibalans'!G43</f>
        <v>20000</v>
      </c>
    </row>
    <row r="13" spans="1:4" x14ac:dyDescent="0.35">
      <c r="A13">
        <v>620300</v>
      </c>
      <c r="B13" t="s">
        <v>99</v>
      </c>
      <c r="C13" s="4">
        <f>'2. Proef- en saldibalans'!F44-'2. Proef- en saldibalans'!G44</f>
        <v>10000</v>
      </c>
    </row>
    <row r="14" spans="1:4" x14ac:dyDescent="0.35">
      <c r="A14">
        <v>621000</v>
      </c>
      <c r="B14" t="s">
        <v>102</v>
      </c>
      <c r="C14" s="4">
        <f>'2. Proef- en saldibalans'!F45-'2. Proef- en saldibalans'!G45</f>
        <v>7500</v>
      </c>
    </row>
    <row r="15" spans="1:4" x14ac:dyDescent="0.35">
      <c r="A15">
        <v>630200</v>
      </c>
      <c r="B15" t="s">
        <v>147</v>
      </c>
      <c r="C15" s="4">
        <f>'2. Proef- en saldibalans'!F46-'2. Proef- en saldibalans'!G46</f>
        <v>7500</v>
      </c>
    </row>
    <row r="16" spans="1:4" x14ac:dyDescent="0.35">
      <c r="A16">
        <v>630300</v>
      </c>
      <c r="B16" t="s">
        <v>149</v>
      </c>
      <c r="C16" s="4">
        <f>'2. Proef- en saldibalans'!F47-'2. Proef- en saldibalans'!G47</f>
        <v>6000</v>
      </c>
    </row>
    <row r="17" spans="1:4" x14ac:dyDescent="0.35">
      <c r="A17">
        <v>650000</v>
      </c>
      <c r="B17" t="s">
        <v>121</v>
      </c>
      <c r="C17" s="4">
        <f>'2. Proef- en saldibalans'!F48-'2. Proef- en saldibalans'!G48</f>
        <v>1770</v>
      </c>
    </row>
    <row r="18" spans="1:4" x14ac:dyDescent="0.35">
      <c r="A18">
        <v>657000</v>
      </c>
      <c r="B18" t="s">
        <v>46</v>
      </c>
      <c r="C18" s="4">
        <f>'2. Proef- en saldibalans'!F49-'2. Proef- en saldibalans'!G49</f>
        <v>800</v>
      </c>
    </row>
    <row r="19" spans="1:4" x14ac:dyDescent="0.35">
      <c r="A19">
        <v>704000</v>
      </c>
      <c r="B19" t="s">
        <v>32</v>
      </c>
      <c r="C19" s="4"/>
      <c r="D19">
        <f>'2. Proef- en saldibalans'!G52-'2. Proef- en saldibalans'!F52</f>
        <v>187000</v>
      </c>
    </row>
    <row r="20" spans="1:4" x14ac:dyDescent="0.35">
      <c r="A20">
        <v>704010</v>
      </c>
      <c r="B20" t="s">
        <v>52</v>
      </c>
      <c r="C20" s="4"/>
      <c r="D20">
        <f>'2. Proef- en saldibalans'!G53-'2. Proef- en saldibalans'!F53</f>
        <v>-4000</v>
      </c>
    </row>
    <row r="21" spans="1:4" x14ac:dyDescent="0.35">
      <c r="A21">
        <v>704020</v>
      </c>
      <c r="B21" t="s">
        <v>34</v>
      </c>
      <c r="C21" s="4"/>
      <c r="D21">
        <f>'2. Proef- en saldibalans'!G54-'2. Proef- en saldibalans'!F54</f>
        <v>-4400</v>
      </c>
    </row>
    <row r="22" spans="1:4" x14ac:dyDescent="0.35">
      <c r="A22">
        <v>746000</v>
      </c>
      <c r="B22" t="s">
        <v>40</v>
      </c>
      <c r="C22" s="4"/>
      <c r="D22">
        <f>'2. Proef- en saldibalans'!G55-'2. Proef- en saldibalans'!F55</f>
        <v>1000</v>
      </c>
    </row>
    <row r="23" spans="1:4" x14ac:dyDescent="0.35">
      <c r="A23">
        <v>757000</v>
      </c>
      <c r="B23" t="s">
        <v>72</v>
      </c>
      <c r="C23" s="4"/>
      <c r="D23">
        <f>'2. Proef- en saldibalans'!G56-'2. Proef- en saldibalans'!F56</f>
        <v>600</v>
      </c>
    </row>
    <row r="24" spans="1:4" x14ac:dyDescent="0.35">
      <c r="B24" s="5"/>
      <c r="C24" s="6"/>
      <c r="D24" s="6"/>
    </row>
    <row r="25" spans="1:4" x14ac:dyDescent="0.35">
      <c r="B25" s="5" t="s">
        <v>180</v>
      </c>
      <c r="C25" s="6">
        <f>SUM(C4:C18)</f>
        <v>170470</v>
      </c>
      <c r="D25" s="6">
        <f>SUM(D19:D23)</f>
        <v>180200</v>
      </c>
    </row>
    <row r="26" spans="1:4" x14ac:dyDescent="0.35">
      <c r="B26" s="5" t="s">
        <v>181</v>
      </c>
      <c r="C26" s="6"/>
      <c r="D26" s="6"/>
    </row>
    <row r="27" spans="1:4" x14ac:dyDescent="0.35">
      <c r="B27" s="5" t="s">
        <v>182</v>
      </c>
      <c r="C27" s="6">
        <f>D25-C25</f>
        <v>9730</v>
      </c>
      <c r="D27" s="6"/>
    </row>
    <row r="28" spans="1:4" x14ac:dyDescent="0.35">
      <c r="A28">
        <v>670200</v>
      </c>
      <c r="B28" t="s">
        <v>183</v>
      </c>
      <c r="C28" s="4">
        <f>'2. Proef- en saldibalans'!F50-'2. Proef- en saldibalans'!G50</f>
        <v>1946</v>
      </c>
    </row>
    <row r="29" spans="1:4" x14ac:dyDescent="0.35">
      <c r="B29" s="5" t="s">
        <v>184</v>
      </c>
      <c r="C29" s="6">
        <f>C27-C28</f>
        <v>7784</v>
      </c>
      <c r="D29" s="6"/>
    </row>
    <row r="30" spans="1:4" x14ac:dyDescent="0.35">
      <c r="C30" s="4"/>
    </row>
    <row r="31" spans="1:4" x14ac:dyDescent="0.35">
      <c r="A31">
        <v>693000</v>
      </c>
      <c r="B31" t="s">
        <v>161</v>
      </c>
      <c r="C31" s="4">
        <f>'2. Proef- en saldibalans'!F51-'2. Proef- en saldibalans'!G51</f>
        <v>7784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46" customWidth="1"/>
    <col min="3" max="4" width="16" customWidth="1"/>
  </cols>
  <sheetData>
    <row r="1" spans="1:4" ht="21" customHeight="1" x14ac:dyDescent="0.5">
      <c r="A1" s="1" t="s">
        <v>185</v>
      </c>
    </row>
    <row r="3" spans="1:4" x14ac:dyDescent="0.35">
      <c r="A3" s="2" t="s">
        <v>3</v>
      </c>
      <c r="B3" s="2" t="s">
        <v>4</v>
      </c>
      <c r="C3" s="2" t="s">
        <v>172</v>
      </c>
      <c r="D3" s="2" t="s">
        <v>171</v>
      </c>
    </row>
    <row r="4" spans="1:4" x14ac:dyDescent="0.35">
      <c r="A4">
        <v>100000</v>
      </c>
      <c r="B4" t="s">
        <v>22</v>
      </c>
      <c r="D4" s="4">
        <f>'2. Proef- en saldibalans'!G4-'2. Proef- en saldibalans'!F4</f>
        <v>350000</v>
      </c>
    </row>
    <row r="5" spans="1:4" x14ac:dyDescent="0.35">
      <c r="A5">
        <v>130000</v>
      </c>
      <c r="B5" t="s">
        <v>23</v>
      </c>
      <c r="D5" s="4">
        <f>'2. Proef- en saldibalans'!G5-'2. Proef- en saldibalans'!F5</f>
        <v>50000</v>
      </c>
    </row>
    <row r="6" spans="1:4" x14ac:dyDescent="0.35">
      <c r="A6">
        <v>140000</v>
      </c>
      <c r="B6" t="s">
        <v>24</v>
      </c>
      <c r="D6" s="4">
        <f>'2. Proef- en saldibalans'!G6-'2. Proef- en saldibalans'!F6</f>
        <v>47784</v>
      </c>
    </row>
    <row r="7" spans="1:4" x14ac:dyDescent="0.35">
      <c r="A7">
        <v>173000</v>
      </c>
      <c r="B7" t="s">
        <v>105</v>
      </c>
      <c r="D7" s="4">
        <f>'2. Proef- en saldibalans'!G7-'2. Proef- en saldibalans'!F7</f>
        <v>112500</v>
      </c>
    </row>
    <row r="8" spans="1:4" x14ac:dyDescent="0.35">
      <c r="A8">
        <v>221000</v>
      </c>
      <c r="B8" t="s">
        <v>9</v>
      </c>
      <c r="C8">
        <f>'2. Proef- en saldibalans'!F8-'2. Proef- en saldibalans'!G8</f>
        <v>400000</v>
      </c>
      <c r="D8" s="4"/>
    </row>
    <row r="9" spans="1:4" x14ac:dyDescent="0.35">
      <c r="A9">
        <v>221009</v>
      </c>
      <c r="B9" t="s">
        <v>11</v>
      </c>
      <c r="C9">
        <f>'2. Proef- en saldibalans'!F9-'2. Proef- en saldibalans'!G9</f>
        <v>-165000</v>
      </c>
      <c r="D9" s="4"/>
    </row>
    <row r="10" spans="1:4" x14ac:dyDescent="0.35">
      <c r="A10">
        <v>230000</v>
      </c>
      <c r="B10" t="s">
        <v>12</v>
      </c>
      <c r="C10">
        <f>'2. Proef- en saldibalans'!F10-'2. Proef- en saldibalans'!G10</f>
        <v>100000</v>
      </c>
      <c r="D10" s="4"/>
    </row>
    <row r="11" spans="1:4" x14ac:dyDescent="0.35">
      <c r="A11">
        <v>230009</v>
      </c>
      <c r="B11" t="s">
        <v>13</v>
      </c>
      <c r="C11">
        <f>'2. Proef- en saldibalans'!F11-'2. Proef- en saldibalans'!G11</f>
        <v>-72500</v>
      </c>
      <c r="D11" s="4"/>
    </row>
    <row r="12" spans="1:4" x14ac:dyDescent="0.35">
      <c r="A12">
        <v>240000</v>
      </c>
      <c r="B12" t="s">
        <v>14</v>
      </c>
      <c r="C12">
        <f>'2. Proef- en saldibalans'!F12-'2. Proef- en saldibalans'!G12</f>
        <v>60000</v>
      </c>
      <c r="D12" s="4"/>
    </row>
    <row r="13" spans="1:4" x14ac:dyDescent="0.35">
      <c r="A13">
        <v>240009</v>
      </c>
      <c r="B13" t="s">
        <v>15</v>
      </c>
      <c r="C13">
        <f>'2. Proef- en saldibalans'!F13-'2. Proef- en saldibalans'!G13</f>
        <v>-31500</v>
      </c>
      <c r="D13" s="4"/>
    </row>
    <row r="14" spans="1:4" x14ac:dyDescent="0.35">
      <c r="A14">
        <v>241000</v>
      </c>
      <c r="B14" t="s">
        <v>16</v>
      </c>
      <c r="C14">
        <f>'2. Proef- en saldibalans'!F14-'2. Proef- en saldibalans'!G14</f>
        <v>90000</v>
      </c>
      <c r="D14" s="4"/>
    </row>
    <row r="15" spans="1:4" x14ac:dyDescent="0.35">
      <c r="A15">
        <v>241009</v>
      </c>
      <c r="B15" t="s">
        <v>17</v>
      </c>
      <c r="C15">
        <f>'2. Proef- en saldibalans'!F15-'2. Proef- en saldibalans'!G15</f>
        <v>-44500</v>
      </c>
      <c r="D15" s="4"/>
    </row>
    <row r="16" spans="1:4" x14ac:dyDescent="0.35">
      <c r="A16">
        <v>340000</v>
      </c>
      <c r="B16" t="s">
        <v>18</v>
      </c>
      <c r="C16">
        <f>'2. Proef- en saldibalans'!F16-'2. Proef- en saldibalans'!G16</f>
        <v>110000</v>
      </c>
      <c r="D16" s="4"/>
    </row>
    <row r="17" spans="1:4" x14ac:dyDescent="0.35">
      <c r="A17">
        <v>400000</v>
      </c>
      <c r="B17" t="s">
        <v>19</v>
      </c>
      <c r="C17">
        <f>'2. Proef- en saldibalans'!F17-'2. Proef- en saldibalans'!G17</f>
        <v>22264</v>
      </c>
      <c r="D17" s="4"/>
    </row>
    <row r="18" spans="1:4" x14ac:dyDescent="0.35">
      <c r="A18">
        <v>411100</v>
      </c>
      <c r="B18" t="s">
        <v>58</v>
      </c>
      <c r="C18">
        <f>'2. Proef- en saldibalans'!F18-'2. Proef- en saldibalans'!G18</f>
        <v>0</v>
      </c>
      <c r="D18" s="4"/>
    </row>
    <row r="19" spans="1:4" x14ac:dyDescent="0.35">
      <c r="A19">
        <v>411200</v>
      </c>
      <c r="B19" t="s">
        <v>54</v>
      </c>
      <c r="C19">
        <f>'2. Proef- en saldibalans'!F19-'2. Proef- en saldibalans'!G19</f>
        <v>0</v>
      </c>
      <c r="D19" s="4"/>
    </row>
    <row r="20" spans="1:4" x14ac:dyDescent="0.35">
      <c r="A20">
        <v>418000</v>
      </c>
      <c r="B20" t="s">
        <v>65</v>
      </c>
      <c r="C20">
        <f>'2. Proef- en saldibalans'!F20-'2. Proef- en saldibalans'!G20</f>
        <v>400</v>
      </c>
      <c r="D20" s="4"/>
    </row>
    <row r="21" spans="1:4" x14ac:dyDescent="0.35">
      <c r="A21">
        <v>423000</v>
      </c>
      <c r="B21" t="s">
        <v>152</v>
      </c>
      <c r="D21" s="4">
        <f>'2. Proef- en saldibalans'!G21-'2. Proef- en saldibalans'!F21</f>
        <v>30000</v>
      </c>
    </row>
    <row r="22" spans="1:4" x14ac:dyDescent="0.35">
      <c r="A22">
        <v>440000</v>
      </c>
      <c r="B22" t="s">
        <v>25</v>
      </c>
      <c r="D22" s="4">
        <f>'2. Proef- en saldibalans'!G22-'2. Proef- en saldibalans'!F22</f>
        <v>21091</v>
      </c>
    </row>
    <row r="23" spans="1:4" x14ac:dyDescent="0.35">
      <c r="A23">
        <v>450000</v>
      </c>
      <c r="B23" t="s">
        <v>159</v>
      </c>
      <c r="D23" s="4">
        <f>'2. Proef- en saldibalans'!G23-'2. Proef- en saldibalans'!F23</f>
        <v>1946</v>
      </c>
    </row>
    <row r="24" spans="1:4" x14ac:dyDescent="0.35">
      <c r="A24">
        <v>451000</v>
      </c>
      <c r="B24" t="s">
        <v>26</v>
      </c>
      <c r="D24" s="4">
        <f>'2. Proef- en saldibalans'!G24-'2. Proef- en saldibalans'!F24</f>
        <v>3219</v>
      </c>
    </row>
    <row r="25" spans="1:4" x14ac:dyDescent="0.35">
      <c r="A25">
        <v>451100</v>
      </c>
      <c r="B25" t="s">
        <v>35</v>
      </c>
      <c r="D25" s="4">
        <f>'2. Proef- en saldibalans'!G25-'2. Proef- en saldibalans'!F25</f>
        <v>0</v>
      </c>
    </row>
    <row r="26" spans="1:4" x14ac:dyDescent="0.35">
      <c r="A26">
        <v>451200</v>
      </c>
      <c r="B26" t="s">
        <v>78</v>
      </c>
      <c r="D26" s="4">
        <f>'2. Proef- en saldibalans'!G26-'2. Proef- en saldibalans'!F26</f>
        <v>0</v>
      </c>
    </row>
    <row r="27" spans="1:4" x14ac:dyDescent="0.35">
      <c r="A27">
        <v>453000</v>
      </c>
      <c r="B27" t="s">
        <v>27</v>
      </c>
      <c r="D27" s="4">
        <f>'2. Proef- en saldibalans'!G27-'2. Proef- en saldibalans'!F27</f>
        <v>0</v>
      </c>
    </row>
    <row r="28" spans="1:4" x14ac:dyDescent="0.35">
      <c r="A28">
        <v>454000</v>
      </c>
      <c r="B28" t="s">
        <v>28</v>
      </c>
      <c r="D28" s="4">
        <f>'2. Proef- en saldibalans'!G28-'2. Proef- en saldibalans'!F28</f>
        <v>0</v>
      </c>
    </row>
    <row r="29" spans="1:4" x14ac:dyDescent="0.35">
      <c r="A29">
        <v>455200</v>
      </c>
      <c r="B29" t="s">
        <v>29</v>
      </c>
      <c r="D29" s="4">
        <f>'2. Proef- en saldibalans'!G29-'2. Proef- en saldibalans'!F29</f>
        <v>0</v>
      </c>
    </row>
    <row r="30" spans="1:4" x14ac:dyDescent="0.35">
      <c r="A30">
        <v>455300</v>
      </c>
      <c r="B30" t="s">
        <v>30</v>
      </c>
      <c r="D30" s="4">
        <f>'2. Proef- en saldibalans'!G30-'2. Proef- en saldibalans'!F30</f>
        <v>0</v>
      </c>
    </row>
    <row r="31" spans="1:4" x14ac:dyDescent="0.35">
      <c r="A31">
        <v>488000</v>
      </c>
      <c r="B31" t="s">
        <v>41</v>
      </c>
      <c r="D31" s="4">
        <f>'2. Proef- en saldibalans'!G31-'2. Proef- en saldibalans'!F31</f>
        <v>500</v>
      </c>
    </row>
    <row r="32" spans="1:4" x14ac:dyDescent="0.35">
      <c r="A32">
        <v>550000</v>
      </c>
      <c r="B32" t="s">
        <v>20</v>
      </c>
      <c r="C32">
        <f>'2. Proef- en saldibalans'!F32-'2. Proef- en saldibalans'!G32</f>
        <v>146676</v>
      </c>
      <c r="D32" s="4"/>
    </row>
    <row r="33" spans="1:4" x14ac:dyDescent="0.35">
      <c r="A33">
        <v>570000</v>
      </c>
      <c r="B33" t="s">
        <v>21</v>
      </c>
      <c r="C33">
        <f>'2. Proef- en saldibalans'!F33-'2. Proef- en saldibalans'!G33</f>
        <v>1200</v>
      </c>
      <c r="D33" s="4"/>
    </row>
    <row r="34" spans="1:4" x14ac:dyDescent="0.35">
      <c r="A34">
        <v>580000</v>
      </c>
      <c r="B34" t="s">
        <v>95</v>
      </c>
      <c r="C34">
        <f>'2. Proef- en saldibalans'!F34-'2. Proef- en saldibalans'!G34</f>
        <v>0</v>
      </c>
      <c r="D34" s="4"/>
    </row>
    <row r="35" spans="1:4" x14ac:dyDescent="0.35">
      <c r="B35" s="5" t="s">
        <v>163</v>
      </c>
      <c r="C35" s="6">
        <f>SUM(C4:C34)</f>
        <v>617040</v>
      </c>
      <c r="D35" s="6">
        <f>SUM(D4:D34)</f>
        <v>617040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zoomScaleNormal="100" workbookViewId="0">
      <pane ySplit="3" topLeftCell="A26" activePane="bottomLeft" state="frozen"/>
      <selection pane="bottomLeft" activeCell="A28" sqref="A28:A40"/>
    </sheetView>
  </sheetViews>
  <sheetFormatPr defaultColWidth="8.6328125" defaultRowHeight="14.5" x14ac:dyDescent="0.35"/>
  <cols>
    <col min="1" max="1" width="16" customWidth="1"/>
    <col min="2" max="2" width="22" customWidth="1"/>
    <col min="3" max="3" width="20" customWidth="1"/>
    <col min="4" max="4" width="12" customWidth="1"/>
    <col min="5" max="5" width="30" customWidth="1"/>
    <col min="6" max="6" width="15" customWidth="1"/>
    <col min="7" max="7" width="55" customWidth="1"/>
  </cols>
  <sheetData>
    <row r="1" spans="1:7" ht="21" customHeight="1" x14ac:dyDescent="0.5">
      <c r="A1" s="1" t="s">
        <v>186</v>
      </c>
    </row>
    <row r="3" spans="1:7" x14ac:dyDescent="0.35">
      <c r="A3" s="2" t="s">
        <v>187</v>
      </c>
      <c r="B3" s="2" t="s">
        <v>166</v>
      </c>
      <c r="C3" s="2" t="s">
        <v>188</v>
      </c>
      <c r="D3" s="2" t="s">
        <v>2</v>
      </c>
      <c r="E3" s="2" t="s">
        <v>189</v>
      </c>
      <c r="F3" s="2" t="s">
        <v>190</v>
      </c>
      <c r="G3" s="2" t="s">
        <v>191</v>
      </c>
    </row>
    <row r="4" spans="1:7" x14ac:dyDescent="0.35">
      <c r="A4" s="5" t="s">
        <v>8</v>
      </c>
      <c r="B4" t="s">
        <v>192</v>
      </c>
      <c r="C4" t="s">
        <v>193</v>
      </c>
      <c r="D4" s="3">
        <v>46023</v>
      </c>
      <c r="E4" t="s">
        <v>194</v>
      </c>
      <c r="G4" t="s">
        <v>195</v>
      </c>
    </row>
    <row r="5" spans="1:7" x14ac:dyDescent="0.35">
      <c r="A5" s="5" t="s">
        <v>196</v>
      </c>
      <c r="B5" t="s">
        <v>197</v>
      </c>
      <c r="C5" t="s">
        <v>193</v>
      </c>
      <c r="D5" s="3">
        <v>46023</v>
      </c>
      <c r="E5" t="s">
        <v>194</v>
      </c>
      <c r="F5" s="4">
        <v>842000</v>
      </c>
      <c r="G5" t="s">
        <v>198</v>
      </c>
    </row>
    <row r="6" spans="1:7" x14ac:dyDescent="0.35">
      <c r="A6" s="5" t="s">
        <v>31</v>
      </c>
      <c r="B6" t="s">
        <v>199</v>
      </c>
      <c r="C6" t="s">
        <v>200</v>
      </c>
      <c r="D6" s="3">
        <v>46025</v>
      </c>
      <c r="E6" t="s">
        <v>201</v>
      </c>
      <c r="F6" s="4">
        <v>26136</v>
      </c>
      <c r="G6" t="s">
        <v>202</v>
      </c>
    </row>
    <row r="7" spans="1:7" x14ac:dyDescent="0.35">
      <c r="A7" s="5" t="s">
        <v>36</v>
      </c>
      <c r="B7" t="s">
        <v>199</v>
      </c>
      <c r="C7" t="s">
        <v>203</v>
      </c>
      <c r="D7" s="3">
        <v>46032</v>
      </c>
      <c r="E7" t="s">
        <v>204</v>
      </c>
      <c r="F7" s="4">
        <v>24960</v>
      </c>
      <c r="G7" t="s">
        <v>205</v>
      </c>
    </row>
    <row r="8" spans="1:7" x14ac:dyDescent="0.35">
      <c r="A8" s="5" t="s">
        <v>38</v>
      </c>
      <c r="B8" t="s">
        <v>199</v>
      </c>
      <c r="C8" t="s">
        <v>206</v>
      </c>
      <c r="D8" s="3">
        <v>46039</v>
      </c>
      <c r="E8" t="s">
        <v>207</v>
      </c>
      <c r="F8" s="4">
        <v>37526</v>
      </c>
      <c r="G8" t="s">
        <v>208</v>
      </c>
    </row>
    <row r="9" spans="1:7" x14ac:dyDescent="0.35">
      <c r="A9" s="5" t="s">
        <v>42</v>
      </c>
      <c r="B9" t="s">
        <v>209</v>
      </c>
      <c r="C9" t="s">
        <v>210</v>
      </c>
      <c r="D9" s="3">
        <v>46057</v>
      </c>
      <c r="E9" t="s">
        <v>207</v>
      </c>
      <c r="F9" s="4">
        <v>500</v>
      </c>
      <c r="G9" t="s">
        <v>211</v>
      </c>
    </row>
    <row r="10" spans="1:7" x14ac:dyDescent="0.35">
      <c r="A10" s="5" t="s">
        <v>44</v>
      </c>
      <c r="B10" t="s">
        <v>199</v>
      </c>
      <c r="C10" t="s">
        <v>212</v>
      </c>
      <c r="D10" s="3">
        <v>46061</v>
      </c>
      <c r="E10" t="s">
        <v>213</v>
      </c>
      <c r="F10" s="4">
        <v>47432</v>
      </c>
      <c r="G10" t="s">
        <v>214</v>
      </c>
    </row>
    <row r="11" spans="1:7" x14ac:dyDescent="0.35">
      <c r="A11" s="5" t="s">
        <v>47</v>
      </c>
      <c r="B11" t="s">
        <v>199</v>
      </c>
      <c r="C11" t="s">
        <v>215</v>
      </c>
      <c r="D11" s="3">
        <v>46075</v>
      </c>
      <c r="E11" t="s">
        <v>216</v>
      </c>
      <c r="F11" s="4">
        <v>22264</v>
      </c>
      <c r="G11" t="s">
        <v>217</v>
      </c>
    </row>
    <row r="12" spans="1:7" x14ac:dyDescent="0.35">
      <c r="A12" s="5" t="s">
        <v>49</v>
      </c>
      <c r="B12" t="s">
        <v>199</v>
      </c>
      <c r="C12" t="s">
        <v>218</v>
      </c>
      <c r="D12" s="3">
        <v>46093</v>
      </c>
      <c r="E12" t="s">
        <v>201</v>
      </c>
      <c r="F12" s="4">
        <v>36500</v>
      </c>
      <c r="G12" t="s">
        <v>219</v>
      </c>
    </row>
    <row r="13" spans="1:7" x14ac:dyDescent="0.35">
      <c r="A13" s="5" t="s">
        <v>51</v>
      </c>
      <c r="B13" t="s">
        <v>209</v>
      </c>
      <c r="C13" t="s">
        <v>220</v>
      </c>
      <c r="D13" s="3">
        <v>46105</v>
      </c>
      <c r="E13" t="s">
        <v>201</v>
      </c>
      <c r="F13" s="4">
        <v>4840</v>
      </c>
      <c r="G13" t="s">
        <v>221</v>
      </c>
    </row>
    <row r="14" spans="1:7" x14ac:dyDescent="0.35">
      <c r="A14" s="5" t="s">
        <v>55</v>
      </c>
      <c r="B14" t="s">
        <v>222</v>
      </c>
      <c r="C14" t="s">
        <v>223</v>
      </c>
      <c r="D14" s="3">
        <v>46024</v>
      </c>
      <c r="E14" t="s">
        <v>224</v>
      </c>
      <c r="F14" s="4">
        <v>24200</v>
      </c>
      <c r="G14" t="s">
        <v>193</v>
      </c>
    </row>
    <row r="15" spans="1:7" x14ac:dyDescent="0.35">
      <c r="A15" s="5" t="s">
        <v>59</v>
      </c>
      <c r="B15" t="s">
        <v>222</v>
      </c>
      <c r="C15" t="s">
        <v>225</v>
      </c>
      <c r="D15" s="3">
        <v>46031</v>
      </c>
      <c r="E15" t="s">
        <v>226</v>
      </c>
      <c r="F15" s="4">
        <v>32670</v>
      </c>
      <c r="G15" t="s">
        <v>202</v>
      </c>
    </row>
    <row r="16" spans="1:7" x14ac:dyDescent="0.35">
      <c r="A16" s="5" t="s">
        <v>62</v>
      </c>
      <c r="B16" t="s">
        <v>222</v>
      </c>
      <c r="C16" t="s">
        <v>227</v>
      </c>
      <c r="D16" s="3">
        <v>46043</v>
      </c>
      <c r="E16" t="s">
        <v>228</v>
      </c>
      <c r="F16" s="4">
        <v>30124</v>
      </c>
      <c r="G16" t="s">
        <v>208</v>
      </c>
    </row>
    <row r="17" spans="1:7" x14ac:dyDescent="0.35">
      <c r="A17" s="5" t="s">
        <v>66</v>
      </c>
      <c r="B17" t="s">
        <v>229</v>
      </c>
      <c r="C17" t="s">
        <v>230</v>
      </c>
      <c r="D17" s="3">
        <v>46051</v>
      </c>
      <c r="E17" t="s">
        <v>228</v>
      </c>
      <c r="F17" s="4">
        <v>600</v>
      </c>
      <c r="G17" t="s">
        <v>231</v>
      </c>
    </row>
    <row r="18" spans="1:7" x14ac:dyDescent="0.35">
      <c r="A18" s="5" t="s">
        <v>68</v>
      </c>
      <c r="B18" t="s">
        <v>222</v>
      </c>
      <c r="C18" t="s">
        <v>232</v>
      </c>
      <c r="D18" s="3">
        <v>46058</v>
      </c>
      <c r="E18" t="s">
        <v>233</v>
      </c>
      <c r="F18" s="4">
        <v>6000</v>
      </c>
      <c r="G18" t="s">
        <v>234</v>
      </c>
    </row>
    <row r="19" spans="1:7" x14ac:dyDescent="0.35">
      <c r="A19" s="5" t="s">
        <v>70</v>
      </c>
      <c r="B19" t="s">
        <v>222</v>
      </c>
      <c r="C19" t="s">
        <v>235</v>
      </c>
      <c r="D19" s="3">
        <v>46073</v>
      </c>
      <c r="E19" t="s">
        <v>236</v>
      </c>
      <c r="F19" s="4">
        <v>35574</v>
      </c>
      <c r="G19" t="s">
        <v>214</v>
      </c>
    </row>
    <row r="20" spans="1:7" x14ac:dyDescent="0.35">
      <c r="A20" s="5" t="s">
        <v>73</v>
      </c>
      <c r="B20" t="s">
        <v>222</v>
      </c>
      <c r="C20" t="s">
        <v>237</v>
      </c>
      <c r="D20" s="3">
        <v>46089</v>
      </c>
      <c r="E20" t="s">
        <v>224</v>
      </c>
      <c r="F20" s="4">
        <v>23390</v>
      </c>
      <c r="G20" t="s">
        <v>238</v>
      </c>
    </row>
    <row r="21" spans="1:7" x14ac:dyDescent="0.35">
      <c r="A21" s="5" t="s">
        <v>75</v>
      </c>
      <c r="B21" t="s">
        <v>229</v>
      </c>
      <c r="C21" t="s">
        <v>239</v>
      </c>
      <c r="D21" s="3">
        <v>46103</v>
      </c>
      <c r="E21" t="s">
        <v>224</v>
      </c>
      <c r="F21" s="4">
        <v>2299</v>
      </c>
      <c r="G21" t="s">
        <v>240</v>
      </c>
    </row>
    <row r="22" spans="1:7" x14ac:dyDescent="0.35">
      <c r="A22" s="5" t="s">
        <v>79</v>
      </c>
      <c r="B22" t="s">
        <v>222</v>
      </c>
      <c r="C22" t="s">
        <v>241</v>
      </c>
      <c r="D22" s="3">
        <v>46052</v>
      </c>
      <c r="E22" t="s">
        <v>242</v>
      </c>
      <c r="F22" s="4">
        <v>2120</v>
      </c>
      <c r="G22" t="s">
        <v>243</v>
      </c>
    </row>
    <row r="23" spans="1:7" x14ac:dyDescent="0.35">
      <c r="A23" s="5" t="s">
        <v>86</v>
      </c>
      <c r="B23" t="s">
        <v>222</v>
      </c>
      <c r="C23" t="s">
        <v>244</v>
      </c>
      <c r="D23" s="3">
        <v>46057</v>
      </c>
      <c r="E23" t="s">
        <v>245</v>
      </c>
      <c r="F23" s="4">
        <v>48400</v>
      </c>
      <c r="G23" t="s">
        <v>246</v>
      </c>
    </row>
    <row r="24" spans="1:7" x14ac:dyDescent="0.35">
      <c r="A24" s="5" t="s">
        <v>88</v>
      </c>
      <c r="B24" t="s">
        <v>222</v>
      </c>
      <c r="C24" t="s">
        <v>247</v>
      </c>
      <c r="D24" s="3">
        <v>46084</v>
      </c>
      <c r="E24" t="s">
        <v>248</v>
      </c>
      <c r="F24" s="4">
        <v>17500</v>
      </c>
      <c r="G24" t="s">
        <v>249</v>
      </c>
    </row>
    <row r="25" spans="1:7" x14ac:dyDescent="0.35">
      <c r="A25" s="5" t="s">
        <v>90</v>
      </c>
      <c r="B25" t="s">
        <v>222</v>
      </c>
      <c r="C25" t="s">
        <v>250</v>
      </c>
      <c r="D25" s="3">
        <v>46084</v>
      </c>
      <c r="E25" t="s">
        <v>248</v>
      </c>
      <c r="F25" s="4">
        <v>400</v>
      </c>
      <c r="G25" t="s">
        <v>251</v>
      </c>
    </row>
    <row r="26" spans="1:7" x14ac:dyDescent="0.35">
      <c r="A26" s="5" t="s">
        <v>93</v>
      </c>
      <c r="B26" t="s">
        <v>252</v>
      </c>
      <c r="C26" t="s">
        <v>93</v>
      </c>
      <c r="D26" s="3">
        <v>46053</v>
      </c>
      <c r="E26" t="s">
        <v>253</v>
      </c>
      <c r="F26" s="4">
        <v>26320</v>
      </c>
      <c r="G26" t="s">
        <v>254</v>
      </c>
    </row>
    <row r="27" spans="1:7" x14ac:dyDescent="0.35">
      <c r="A27" s="5" t="s">
        <v>98</v>
      </c>
      <c r="B27" t="s">
        <v>255</v>
      </c>
      <c r="C27" t="s">
        <v>193</v>
      </c>
      <c r="D27" s="3">
        <v>46081</v>
      </c>
      <c r="E27" t="s">
        <v>248</v>
      </c>
      <c r="F27" s="4">
        <v>37500</v>
      </c>
      <c r="G27" t="s">
        <v>256</v>
      </c>
    </row>
    <row r="28" spans="1:7" x14ac:dyDescent="0.35">
      <c r="A28" s="10" t="s">
        <v>103</v>
      </c>
      <c r="B28" t="s">
        <v>257</v>
      </c>
      <c r="C28" t="s">
        <v>258</v>
      </c>
      <c r="D28" s="3">
        <v>46024</v>
      </c>
      <c r="E28" t="s">
        <v>259</v>
      </c>
      <c r="G28" t="s">
        <v>260</v>
      </c>
    </row>
    <row r="29" spans="1:7" x14ac:dyDescent="0.35">
      <c r="A29" s="10" t="s">
        <v>107</v>
      </c>
      <c r="B29" t="s">
        <v>257</v>
      </c>
      <c r="C29" t="s">
        <v>261</v>
      </c>
      <c r="D29" s="3">
        <v>46025</v>
      </c>
      <c r="E29" t="s">
        <v>259</v>
      </c>
      <c r="G29" t="s">
        <v>262</v>
      </c>
    </row>
    <row r="30" spans="1:7" x14ac:dyDescent="0.35">
      <c r="A30" s="10" t="s">
        <v>110</v>
      </c>
      <c r="B30" t="s">
        <v>257</v>
      </c>
      <c r="C30" t="s">
        <v>263</v>
      </c>
      <c r="D30" s="3">
        <v>46029</v>
      </c>
      <c r="E30" t="s">
        <v>259</v>
      </c>
      <c r="G30" t="s">
        <v>331</v>
      </c>
    </row>
    <row r="31" spans="1:7" x14ac:dyDescent="0.35">
      <c r="A31" s="10" t="s">
        <v>114</v>
      </c>
      <c r="B31" t="s">
        <v>257</v>
      </c>
      <c r="C31" t="s">
        <v>264</v>
      </c>
      <c r="D31" s="3">
        <v>46042</v>
      </c>
      <c r="E31" t="s">
        <v>259</v>
      </c>
      <c r="G31" t="s">
        <v>265</v>
      </c>
    </row>
    <row r="32" spans="1:7" x14ac:dyDescent="0.35">
      <c r="A32" s="10" t="s">
        <v>117</v>
      </c>
      <c r="B32" t="s">
        <v>257</v>
      </c>
      <c r="C32" t="s">
        <v>266</v>
      </c>
      <c r="D32" s="3">
        <v>46053</v>
      </c>
      <c r="E32" t="s">
        <v>259</v>
      </c>
      <c r="G32" t="s">
        <v>267</v>
      </c>
    </row>
    <row r="33" spans="1:7" x14ac:dyDescent="0.35">
      <c r="A33" s="10" t="s">
        <v>122</v>
      </c>
      <c r="B33" t="s">
        <v>257</v>
      </c>
      <c r="C33" t="s">
        <v>268</v>
      </c>
      <c r="D33" s="3">
        <v>46059</v>
      </c>
      <c r="E33" t="s">
        <v>259</v>
      </c>
      <c r="G33" t="s">
        <v>269</v>
      </c>
    </row>
    <row r="34" spans="1:7" x14ac:dyDescent="0.35">
      <c r="A34" s="10" t="s">
        <v>125</v>
      </c>
      <c r="B34" t="s">
        <v>257</v>
      </c>
      <c r="C34" t="s">
        <v>270</v>
      </c>
      <c r="D34" s="3">
        <v>46071</v>
      </c>
      <c r="E34" t="s">
        <v>259</v>
      </c>
      <c r="G34" t="s">
        <v>271</v>
      </c>
    </row>
    <row r="35" spans="1:7" x14ac:dyDescent="0.35">
      <c r="A35" s="10" t="s">
        <v>128</v>
      </c>
      <c r="B35" t="s">
        <v>257</v>
      </c>
      <c r="C35" t="s">
        <v>272</v>
      </c>
      <c r="D35" s="3">
        <v>46081</v>
      </c>
      <c r="E35" t="s">
        <v>259</v>
      </c>
      <c r="G35" t="s">
        <v>273</v>
      </c>
    </row>
    <row r="36" spans="1:7" x14ac:dyDescent="0.35">
      <c r="A36" s="10" t="s">
        <v>132</v>
      </c>
      <c r="B36" t="s">
        <v>257</v>
      </c>
      <c r="C36" t="s">
        <v>274</v>
      </c>
      <c r="D36" s="3">
        <v>46083</v>
      </c>
      <c r="E36" t="s">
        <v>259</v>
      </c>
      <c r="G36" t="s">
        <v>275</v>
      </c>
    </row>
    <row r="37" spans="1:7" x14ac:dyDescent="0.35">
      <c r="A37" s="10" t="s">
        <v>134</v>
      </c>
      <c r="B37" t="s">
        <v>257</v>
      </c>
      <c r="C37" t="s">
        <v>276</v>
      </c>
      <c r="D37" s="3">
        <v>46093</v>
      </c>
      <c r="E37" t="s">
        <v>259</v>
      </c>
      <c r="G37" t="s">
        <v>277</v>
      </c>
    </row>
    <row r="38" spans="1:7" x14ac:dyDescent="0.35">
      <c r="A38" s="10" t="s">
        <v>138</v>
      </c>
      <c r="B38" t="s">
        <v>257</v>
      </c>
      <c r="C38" t="s">
        <v>278</v>
      </c>
      <c r="D38" s="3">
        <v>46096</v>
      </c>
      <c r="E38" t="s">
        <v>259</v>
      </c>
      <c r="G38" t="s">
        <v>279</v>
      </c>
    </row>
    <row r="39" spans="1:7" x14ac:dyDescent="0.35">
      <c r="A39" s="10" t="s">
        <v>140</v>
      </c>
      <c r="B39" t="s">
        <v>257</v>
      </c>
      <c r="C39" t="s">
        <v>280</v>
      </c>
      <c r="D39" s="3">
        <v>46107</v>
      </c>
      <c r="E39" t="s">
        <v>259</v>
      </c>
      <c r="G39" t="s">
        <v>281</v>
      </c>
    </row>
    <row r="40" spans="1:7" x14ac:dyDescent="0.35">
      <c r="A40" s="10" t="s">
        <v>142</v>
      </c>
      <c r="B40" t="s">
        <v>257</v>
      </c>
      <c r="C40" t="s">
        <v>282</v>
      </c>
      <c r="D40" s="3">
        <v>46112</v>
      </c>
      <c r="E40" t="s">
        <v>259</v>
      </c>
      <c r="G40" t="s">
        <v>283</v>
      </c>
    </row>
    <row r="41" spans="1:7" x14ac:dyDescent="0.35">
      <c r="A41" s="5" t="s">
        <v>96</v>
      </c>
      <c r="B41" t="s">
        <v>284</v>
      </c>
      <c r="C41" t="s">
        <v>285</v>
      </c>
      <c r="D41" s="3">
        <v>46112</v>
      </c>
      <c r="E41" t="s">
        <v>194</v>
      </c>
      <c r="G41" t="s">
        <v>286</v>
      </c>
    </row>
    <row r="42" spans="1:7" x14ac:dyDescent="0.35">
      <c r="A42" s="5" t="s">
        <v>287</v>
      </c>
      <c r="B42" t="s">
        <v>288</v>
      </c>
      <c r="C42" t="s">
        <v>289</v>
      </c>
      <c r="D42" s="3">
        <v>46052</v>
      </c>
      <c r="E42" t="s">
        <v>259</v>
      </c>
      <c r="G42" t="s">
        <v>290</v>
      </c>
    </row>
    <row r="43" spans="1:7" x14ac:dyDescent="0.35">
      <c r="A43" s="5" t="s">
        <v>150</v>
      </c>
      <c r="B43" t="s">
        <v>291</v>
      </c>
      <c r="C43" t="s">
        <v>289</v>
      </c>
      <c r="D43" s="3">
        <v>46052</v>
      </c>
      <c r="E43" t="s">
        <v>259</v>
      </c>
      <c r="G43" t="s">
        <v>292</v>
      </c>
    </row>
    <row r="44" spans="1:7" x14ac:dyDescent="0.35">
      <c r="A44" s="5" t="s">
        <v>146</v>
      </c>
      <c r="B44" t="s">
        <v>293</v>
      </c>
      <c r="C44" t="s">
        <v>146</v>
      </c>
      <c r="D44" s="3">
        <v>46112</v>
      </c>
      <c r="E44" t="s">
        <v>194</v>
      </c>
      <c r="F44" s="4">
        <v>13500</v>
      </c>
      <c r="G44" t="s">
        <v>294</v>
      </c>
    </row>
    <row r="45" spans="1:7" x14ac:dyDescent="0.35">
      <c r="A45" s="5" t="s">
        <v>153</v>
      </c>
      <c r="B45" t="s">
        <v>295</v>
      </c>
      <c r="C45" t="s">
        <v>153</v>
      </c>
      <c r="D45" s="3">
        <v>46112</v>
      </c>
      <c r="E45" t="s">
        <v>194</v>
      </c>
      <c r="F45" s="4">
        <v>110000</v>
      </c>
      <c r="G45" t="s">
        <v>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78" customWidth="1"/>
    <col min="2" max="2" width="16" customWidth="1"/>
  </cols>
  <sheetData>
    <row r="1" spans="1:2" ht="21" customHeight="1" x14ac:dyDescent="0.5">
      <c r="A1" s="1" t="s">
        <v>297</v>
      </c>
    </row>
    <row r="3" spans="1:2" x14ac:dyDescent="0.35">
      <c r="A3" s="2" t="s">
        <v>298</v>
      </c>
      <c r="B3" s="2" t="s">
        <v>299</v>
      </c>
    </row>
    <row r="4" spans="1:2" x14ac:dyDescent="0.35">
      <c r="A4" t="s">
        <v>300</v>
      </c>
      <c r="B4" s="4">
        <f>'1. Journaal'!E188-'1. Journaal'!F188</f>
        <v>0</v>
      </c>
    </row>
    <row r="5" spans="1:2" x14ac:dyDescent="0.35">
      <c r="A5" t="s">
        <v>301</v>
      </c>
      <c r="B5" s="4">
        <f>'2. Proef- en saldibalans'!D57-'2. Proef- en saldibalans'!E57</f>
        <v>0</v>
      </c>
    </row>
    <row r="6" spans="1:2" x14ac:dyDescent="0.35">
      <c r="A6" t="s">
        <v>302</v>
      </c>
      <c r="B6" s="4">
        <f>'2. Proef- en saldibalans'!F57-'2. Proef- en saldibalans'!G57</f>
        <v>0</v>
      </c>
    </row>
    <row r="7" spans="1:2" x14ac:dyDescent="0.35">
      <c r="A7" t="s">
        <v>303</v>
      </c>
      <c r="B7" s="4">
        <f>'4. Eindbalans'!C35-'4. Eindbalans'!D35</f>
        <v>0</v>
      </c>
    </row>
    <row r="8" spans="1:2" x14ac:dyDescent="0.35">
      <c r="A8" t="s">
        <v>304</v>
      </c>
      <c r="B8" s="4">
        <f>'3. Resultatenrekening'!C29-'3. Resultatenrekening'!C31</f>
        <v>0</v>
      </c>
    </row>
    <row r="9" spans="1:2" x14ac:dyDescent="0.35">
      <c r="A9" t="s">
        <v>305</v>
      </c>
      <c r="B9" s="4">
        <f>'2. Proef- en saldibalans'!F32-146676</f>
        <v>0</v>
      </c>
    </row>
    <row r="10" spans="1:2" x14ac:dyDescent="0.35">
      <c r="A10" t="s">
        <v>306</v>
      </c>
      <c r="B10" s="4">
        <f>'2. Proef- en saldibalans'!F33-1200</f>
        <v>0</v>
      </c>
    </row>
    <row r="11" spans="1:2" x14ac:dyDescent="0.35">
      <c r="A11" t="s">
        <v>307</v>
      </c>
      <c r="B11" s="4">
        <f>'2. Proef- en saldibalans'!F16-110000</f>
        <v>0</v>
      </c>
    </row>
    <row r="12" spans="1:2" x14ac:dyDescent="0.35">
      <c r="A12" t="s">
        <v>308</v>
      </c>
      <c r="B12" s="4">
        <f>'2. Proef- en saldibalans'!D34-'2. Proef- en saldibalans'!E34</f>
        <v>0</v>
      </c>
    </row>
    <row r="13" spans="1:2" x14ac:dyDescent="0.35">
      <c r="A13" t="s">
        <v>309</v>
      </c>
      <c r="B13" s="4">
        <f>'2. Proef- en saldibalans'!F18+'2. Proef- en saldibalans'!G18+'2. Proef- en saldibalans'!F19+'2. Proef- en saldibalans'!G19+'2. Proef- en saldibalans'!F25+'2. Proef- en saldibalans'!G25+'2. Proef- en saldibalans'!F26+'2. Proef- en saldibalans'!G26</f>
        <v>0</v>
      </c>
    </row>
    <row r="14" spans="1:2" x14ac:dyDescent="0.35">
      <c r="A14" t="s">
        <v>310</v>
      </c>
      <c r="B14" s="4">
        <f>'2. Proef- en saldibalans'!F29+'2. Proef- en saldibalans'!G29+'2. Proef- en saldibalans'!F30+'2. Proef- en saldibalans'!G30</f>
        <v>0</v>
      </c>
    </row>
    <row r="15" spans="1:2" x14ac:dyDescent="0.35">
      <c r="A15" t="s">
        <v>311</v>
      </c>
      <c r="B15" s="4">
        <f>'2. Proef- en saldibalans'!G7+'2. Proef- en saldibalans'!G21-142500</f>
        <v>0</v>
      </c>
    </row>
    <row r="16" spans="1:2" x14ac:dyDescent="0.35">
      <c r="A16" t="s">
        <v>312</v>
      </c>
      <c r="B16" s="4">
        <f>'2. Proef- en saldibalans'!G22-21091</f>
        <v>0</v>
      </c>
    </row>
    <row r="17" spans="1:2" x14ac:dyDescent="0.35">
      <c r="A17" t="s">
        <v>313</v>
      </c>
      <c r="B17" s="4">
        <f>'2. Proef- en saldibalans'!F17-22264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7"/>
  <sheetViews>
    <sheetView zoomScaleNormal="100" workbookViewId="0"/>
  </sheetViews>
  <sheetFormatPr defaultColWidth="8.6328125" defaultRowHeight="14.5" x14ac:dyDescent="0.35"/>
  <cols>
    <col min="1" max="1" width="7" customWidth="1"/>
    <col min="2" max="2" width="13" customWidth="1"/>
    <col min="3" max="3" width="8" customWidth="1"/>
    <col min="4" max="6" width="20" customWidth="1"/>
    <col min="7" max="7" width="15" customWidth="1"/>
    <col min="8" max="8" width="22" customWidth="1"/>
    <col min="10" max="10" width="10" customWidth="1"/>
    <col min="11" max="12" width="20" customWidth="1"/>
    <col min="13" max="13" width="24" customWidth="1"/>
  </cols>
  <sheetData>
    <row r="1" spans="1:13" ht="21" customHeight="1" x14ac:dyDescent="0.5">
      <c r="A1" s="1" t="s">
        <v>314</v>
      </c>
    </row>
    <row r="3" spans="1:13" x14ac:dyDescent="0.35">
      <c r="A3" s="5" t="s">
        <v>315</v>
      </c>
      <c r="B3" s="4">
        <v>150000</v>
      </c>
    </row>
    <row r="4" spans="1:13" x14ac:dyDescent="0.35">
      <c r="A4" s="5" t="s">
        <v>316</v>
      </c>
      <c r="B4" s="8">
        <v>4.8000000000000001E-2</v>
      </c>
    </row>
    <row r="5" spans="1:13" x14ac:dyDescent="0.35">
      <c r="A5" s="5" t="s">
        <v>317</v>
      </c>
      <c r="B5" s="4">
        <v>2500</v>
      </c>
    </row>
    <row r="7" spans="1:13" ht="28.5" customHeight="1" x14ac:dyDescent="0.35">
      <c r="A7" s="9" t="s">
        <v>318</v>
      </c>
      <c r="B7" s="9" t="s">
        <v>319</v>
      </c>
      <c r="C7" s="9" t="s">
        <v>320</v>
      </c>
      <c r="D7" s="9" t="s">
        <v>321</v>
      </c>
      <c r="E7" s="9" t="s">
        <v>322</v>
      </c>
      <c r="F7" s="9" t="s">
        <v>323</v>
      </c>
      <c r="G7" s="9" t="s">
        <v>324</v>
      </c>
      <c r="H7" s="9" t="s">
        <v>325</v>
      </c>
      <c r="J7" s="9" t="s">
        <v>320</v>
      </c>
      <c r="K7" s="9" t="s">
        <v>326</v>
      </c>
      <c r="L7" s="9" t="s">
        <v>327</v>
      </c>
      <c r="M7" s="9" t="s">
        <v>325</v>
      </c>
    </row>
    <row r="8" spans="1:13" x14ac:dyDescent="0.35">
      <c r="A8">
        <v>1</v>
      </c>
      <c r="B8" s="3">
        <v>46053</v>
      </c>
      <c r="C8">
        <f t="shared" ref="C8:C39" si="0">YEAR(B8)</f>
        <v>2026</v>
      </c>
      <c r="D8" s="4">
        <f>$B$3</f>
        <v>150000</v>
      </c>
      <c r="E8" s="4">
        <f t="shared" ref="E8:E39" si="1">$B$5</f>
        <v>2500</v>
      </c>
      <c r="F8" s="4">
        <f t="shared" ref="F8:F39" si="2">D8*$B$4/12</f>
        <v>600</v>
      </c>
      <c r="G8" s="4">
        <f t="shared" ref="G8:G39" si="3">E8+F8</f>
        <v>3100</v>
      </c>
      <c r="H8" s="4">
        <f t="shared" ref="H8:H39" si="4">D8-E8</f>
        <v>147500</v>
      </c>
      <c r="J8" s="5">
        <v>2026</v>
      </c>
      <c r="K8" s="4">
        <f>SUMIF($C$8:$C$67,$J8,$E$8:$E$67)</f>
        <v>30000</v>
      </c>
      <c r="L8" s="4">
        <f>SUMIF($C$8:$C$67,$J8,$F$8:$F$67)</f>
        <v>6540</v>
      </c>
      <c r="M8" s="4">
        <f>IF(J8=2026,$B$3-K8,M7-K8)</f>
        <v>120000</v>
      </c>
    </row>
    <row r="9" spans="1:13" x14ac:dyDescent="0.35">
      <c r="A9">
        <v>2</v>
      </c>
      <c r="B9" s="3">
        <f t="shared" ref="B9:B40" si="5">EOMONTH(B8,1)</f>
        <v>46081</v>
      </c>
      <c r="C9">
        <f t="shared" si="0"/>
        <v>2026</v>
      </c>
      <c r="D9" s="4">
        <f t="shared" ref="D9:D40" si="6">H8</f>
        <v>147500</v>
      </c>
      <c r="E9" s="4">
        <f t="shared" si="1"/>
        <v>2500</v>
      </c>
      <c r="F9" s="4">
        <f t="shared" si="2"/>
        <v>590</v>
      </c>
      <c r="G9" s="4">
        <f t="shared" si="3"/>
        <v>3090</v>
      </c>
      <c r="H9" s="4">
        <f t="shared" si="4"/>
        <v>145000</v>
      </c>
      <c r="J9" s="5">
        <v>2027</v>
      </c>
      <c r="K9" s="4">
        <f>SUMIF($C$8:$C$67,$J9,$E$8:$E$67)</f>
        <v>30000</v>
      </c>
      <c r="L9" s="4">
        <f>SUMIF($C$8:$C$67,$J9,$F$8:$F$67)</f>
        <v>5100</v>
      </c>
      <c r="M9" s="4">
        <f>IF(J9=2026,$B$3-K9,M8-K9)</f>
        <v>90000</v>
      </c>
    </row>
    <row r="10" spans="1:13" x14ac:dyDescent="0.35">
      <c r="A10">
        <v>3</v>
      </c>
      <c r="B10" s="3">
        <f t="shared" si="5"/>
        <v>46112</v>
      </c>
      <c r="C10">
        <f t="shared" si="0"/>
        <v>2026</v>
      </c>
      <c r="D10" s="4">
        <f t="shared" si="6"/>
        <v>145000</v>
      </c>
      <c r="E10" s="4">
        <f t="shared" si="1"/>
        <v>2500</v>
      </c>
      <c r="F10" s="4">
        <f t="shared" si="2"/>
        <v>580</v>
      </c>
      <c r="G10" s="4">
        <f t="shared" si="3"/>
        <v>3080</v>
      </c>
      <c r="H10" s="4">
        <f t="shared" si="4"/>
        <v>142500</v>
      </c>
      <c r="J10" s="5">
        <v>2028</v>
      </c>
      <c r="K10" s="4">
        <f>SUMIF($C$8:$C$67,$J10,$E$8:$E$67)</f>
        <v>30000</v>
      </c>
      <c r="L10" s="4">
        <f>SUMIF($C$8:$C$67,$J10,$F$8:$F$67)</f>
        <v>3660</v>
      </c>
      <c r="M10" s="4">
        <f>IF(J10=2026,$B$3-K10,M9-K10)</f>
        <v>60000</v>
      </c>
    </row>
    <row r="11" spans="1:13" x14ac:dyDescent="0.35">
      <c r="A11">
        <v>4</v>
      </c>
      <c r="B11" s="3">
        <f t="shared" si="5"/>
        <v>46142</v>
      </c>
      <c r="C11">
        <f t="shared" si="0"/>
        <v>2026</v>
      </c>
      <c r="D11" s="4">
        <f t="shared" si="6"/>
        <v>142500</v>
      </c>
      <c r="E11" s="4">
        <f t="shared" si="1"/>
        <v>2500</v>
      </c>
      <c r="F11" s="4">
        <f t="shared" si="2"/>
        <v>570</v>
      </c>
      <c r="G11" s="4">
        <f t="shared" si="3"/>
        <v>3070</v>
      </c>
      <c r="H11" s="4">
        <f t="shared" si="4"/>
        <v>140000</v>
      </c>
      <c r="J11" s="5">
        <v>2029</v>
      </c>
      <c r="K11" s="4">
        <f>SUMIF($C$8:$C$67,$J11,$E$8:$E$67)</f>
        <v>30000</v>
      </c>
      <c r="L11" s="4">
        <f>SUMIF($C$8:$C$67,$J11,$F$8:$F$67)</f>
        <v>2220</v>
      </c>
      <c r="M11" s="4">
        <f>IF(J11=2026,$B$3-K11,M10-K11)</f>
        <v>30000</v>
      </c>
    </row>
    <row r="12" spans="1:13" x14ac:dyDescent="0.35">
      <c r="A12">
        <v>5</v>
      </c>
      <c r="B12" s="3">
        <f t="shared" si="5"/>
        <v>46173</v>
      </c>
      <c r="C12">
        <f t="shared" si="0"/>
        <v>2026</v>
      </c>
      <c r="D12" s="4">
        <f t="shared" si="6"/>
        <v>140000</v>
      </c>
      <c r="E12" s="4">
        <f t="shared" si="1"/>
        <v>2500</v>
      </c>
      <c r="F12" s="4">
        <f t="shared" si="2"/>
        <v>560</v>
      </c>
      <c r="G12" s="4">
        <f t="shared" si="3"/>
        <v>3060</v>
      </c>
      <c r="H12" s="4">
        <f t="shared" si="4"/>
        <v>137500</v>
      </c>
      <c r="J12" s="5">
        <v>2030</v>
      </c>
      <c r="K12" s="4">
        <f>SUMIF($C$8:$C$67,$J12,$E$8:$E$67)</f>
        <v>30000</v>
      </c>
      <c r="L12" s="4">
        <f>SUMIF($C$8:$C$67,$J12,$F$8:$F$67)</f>
        <v>780</v>
      </c>
      <c r="M12" s="4">
        <f>IF(J12=2026,$B$3-K12,M11-K12)</f>
        <v>0</v>
      </c>
    </row>
    <row r="13" spans="1:13" x14ac:dyDescent="0.35">
      <c r="A13">
        <v>6</v>
      </c>
      <c r="B13" s="3">
        <f t="shared" si="5"/>
        <v>46203</v>
      </c>
      <c r="C13">
        <f t="shared" si="0"/>
        <v>2026</v>
      </c>
      <c r="D13" s="4">
        <f t="shared" si="6"/>
        <v>137500</v>
      </c>
      <c r="E13" s="4">
        <f t="shared" si="1"/>
        <v>2500</v>
      </c>
      <c r="F13" s="4">
        <f t="shared" si="2"/>
        <v>550</v>
      </c>
      <c r="G13" s="4">
        <f t="shared" si="3"/>
        <v>3050</v>
      </c>
      <c r="H13" s="4">
        <f t="shared" si="4"/>
        <v>135000</v>
      </c>
    </row>
    <row r="14" spans="1:13" x14ac:dyDescent="0.35">
      <c r="A14">
        <v>7</v>
      </c>
      <c r="B14" s="3">
        <f t="shared" si="5"/>
        <v>46234</v>
      </c>
      <c r="C14">
        <f t="shared" si="0"/>
        <v>2026</v>
      </c>
      <c r="D14" s="4">
        <f t="shared" si="6"/>
        <v>135000</v>
      </c>
      <c r="E14" s="4">
        <f t="shared" si="1"/>
        <v>2500</v>
      </c>
      <c r="F14" s="4">
        <f t="shared" si="2"/>
        <v>540</v>
      </c>
      <c r="G14" s="4">
        <f t="shared" si="3"/>
        <v>3040</v>
      </c>
      <c r="H14" s="4">
        <f t="shared" si="4"/>
        <v>132500</v>
      </c>
      <c r="J14" s="5" t="s">
        <v>328</v>
      </c>
    </row>
    <row r="15" spans="1:13" x14ac:dyDescent="0.35">
      <c r="A15">
        <v>8</v>
      </c>
      <c r="B15" s="3">
        <f t="shared" si="5"/>
        <v>46265</v>
      </c>
      <c r="C15">
        <f t="shared" si="0"/>
        <v>2026</v>
      </c>
      <c r="D15" s="4">
        <f t="shared" si="6"/>
        <v>132500</v>
      </c>
      <c r="E15" s="4">
        <f t="shared" si="1"/>
        <v>2500</v>
      </c>
      <c r="F15" s="4">
        <f t="shared" si="2"/>
        <v>530</v>
      </c>
      <c r="G15" s="4">
        <f t="shared" si="3"/>
        <v>3030</v>
      </c>
      <c r="H15" s="4">
        <f t="shared" si="4"/>
        <v>130000</v>
      </c>
      <c r="J15" t="s">
        <v>329</v>
      </c>
    </row>
    <row r="16" spans="1:13" x14ac:dyDescent="0.35">
      <c r="A16">
        <v>9</v>
      </c>
      <c r="B16" s="3">
        <f t="shared" si="5"/>
        <v>46295</v>
      </c>
      <c r="C16">
        <f t="shared" si="0"/>
        <v>2026</v>
      </c>
      <c r="D16" s="4">
        <f t="shared" si="6"/>
        <v>130000</v>
      </c>
      <c r="E16" s="4">
        <f t="shared" si="1"/>
        <v>2500</v>
      </c>
      <c r="F16" s="4">
        <f t="shared" si="2"/>
        <v>520</v>
      </c>
      <c r="G16" s="4">
        <f t="shared" si="3"/>
        <v>3020</v>
      </c>
      <c r="H16" s="4">
        <f t="shared" si="4"/>
        <v>127500</v>
      </c>
      <c r="J16" s="7">
        <f>12*$B$5</f>
        <v>30000</v>
      </c>
    </row>
    <row r="17" spans="1:8" x14ac:dyDescent="0.35">
      <c r="A17">
        <v>10</v>
      </c>
      <c r="B17" s="3">
        <f t="shared" si="5"/>
        <v>46326</v>
      </c>
      <c r="C17">
        <f t="shared" si="0"/>
        <v>2026</v>
      </c>
      <c r="D17" s="4">
        <f t="shared" si="6"/>
        <v>127500</v>
      </c>
      <c r="E17" s="4">
        <f t="shared" si="1"/>
        <v>2500</v>
      </c>
      <c r="F17" s="4">
        <f t="shared" si="2"/>
        <v>510</v>
      </c>
      <c r="G17" s="4">
        <f t="shared" si="3"/>
        <v>3010</v>
      </c>
      <c r="H17" s="4">
        <f t="shared" si="4"/>
        <v>125000</v>
      </c>
    </row>
    <row r="18" spans="1:8" x14ac:dyDescent="0.35">
      <c r="A18">
        <v>11</v>
      </c>
      <c r="B18" s="3">
        <f t="shared" si="5"/>
        <v>46356</v>
      </c>
      <c r="C18">
        <f t="shared" si="0"/>
        <v>2026</v>
      </c>
      <c r="D18" s="4">
        <f t="shared" si="6"/>
        <v>125000</v>
      </c>
      <c r="E18" s="4">
        <f t="shared" si="1"/>
        <v>2500</v>
      </c>
      <c r="F18" s="4">
        <f t="shared" si="2"/>
        <v>500</v>
      </c>
      <c r="G18" s="4">
        <f t="shared" si="3"/>
        <v>3000</v>
      </c>
      <c r="H18" s="4">
        <f t="shared" si="4"/>
        <v>122500</v>
      </c>
    </row>
    <row r="19" spans="1:8" x14ac:dyDescent="0.35">
      <c r="A19">
        <v>12</v>
      </c>
      <c r="B19" s="3">
        <f t="shared" si="5"/>
        <v>46387</v>
      </c>
      <c r="C19">
        <f t="shared" si="0"/>
        <v>2026</v>
      </c>
      <c r="D19" s="4">
        <f t="shared" si="6"/>
        <v>122500</v>
      </c>
      <c r="E19" s="4">
        <f t="shared" si="1"/>
        <v>2500</v>
      </c>
      <c r="F19" s="4">
        <f t="shared" si="2"/>
        <v>490</v>
      </c>
      <c r="G19" s="4">
        <f t="shared" si="3"/>
        <v>2990</v>
      </c>
      <c r="H19" s="4">
        <f t="shared" si="4"/>
        <v>120000</v>
      </c>
    </row>
    <row r="20" spans="1:8" x14ac:dyDescent="0.35">
      <c r="A20">
        <v>13</v>
      </c>
      <c r="B20" s="3">
        <f t="shared" si="5"/>
        <v>46418</v>
      </c>
      <c r="C20">
        <f t="shared" si="0"/>
        <v>2027</v>
      </c>
      <c r="D20" s="4">
        <f t="shared" si="6"/>
        <v>120000</v>
      </c>
      <c r="E20" s="4">
        <f t="shared" si="1"/>
        <v>2500</v>
      </c>
      <c r="F20" s="4">
        <f t="shared" si="2"/>
        <v>480</v>
      </c>
      <c r="G20" s="4">
        <f t="shared" si="3"/>
        <v>2980</v>
      </c>
      <c r="H20" s="4">
        <f t="shared" si="4"/>
        <v>117500</v>
      </c>
    </row>
    <row r="21" spans="1:8" x14ac:dyDescent="0.35">
      <c r="A21">
        <v>14</v>
      </c>
      <c r="B21" s="3">
        <f t="shared" si="5"/>
        <v>46446</v>
      </c>
      <c r="C21">
        <f t="shared" si="0"/>
        <v>2027</v>
      </c>
      <c r="D21" s="4">
        <f t="shared" si="6"/>
        <v>117500</v>
      </c>
      <c r="E21" s="4">
        <f t="shared" si="1"/>
        <v>2500</v>
      </c>
      <c r="F21" s="4">
        <f t="shared" si="2"/>
        <v>470</v>
      </c>
      <c r="G21" s="4">
        <f t="shared" si="3"/>
        <v>2970</v>
      </c>
      <c r="H21" s="4">
        <f t="shared" si="4"/>
        <v>115000</v>
      </c>
    </row>
    <row r="22" spans="1:8" x14ac:dyDescent="0.35">
      <c r="A22">
        <v>15</v>
      </c>
      <c r="B22" s="3">
        <f t="shared" si="5"/>
        <v>46477</v>
      </c>
      <c r="C22">
        <f t="shared" si="0"/>
        <v>2027</v>
      </c>
      <c r="D22" s="4">
        <f t="shared" si="6"/>
        <v>115000</v>
      </c>
      <c r="E22" s="4">
        <f t="shared" si="1"/>
        <v>2500</v>
      </c>
      <c r="F22" s="4">
        <f t="shared" si="2"/>
        <v>460</v>
      </c>
      <c r="G22" s="4">
        <f t="shared" si="3"/>
        <v>2960</v>
      </c>
      <c r="H22" s="4">
        <f t="shared" si="4"/>
        <v>112500</v>
      </c>
    </row>
    <row r="23" spans="1:8" x14ac:dyDescent="0.35">
      <c r="A23">
        <v>16</v>
      </c>
      <c r="B23" s="3">
        <f t="shared" si="5"/>
        <v>46507</v>
      </c>
      <c r="C23">
        <f t="shared" si="0"/>
        <v>2027</v>
      </c>
      <c r="D23" s="4">
        <f t="shared" si="6"/>
        <v>112500</v>
      </c>
      <c r="E23" s="4">
        <f t="shared" si="1"/>
        <v>2500</v>
      </c>
      <c r="F23" s="4">
        <f t="shared" si="2"/>
        <v>450</v>
      </c>
      <c r="G23" s="4">
        <f t="shared" si="3"/>
        <v>2950</v>
      </c>
      <c r="H23" s="4">
        <f t="shared" si="4"/>
        <v>110000</v>
      </c>
    </row>
    <row r="24" spans="1:8" x14ac:dyDescent="0.35">
      <c r="A24">
        <v>17</v>
      </c>
      <c r="B24" s="3">
        <f t="shared" si="5"/>
        <v>46538</v>
      </c>
      <c r="C24">
        <f t="shared" si="0"/>
        <v>2027</v>
      </c>
      <c r="D24" s="4">
        <f t="shared" si="6"/>
        <v>110000</v>
      </c>
      <c r="E24" s="4">
        <f t="shared" si="1"/>
        <v>2500</v>
      </c>
      <c r="F24" s="4">
        <f t="shared" si="2"/>
        <v>440</v>
      </c>
      <c r="G24" s="4">
        <f t="shared" si="3"/>
        <v>2940</v>
      </c>
      <c r="H24" s="4">
        <f t="shared" si="4"/>
        <v>107500</v>
      </c>
    </row>
    <row r="25" spans="1:8" x14ac:dyDescent="0.35">
      <c r="A25">
        <v>18</v>
      </c>
      <c r="B25" s="3">
        <f t="shared" si="5"/>
        <v>46568</v>
      </c>
      <c r="C25">
        <f t="shared" si="0"/>
        <v>2027</v>
      </c>
      <c r="D25" s="4">
        <f t="shared" si="6"/>
        <v>107500</v>
      </c>
      <c r="E25" s="4">
        <f t="shared" si="1"/>
        <v>2500</v>
      </c>
      <c r="F25" s="4">
        <f t="shared" si="2"/>
        <v>430</v>
      </c>
      <c r="G25" s="4">
        <f t="shared" si="3"/>
        <v>2930</v>
      </c>
      <c r="H25" s="4">
        <f t="shared" si="4"/>
        <v>105000</v>
      </c>
    </row>
    <row r="26" spans="1:8" x14ac:dyDescent="0.35">
      <c r="A26">
        <v>19</v>
      </c>
      <c r="B26" s="3">
        <f t="shared" si="5"/>
        <v>46599</v>
      </c>
      <c r="C26">
        <f t="shared" si="0"/>
        <v>2027</v>
      </c>
      <c r="D26" s="4">
        <f t="shared" si="6"/>
        <v>105000</v>
      </c>
      <c r="E26" s="4">
        <f t="shared" si="1"/>
        <v>2500</v>
      </c>
      <c r="F26" s="4">
        <f t="shared" si="2"/>
        <v>420</v>
      </c>
      <c r="G26" s="4">
        <f t="shared" si="3"/>
        <v>2920</v>
      </c>
      <c r="H26" s="4">
        <f t="shared" si="4"/>
        <v>102500</v>
      </c>
    </row>
    <row r="27" spans="1:8" x14ac:dyDescent="0.35">
      <c r="A27">
        <v>20</v>
      </c>
      <c r="B27" s="3">
        <f t="shared" si="5"/>
        <v>46630</v>
      </c>
      <c r="C27">
        <f t="shared" si="0"/>
        <v>2027</v>
      </c>
      <c r="D27" s="4">
        <f t="shared" si="6"/>
        <v>102500</v>
      </c>
      <c r="E27" s="4">
        <f t="shared" si="1"/>
        <v>2500</v>
      </c>
      <c r="F27" s="4">
        <f t="shared" si="2"/>
        <v>410</v>
      </c>
      <c r="G27" s="4">
        <f t="shared" si="3"/>
        <v>2910</v>
      </c>
      <c r="H27" s="4">
        <f t="shared" si="4"/>
        <v>100000</v>
      </c>
    </row>
    <row r="28" spans="1:8" x14ac:dyDescent="0.35">
      <c r="A28">
        <v>21</v>
      </c>
      <c r="B28" s="3">
        <f t="shared" si="5"/>
        <v>46660</v>
      </c>
      <c r="C28">
        <f t="shared" si="0"/>
        <v>2027</v>
      </c>
      <c r="D28" s="4">
        <f t="shared" si="6"/>
        <v>100000</v>
      </c>
      <c r="E28" s="4">
        <f t="shared" si="1"/>
        <v>2500</v>
      </c>
      <c r="F28" s="4">
        <f t="shared" si="2"/>
        <v>400</v>
      </c>
      <c r="G28" s="4">
        <f t="shared" si="3"/>
        <v>2900</v>
      </c>
      <c r="H28" s="4">
        <f t="shared" si="4"/>
        <v>97500</v>
      </c>
    </row>
    <row r="29" spans="1:8" x14ac:dyDescent="0.35">
      <c r="A29">
        <v>22</v>
      </c>
      <c r="B29" s="3">
        <f t="shared" si="5"/>
        <v>46691</v>
      </c>
      <c r="C29">
        <f t="shared" si="0"/>
        <v>2027</v>
      </c>
      <c r="D29" s="4">
        <f t="shared" si="6"/>
        <v>97500</v>
      </c>
      <c r="E29" s="4">
        <f t="shared" si="1"/>
        <v>2500</v>
      </c>
      <c r="F29" s="4">
        <f t="shared" si="2"/>
        <v>390</v>
      </c>
      <c r="G29" s="4">
        <f t="shared" si="3"/>
        <v>2890</v>
      </c>
      <c r="H29" s="4">
        <f t="shared" si="4"/>
        <v>95000</v>
      </c>
    </row>
    <row r="30" spans="1:8" x14ac:dyDescent="0.35">
      <c r="A30">
        <v>23</v>
      </c>
      <c r="B30" s="3">
        <f t="shared" si="5"/>
        <v>46721</v>
      </c>
      <c r="C30">
        <f t="shared" si="0"/>
        <v>2027</v>
      </c>
      <c r="D30" s="4">
        <f t="shared" si="6"/>
        <v>95000</v>
      </c>
      <c r="E30" s="4">
        <f t="shared" si="1"/>
        <v>2500</v>
      </c>
      <c r="F30" s="4">
        <f t="shared" si="2"/>
        <v>380</v>
      </c>
      <c r="G30" s="4">
        <f t="shared" si="3"/>
        <v>2880</v>
      </c>
      <c r="H30" s="4">
        <f t="shared" si="4"/>
        <v>92500</v>
      </c>
    </row>
    <row r="31" spans="1:8" x14ac:dyDescent="0.35">
      <c r="A31">
        <v>24</v>
      </c>
      <c r="B31" s="3">
        <f t="shared" si="5"/>
        <v>46752</v>
      </c>
      <c r="C31">
        <f t="shared" si="0"/>
        <v>2027</v>
      </c>
      <c r="D31" s="4">
        <f t="shared" si="6"/>
        <v>92500</v>
      </c>
      <c r="E31" s="4">
        <f t="shared" si="1"/>
        <v>2500</v>
      </c>
      <c r="F31" s="4">
        <f t="shared" si="2"/>
        <v>370</v>
      </c>
      <c r="G31" s="4">
        <f t="shared" si="3"/>
        <v>2870</v>
      </c>
      <c r="H31" s="4">
        <f t="shared" si="4"/>
        <v>90000</v>
      </c>
    </row>
    <row r="32" spans="1:8" x14ac:dyDescent="0.35">
      <c r="A32">
        <v>25</v>
      </c>
      <c r="B32" s="3">
        <f t="shared" si="5"/>
        <v>46783</v>
      </c>
      <c r="C32">
        <f t="shared" si="0"/>
        <v>2028</v>
      </c>
      <c r="D32" s="4">
        <f t="shared" si="6"/>
        <v>90000</v>
      </c>
      <c r="E32" s="4">
        <f t="shared" si="1"/>
        <v>2500</v>
      </c>
      <c r="F32" s="4">
        <f t="shared" si="2"/>
        <v>360</v>
      </c>
      <c r="G32" s="4">
        <f t="shared" si="3"/>
        <v>2860</v>
      </c>
      <c r="H32" s="4">
        <f t="shared" si="4"/>
        <v>87500</v>
      </c>
    </row>
    <row r="33" spans="1:8" x14ac:dyDescent="0.35">
      <c r="A33">
        <v>26</v>
      </c>
      <c r="B33" s="3">
        <f t="shared" si="5"/>
        <v>46812</v>
      </c>
      <c r="C33">
        <f t="shared" si="0"/>
        <v>2028</v>
      </c>
      <c r="D33" s="4">
        <f t="shared" si="6"/>
        <v>87500</v>
      </c>
      <c r="E33" s="4">
        <f t="shared" si="1"/>
        <v>2500</v>
      </c>
      <c r="F33" s="4">
        <f t="shared" si="2"/>
        <v>350</v>
      </c>
      <c r="G33" s="4">
        <f t="shared" si="3"/>
        <v>2850</v>
      </c>
      <c r="H33" s="4">
        <f t="shared" si="4"/>
        <v>85000</v>
      </c>
    </row>
    <row r="34" spans="1:8" x14ac:dyDescent="0.35">
      <c r="A34">
        <v>27</v>
      </c>
      <c r="B34" s="3">
        <f t="shared" si="5"/>
        <v>46843</v>
      </c>
      <c r="C34">
        <f t="shared" si="0"/>
        <v>2028</v>
      </c>
      <c r="D34" s="4">
        <f t="shared" si="6"/>
        <v>85000</v>
      </c>
      <c r="E34" s="4">
        <f t="shared" si="1"/>
        <v>2500</v>
      </c>
      <c r="F34" s="4">
        <f t="shared" si="2"/>
        <v>340</v>
      </c>
      <c r="G34" s="4">
        <f t="shared" si="3"/>
        <v>2840</v>
      </c>
      <c r="H34" s="4">
        <f t="shared" si="4"/>
        <v>82500</v>
      </c>
    </row>
    <row r="35" spans="1:8" x14ac:dyDescent="0.35">
      <c r="A35">
        <v>28</v>
      </c>
      <c r="B35" s="3">
        <f t="shared" si="5"/>
        <v>46873</v>
      </c>
      <c r="C35">
        <f t="shared" si="0"/>
        <v>2028</v>
      </c>
      <c r="D35" s="4">
        <f t="shared" si="6"/>
        <v>82500</v>
      </c>
      <c r="E35" s="4">
        <f t="shared" si="1"/>
        <v>2500</v>
      </c>
      <c r="F35" s="4">
        <f t="shared" si="2"/>
        <v>330</v>
      </c>
      <c r="G35" s="4">
        <f t="shared" si="3"/>
        <v>2830</v>
      </c>
      <c r="H35" s="4">
        <f t="shared" si="4"/>
        <v>80000</v>
      </c>
    </row>
    <row r="36" spans="1:8" x14ac:dyDescent="0.35">
      <c r="A36">
        <v>29</v>
      </c>
      <c r="B36" s="3">
        <f t="shared" si="5"/>
        <v>46904</v>
      </c>
      <c r="C36">
        <f t="shared" si="0"/>
        <v>2028</v>
      </c>
      <c r="D36" s="4">
        <f t="shared" si="6"/>
        <v>80000</v>
      </c>
      <c r="E36" s="4">
        <f t="shared" si="1"/>
        <v>2500</v>
      </c>
      <c r="F36" s="4">
        <f t="shared" si="2"/>
        <v>320</v>
      </c>
      <c r="G36" s="4">
        <f t="shared" si="3"/>
        <v>2820</v>
      </c>
      <c r="H36" s="4">
        <f t="shared" si="4"/>
        <v>77500</v>
      </c>
    </row>
    <row r="37" spans="1:8" x14ac:dyDescent="0.35">
      <c r="A37">
        <v>30</v>
      </c>
      <c r="B37" s="3">
        <f t="shared" si="5"/>
        <v>46934</v>
      </c>
      <c r="C37">
        <f t="shared" si="0"/>
        <v>2028</v>
      </c>
      <c r="D37" s="4">
        <f t="shared" si="6"/>
        <v>77500</v>
      </c>
      <c r="E37" s="4">
        <f t="shared" si="1"/>
        <v>2500</v>
      </c>
      <c r="F37" s="4">
        <f t="shared" si="2"/>
        <v>310</v>
      </c>
      <c r="G37" s="4">
        <f t="shared" si="3"/>
        <v>2810</v>
      </c>
      <c r="H37" s="4">
        <f t="shared" si="4"/>
        <v>75000</v>
      </c>
    </row>
    <row r="38" spans="1:8" x14ac:dyDescent="0.35">
      <c r="A38">
        <v>31</v>
      </c>
      <c r="B38" s="3">
        <f t="shared" si="5"/>
        <v>46965</v>
      </c>
      <c r="C38">
        <f t="shared" si="0"/>
        <v>2028</v>
      </c>
      <c r="D38" s="4">
        <f t="shared" si="6"/>
        <v>75000</v>
      </c>
      <c r="E38" s="4">
        <f t="shared" si="1"/>
        <v>2500</v>
      </c>
      <c r="F38" s="4">
        <f t="shared" si="2"/>
        <v>300</v>
      </c>
      <c r="G38" s="4">
        <f t="shared" si="3"/>
        <v>2800</v>
      </c>
      <c r="H38" s="4">
        <f t="shared" si="4"/>
        <v>72500</v>
      </c>
    </row>
    <row r="39" spans="1:8" x14ac:dyDescent="0.35">
      <c r="A39">
        <v>32</v>
      </c>
      <c r="B39" s="3">
        <f t="shared" si="5"/>
        <v>46996</v>
      </c>
      <c r="C39">
        <f t="shared" si="0"/>
        <v>2028</v>
      </c>
      <c r="D39" s="4">
        <f t="shared" si="6"/>
        <v>72500</v>
      </c>
      <c r="E39" s="4">
        <f t="shared" si="1"/>
        <v>2500</v>
      </c>
      <c r="F39" s="4">
        <f t="shared" si="2"/>
        <v>290</v>
      </c>
      <c r="G39" s="4">
        <f t="shared" si="3"/>
        <v>2790</v>
      </c>
      <c r="H39" s="4">
        <f t="shared" si="4"/>
        <v>70000</v>
      </c>
    </row>
    <row r="40" spans="1:8" x14ac:dyDescent="0.35">
      <c r="A40">
        <v>33</v>
      </c>
      <c r="B40" s="3">
        <f t="shared" si="5"/>
        <v>47026</v>
      </c>
      <c r="C40">
        <f t="shared" ref="C40:C67" si="7">YEAR(B40)</f>
        <v>2028</v>
      </c>
      <c r="D40" s="4">
        <f t="shared" si="6"/>
        <v>70000</v>
      </c>
      <c r="E40" s="4">
        <f t="shared" ref="E40:E67" si="8">$B$5</f>
        <v>2500</v>
      </c>
      <c r="F40" s="4">
        <f t="shared" ref="F40:F67" si="9">D40*$B$4/12</f>
        <v>280</v>
      </c>
      <c r="G40" s="4">
        <f t="shared" ref="G40:G67" si="10">E40+F40</f>
        <v>2780</v>
      </c>
      <c r="H40" s="4">
        <f t="shared" ref="H40:H67" si="11">D40-E40</f>
        <v>67500</v>
      </c>
    </row>
    <row r="41" spans="1:8" x14ac:dyDescent="0.35">
      <c r="A41">
        <v>34</v>
      </c>
      <c r="B41" s="3">
        <f t="shared" ref="B41:B67" si="12">EOMONTH(B40,1)</f>
        <v>47057</v>
      </c>
      <c r="C41">
        <f t="shared" si="7"/>
        <v>2028</v>
      </c>
      <c r="D41" s="4">
        <f t="shared" ref="D41:D67" si="13">H40</f>
        <v>67500</v>
      </c>
      <c r="E41" s="4">
        <f t="shared" si="8"/>
        <v>2500</v>
      </c>
      <c r="F41" s="4">
        <f t="shared" si="9"/>
        <v>270</v>
      </c>
      <c r="G41" s="4">
        <f t="shared" si="10"/>
        <v>2770</v>
      </c>
      <c r="H41" s="4">
        <f t="shared" si="11"/>
        <v>65000</v>
      </c>
    </row>
    <row r="42" spans="1:8" x14ac:dyDescent="0.35">
      <c r="A42">
        <v>35</v>
      </c>
      <c r="B42" s="3">
        <f t="shared" si="12"/>
        <v>47087</v>
      </c>
      <c r="C42">
        <f t="shared" si="7"/>
        <v>2028</v>
      </c>
      <c r="D42" s="4">
        <f t="shared" si="13"/>
        <v>65000</v>
      </c>
      <c r="E42" s="4">
        <f t="shared" si="8"/>
        <v>2500</v>
      </c>
      <c r="F42" s="4">
        <f t="shared" si="9"/>
        <v>260</v>
      </c>
      <c r="G42" s="4">
        <f t="shared" si="10"/>
        <v>2760</v>
      </c>
      <c r="H42" s="4">
        <f t="shared" si="11"/>
        <v>62500</v>
      </c>
    </row>
    <row r="43" spans="1:8" x14ac:dyDescent="0.35">
      <c r="A43">
        <v>36</v>
      </c>
      <c r="B43" s="3">
        <f t="shared" si="12"/>
        <v>47118</v>
      </c>
      <c r="C43">
        <f t="shared" si="7"/>
        <v>2028</v>
      </c>
      <c r="D43" s="4">
        <f t="shared" si="13"/>
        <v>62500</v>
      </c>
      <c r="E43" s="4">
        <f t="shared" si="8"/>
        <v>2500</v>
      </c>
      <c r="F43" s="4">
        <f t="shared" si="9"/>
        <v>250</v>
      </c>
      <c r="G43" s="4">
        <f t="shared" si="10"/>
        <v>2750</v>
      </c>
      <c r="H43" s="4">
        <f t="shared" si="11"/>
        <v>60000</v>
      </c>
    </row>
    <row r="44" spans="1:8" x14ac:dyDescent="0.35">
      <c r="A44">
        <v>37</v>
      </c>
      <c r="B44" s="3">
        <f t="shared" si="12"/>
        <v>47149</v>
      </c>
      <c r="C44">
        <f t="shared" si="7"/>
        <v>2029</v>
      </c>
      <c r="D44" s="4">
        <f t="shared" si="13"/>
        <v>60000</v>
      </c>
      <c r="E44" s="4">
        <f t="shared" si="8"/>
        <v>2500</v>
      </c>
      <c r="F44" s="4">
        <f t="shared" si="9"/>
        <v>240</v>
      </c>
      <c r="G44" s="4">
        <f t="shared" si="10"/>
        <v>2740</v>
      </c>
      <c r="H44" s="4">
        <f t="shared" si="11"/>
        <v>57500</v>
      </c>
    </row>
    <row r="45" spans="1:8" x14ac:dyDescent="0.35">
      <c r="A45">
        <v>38</v>
      </c>
      <c r="B45" s="3">
        <f t="shared" si="12"/>
        <v>47177</v>
      </c>
      <c r="C45">
        <f t="shared" si="7"/>
        <v>2029</v>
      </c>
      <c r="D45" s="4">
        <f t="shared" si="13"/>
        <v>57500</v>
      </c>
      <c r="E45" s="4">
        <f t="shared" si="8"/>
        <v>2500</v>
      </c>
      <c r="F45" s="4">
        <f t="shared" si="9"/>
        <v>230</v>
      </c>
      <c r="G45" s="4">
        <f t="shared" si="10"/>
        <v>2730</v>
      </c>
      <c r="H45" s="4">
        <f t="shared" si="11"/>
        <v>55000</v>
      </c>
    </row>
    <row r="46" spans="1:8" x14ac:dyDescent="0.35">
      <c r="A46">
        <v>39</v>
      </c>
      <c r="B46" s="3">
        <f t="shared" si="12"/>
        <v>47208</v>
      </c>
      <c r="C46">
        <f t="shared" si="7"/>
        <v>2029</v>
      </c>
      <c r="D46" s="4">
        <f t="shared" si="13"/>
        <v>55000</v>
      </c>
      <c r="E46" s="4">
        <f t="shared" si="8"/>
        <v>2500</v>
      </c>
      <c r="F46" s="4">
        <f t="shared" si="9"/>
        <v>220</v>
      </c>
      <c r="G46" s="4">
        <f t="shared" si="10"/>
        <v>2720</v>
      </c>
      <c r="H46" s="4">
        <f t="shared" si="11"/>
        <v>52500</v>
      </c>
    </row>
    <row r="47" spans="1:8" x14ac:dyDescent="0.35">
      <c r="A47">
        <v>40</v>
      </c>
      <c r="B47" s="3">
        <f t="shared" si="12"/>
        <v>47238</v>
      </c>
      <c r="C47">
        <f t="shared" si="7"/>
        <v>2029</v>
      </c>
      <c r="D47" s="4">
        <f t="shared" si="13"/>
        <v>52500</v>
      </c>
      <c r="E47" s="4">
        <f t="shared" si="8"/>
        <v>2500</v>
      </c>
      <c r="F47" s="4">
        <f t="shared" si="9"/>
        <v>210</v>
      </c>
      <c r="G47" s="4">
        <f t="shared" si="10"/>
        <v>2710</v>
      </c>
      <c r="H47" s="4">
        <f t="shared" si="11"/>
        <v>50000</v>
      </c>
    </row>
    <row r="48" spans="1:8" x14ac:dyDescent="0.35">
      <c r="A48">
        <v>41</v>
      </c>
      <c r="B48" s="3">
        <f t="shared" si="12"/>
        <v>47269</v>
      </c>
      <c r="C48">
        <f t="shared" si="7"/>
        <v>2029</v>
      </c>
      <c r="D48" s="4">
        <f t="shared" si="13"/>
        <v>50000</v>
      </c>
      <c r="E48" s="4">
        <f t="shared" si="8"/>
        <v>2500</v>
      </c>
      <c r="F48" s="4">
        <f t="shared" si="9"/>
        <v>200</v>
      </c>
      <c r="G48" s="4">
        <f t="shared" si="10"/>
        <v>2700</v>
      </c>
      <c r="H48" s="4">
        <f t="shared" si="11"/>
        <v>47500</v>
      </c>
    </row>
    <row r="49" spans="1:8" x14ac:dyDescent="0.35">
      <c r="A49">
        <v>42</v>
      </c>
      <c r="B49" s="3">
        <f t="shared" si="12"/>
        <v>47299</v>
      </c>
      <c r="C49">
        <f t="shared" si="7"/>
        <v>2029</v>
      </c>
      <c r="D49" s="4">
        <f t="shared" si="13"/>
        <v>47500</v>
      </c>
      <c r="E49" s="4">
        <f t="shared" si="8"/>
        <v>2500</v>
      </c>
      <c r="F49" s="4">
        <f t="shared" si="9"/>
        <v>190</v>
      </c>
      <c r="G49" s="4">
        <f t="shared" si="10"/>
        <v>2690</v>
      </c>
      <c r="H49" s="4">
        <f t="shared" si="11"/>
        <v>45000</v>
      </c>
    </row>
    <row r="50" spans="1:8" x14ac:dyDescent="0.35">
      <c r="A50">
        <v>43</v>
      </c>
      <c r="B50" s="3">
        <f t="shared" si="12"/>
        <v>47330</v>
      </c>
      <c r="C50">
        <f t="shared" si="7"/>
        <v>2029</v>
      </c>
      <c r="D50" s="4">
        <f t="shared" si="13"/>
        <v>45000</v>
      </c>
      <c r="E50" s="4">
        <f t="shared" si="8"/>
        <v>2500</v>
      </c>
      <c r="F50" s="4">
        <f t="shared" si="9"/>
        <v>180</v>
      </c>
      <c r="G50" s="4">
        <f t="shared" si="10"/>
        <v>2680</v>
      </c>
      <c r="H50" s="4">
        <f t="shared" si="11"/>
        <v>42500</v>
      </c>
    </row>
    <row r="51" spans="1:8" x14ac:dyDescent="0.35">
      <c r="A51">
        <v>44</v>
      </c>
      <c r="B51" s="3">
        <f t="shared" si="12"/>
        <v>47361</v>
      </c>
      <c r="C51">
        <f t="shared" si="7"/>
        <v>2029</v>
      </c>
      <c r="D51" s="4">
        <f t="shared" si="13"/>
        <v>42500</v>
      </c>
      <c r="E51" s="4">
        <f t="shared" si="8"/>
        <v>2500</v>
      </c>
      <c r="F51" s="4">
        <f t="shared" si="9"/>
        <v>170</v>
      </c>
      <c r="G51" s="4">
        <f t="shared" si="10"/>
        <v>2670</v>
      </c>
      <c r="H51" s="4">
        <f t="shared" si="11"/>
        <v>40000</v>
      </c>
    </row>
    <row r="52" spans="1:8" x14ac:dyDescent="0.35">
      <c r="A52">
        <v>45</v>
      </c>
      <c r="B52" s="3">
        <f t="shared" si="12"/>
        <v>47391</v>
      </c>
      <c r="C52">
        <f t="shared" si="7"/>
        <v>2029</v>
      </c>
      <c r="D52" s="4">
        <f t="shared" si="13"/>
        <v>40000</v>
      </c>
      <c r="E52" s="4">
        <f t="shared" si="8"/>
        <v>2500</v>
      </c>
      <c r="F52" s="4">
        <f t="shared" si="9"/>
        <v>160</v>
      </c>
      <c r="G52" s="4">
        <f t="shared" si="10"/>
        <v>2660</v>
      </c>
      <c r="H52" s="4">
        <f t="shared" si="11"/>
        <v>37500</v>
      </c>
    </row>
    <row r="53" spans="1:8" x14ac:dyDescent="0.35">
      <c r="A53">
        <v>46</v>
      </c>
      <c r="B53" s="3">
        <f t="shared" si="12"/>
        <v>47422</v>
      </c>
      <c r="C53">
        <f t="shared" si="7"/>
        <v>2029</v>
      </c>
      <c r="D53" s="4">
        <f t="shared" si="13"/>
        <v>37500</v>
      </c>
      <c r="E53" s="4">
        <f t="shared" si="8"/>
        <v>2500</v>
      </c>
      <c r="F53" s="4">
        <f t="shared" si="9"/>
        <v>150</v>
      </c>
      <c r="G53" s="4">
        <f t="shared" si="10"/>
        <v>2650</v>
      </c>
      <c r="H53" s="4">
        <f t="shared" si="11"/>
        <v>35000</v>
      </c>
    </row>
    <row r="54" spans="1:8" x14ac:dyDescent="0.35">
      <c r="A54">
        <v>47</v>
      </c>
      <c r="B54" s="3">
        <f t="shared" si="12"/>
        <v>47452</v>
      </c>
      <c r="C54">
        <f t="shared" si="7"/>
        <v>2029</v>
      </c>
      <c r="D54" s="4">
        <f t="shared" si="13"/>
        <v>35000</v>
      </c>
      <c r="E54" s="4">
        <f t="shared" si="8"/>
        <v>2500</v>
      </c>
      <c r="F54" s="4">
        <f t="shared" si="9"/>
        <v>140</v>
      </c>
      <c r="G54" s="4">
        <f t="shared" si="10"/>
        <v>2640</v>
      </c>
      <c r="H54" s="4">
        <f t="shared" si="11"/>
        <v>32500</v>
      </c>
    </row>
    <row r="55" spans="1:8" x14ac:dyDescent="0.35">
      <c r="A55">
        <v>48</v>
      </c>
      <c r="B55" s="3">
        <f t="shared" si="12"/>
        <v>47483</v>
      </c>
      <c r="C55">
        <f t="shared" si="7"/>
        <v>2029</v>
      </c>
      <c r="D55" s="4">
        <f t="shared" si="13"/>
        <v>32500</v>
      </c>
      <c r="E55" s="4">
        <f t="shared" si="8"/>
        <v>2500</v>
      </c>
      <c r="F55" s="4">
        <f t="shared" si="9"/>
        <v>130</v>
      </c>
      <c r="G55" s="4">
        <f t="shared" si="10"/>
        <v>2630</v>
      </c>
      <c r="H55" s="4">
        <f t="shared" si="11"/>
        <v>30000</v>
      </c>
    </row>
    <row r="56" spans="1:8" x14ac:dyDescent="0.35">
      <c r="A56">
        <v>49</v>
      </c>
      <c r="B56" s="3">
        <f t="shared" si="12"/>
        <v>47514</v>
      </c>
      <c r="C56">
        <f t="shared" si="7"/>
        <v>2030</v>
      </c>
      <c r="D56" s="4">
        <f t="shared" si="13"/>
        <v>30000</v>
      </c>
      <c r="E56" s="4">
        <f t="shared" si="8"/>
        <v>2500</v>
      </c>
      <c r="F56" s="4">
        <f t="shared" si="9"/>
        <v>120</v>
      </c>
      <c r="G56" s="4">
        <f t="shared" si="10"/>
        <v>2620</v>
      </c>
      <c r="H56" s="4">
        <f t="shared" si="11"/>
        <v>27500</v>
      </c>
    </row>
    <row r="57" spans="1:8" x14ac:dyDescent="0.35">
      <c r="A57">
        <v>50</v>
      </c>
      <c r="B57" s="3">
        <f t="shared" si="12"/>
        <v>47542</v>
      </c>
      <c r="C57">
        <f t="shared" si="7"/>
        <v>2030</v>
      </c>
      <c r="D57" s="4">
        <f t="shared" si="13"/>
        <v>27500</v>
      </c>
      <c r="E57" s="4">
        <f t="shared" si="8"/>
        <v>2500</v>
      </c>
      <c r="F57" s="4">
        <f t="shared" si="9"/>
        <v>110</v>
      </c>
      <c r="G57" s="4">
        <f t="shared" si="10"/>
        <v>2610</v>
      </c>
      <c r="H57" s="4">
        <f t="shared" si="11"/>
        <v>25000</v>
      </c>
    </row>
    <row r="58" spans="1:8" x14ac:dyDescent="0.35">
      <c r="A58">
        <v>51</v>
      </c>
      <c r="B58" s="3">
        <f t="shared" si="12"/>
        <v>47573</v>
      </c>
      <c r="C58">
        <f t="shared" si="7"/>
        <v>2030</v>
      </c>
      <c r="D58" s="4">
        <f t="shared" si="13"/>
        <v>25000</v>
      </c>
      <c r="E58" s="4">
        <f t="shared" si="8"/>
        <v>2500</v>
      </c>
      <c r="F58" s="4">
        <f t="shared" si="9"/>
        <v>100</v>
      </c>
      <c r="G58" s="4">
        <f t="shared" si="10"/>
        <v>2600</v>
      </c>
      <c r="H58" s="4">
        <f t="shared" si="11"/>
        <v>22500</v>
      </c>
    </row>
    <row r="59" spans="1:8" x14ac:dyDescent="0.35">
      <c r="A59">
        <v>52</v>
      </c>
      <c r="B59" s="3">
        <f t="shared" si="12"/>
        <v>47603</v>
      </c>
      <c r="C59">
        <f t="shared" si="7"/>
        <v>2030</v>
      </c>
      <c r="D59" s="4">
        <f t="shared" si="13"/>
        <v>22500</v>
      </c>
      <c r="E59" s="4">
        <f t="shared" si="8"/>
        <v>2500</v>
      </c>
      <c r="F59" s="4">
        <f t="shared" si="9"/>
        <v>90</v>
      </c>
      <c r="G59" s="4">
        <f t="shared" si="10"/>
        <v>2590</v>
      </c>
      <c r="H59" s="4">
        <f t="shared" si="11"/>
        <v>20000</v>
      </c>
    </row>
    <row r="60" spans="1:8" x14ac:dyDescent="0.35">
      <c r="A60">
        <v>53</v>
      </c>
      <c r="B60" s="3">
        <f t="shared" si="12"/>
        <v>47634</v>
      </c>
      <c r="C60">
        <f t="shared" si="7"/>
        <v>2030</v>
      </c>
      <c r="D60" s="4">
        <f t="shared" si="13"/>
        <v>20000</v>
      </c>
      <c r="E60" s="4">
        <f t="shared" si="8"/>
        <v>2500</v>
      </c>
      <c r="F60" s="4">
        <f t="shared" si="9"/>
        <v>80</v>
      </c>
      <c r="G60" s="4">
        <f t="shared" si="10"/>
        <v>2580</v>
      </c>
      <c r="H60" s="4">
        <f t="shared" si="11"/>
        <v>17500</v>
      </c>
    </row>
    <row r="61" spans="1:8" x14ac:dyDescent="0.35">
      <c r="A61">
        <v>54</v>
      </c>
      <c r="B61" s="3">
        <f t="shared" si="12"/>
        <v>47664</v>
      </c>
      <c r="C61">
        <f t="shared" si="7"/>
        <v>2030</v>
      </c>
      <c r="D61" s="4">
        <f t="shared" si="13"/>
        <v>17500</v>
      </c>
      <c r="E61" s="4">
        <f t="shared" si="8"/>
        <v>2500</v>
      </c>
      <c r="F61" s="4">
        <f t="shared" si="9"/>
        <v>70</v>
      </c>
      <c r="G61" s="4">
        <f t="shared" si="10"/>
        <v>2570</v>
      </c>
      <c r="H61" s="4">
        <f t="shared" si="11"/>
        <v>15000</v>
      </c>
    </row>
    <row r="62" spans="1:8" x14ac:dyDescent="0.35">
      <c r="A62">
        <v>55</v>
      </c>
      <c r="B62" s="3">
        <f t="shared" si="12"/>
        <v>47695</v>
      </c>
      <c r="C62">
        <f t="shared" si="7"/>
        <v>2030</v>
      </c>
      <c r="D62" s="4">
        <f t="shared" si="13"/>
        <v>15000</v>
      </c>
      <c r="E62" s="4">
        <f t="shared" si="8"/>
        <v>2500</v>
      </c>
      <c r="F62" s="4">
        <f t="shared" si="9"/>
        <v>60</v>
      </c>
      <c r="G62" s="4">
        <f t="shared" si="10"/>
        <v>2560</v>
      </c>
      <c r="H62" s="4">
        <f t="shared" si="11"/>
        <v>12500</v>
      </c>
    </row>
    <row r="63" spans="1:8" x14ac:dyDescent="0.35">
      <c r="A63">
        <v>56</v>
      </c>
      <c r="B63" s="3">
        <f t="shared" si="12"/>
        <v>47726</v>
      </c>
      <c r="C63">
        <f t="shared" si="7"/>
        <v>2030</v>
      </c>
      <c r="D63" s="4">
        <f t="shared" si="13"/>
        <v>12500</v>
      </c>
      <c r="E63" s="4">
        <f t="shared" si="8"/>
        <v>2500</v>
      </c>
      <c r="F63" s="4">
        <f t="shared" si="9"/>
        <v>50</v>
      </c>
      <c r="G63" s="4">
        <f t="shared" si="10"/>
        <v>2550</v>
      </c>
      <c r="H63" s="4">
        <f t="shared" si="11"/>
        <v>10000</v>
      </c>
    </row>
    <row r="64" spans="1:8" x14ac:dyDescent="0.35">
      <c r="A64">
        <v>57</v>
      </c>
      <c r="B64" s="3">
        <f t="shared" si="12"/>
        <v>47756</v>
      </c>
      <c r="C64">
        <f t="shared" si="7"/>
        <v>2030</v>
      </c>
      <c r="D64" s="4">
        <f t="shared" si="13"/>
        <v>10000</v>
      </c>
      <c r="E64" s="4">
        <f t="shared" si="8"/>
        <v>2500</v>
      </c>
      <c r="F64" s="4">
        <f t="shared" si="9"/>
        <v>40</v>
      </c>
      <c r="G64" s="4">
        <f t="shared" si="10"/>
        <v>2540</v>
      </c>
      <c r="H64" s="4">
        <f t="shared" si="11"/>
        <v>7500</v>
      </c>
    </row>
    <row r="65" spans="1:8" x14ac:dyDescent="0.35">
      <c r="A65">
        <v>58</v>
      </c>
      <c r="B65" s="3">
        <f t="shared" si="12"/>
        <v>47787</v>
      </c>
      <c r="C65">
        <f t="shared" si="7"/>
        <v>2030</v>
      </c>
      <c r="D65" s="4">
        <f t="shared" si="13"/>
        <v>7500</v>
      </c>
      <c r="E65" s="4">
        <f t="shared" si="8"/>
        <v>2500</v>
      </c>
      <c r="F65" s="4">
        <f t="shared" si="9"/>
        <v>30</v>
      </c>
      <c r="G65" s="4">
        <f t="shared" si="10"/>
        <v>2530</v>
      </c>
      <c r="H65" s="4">
        <f t="shared" si="11"/>
        <v>5000</v>
      </c>
    </row>
    <row r="66" spans="1:8" x14ac:dyDescent="0.35">
      <c r="A66">
        <v>59</v>
      </c>
      <c r="B66" s="3">
        <f t="shared" si="12"/>
        <v>47817</v>
      </c>
      <c r="C66">
        <f t="shared" si="7"/>
        <v>2030</v>
      </c>
      <c r="D66" s="4">
        <f t="shared" si="13"/>
        <v>5000</v>
      </c>
      <c r="E66" s="4">
        <f t="shared" si="8"/>
        <v>2500</v>
      </c>
      <c r="F66" s="4">
        <f t="shared" si="9"/>
        <v>20</v>
      </c>
      <c r="G66" s="4">
        <f t="shared" si="10"/>
        <v>2520</v>
      </c>
      <c r="H66" s="4">
        <f t="shared" si="11"/>
        <v>2500</v>
      </c>
    </row>
    <row r="67" spans="1:8" x14ac:dyDescent="0.35">
      <c r="A67">
        <v>60</v>
      </c>
      <c r="B67" s="3">
        <f t="shared" si="12"/>
        <v>47848</v>
      </c>
      <c r="C67">
        <f t="shared" si="7"/>
        <v>2030</v>
      </c>
      <c r="D67" s="4">
        <f t="shared" si="13"/>
        <v>2500</v>
      </c>
      <c r="E67" s="4">
        <f t="shared" si="8"/>
        <v>2500</v>
      </c>
      <c r="F67" s="4">
        <f t="shared" si="9"/>
        <v>10</v>
      </c>
      <c r="G67" s="4">
        <f t="shared" si="10"/>
        <v>2510</v>
      </c>
      <c r="H67" s="4">
        <f t="shared" si="1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1. Journaal</vt:lpstr>
      <vt:lpstr>2. Proef- en saldibalans</vt:lpstr>
      <vt:lpstr>3. Resultatenrekening</vt:lpstr>
      <vt:lpstr>4. Eindbalans</vt:lpstr>
      <vt:lpstr>5. Documenten</vt:lpstr>
      <vt:lpstr>6. Controles</vt:lpstr>
      <vt:lpstr>7. Aflossingstabel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Celine Tytgadt</cp:lastModifiedBy>
  <cp:revision>0</cp:revision>
  <dcterms:created xsi:type="dcterms:W3CDTF">2026-07-29T10:49:18Z</dcterms:created>
  <dcterms:modified xsi:type="dcterms:W3CDTF">2026-08-08T14:46:04Z</dcterms:modified>
  <dc:language>en-US</dc:language>
</cp:coreProperties>
</file>