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0" activeTab="0" autoFilterDateGrouping="1"/>
  </bookViews>
  <sheets>
    <sheet xmlns:r="http://schemas.openxmlformats.org/officeDocument/2006/relationships" name="Leeswijzer" sheetId="1" state="visible" r:id="rId1"/>
    <sheet xmlns:r="http://schemas.openxmlformats.org/officeDocument/2006/relationships" name="Overzicht sets" sheetId="2" state="visible" r:id="rId2"/>
    <sheet xmlns:r="http://schemas.openxmlformats.org/officeDocument/2006/relationships" name="Bedrijven" sheetId="3" state="visible" r:id="rId3"/>
    <sheet xmlns:r="http://schemas.openxmlformats.org/officeDocument/2006/relationships" name="Artikelen" sheetId="4" state="visible" r:id="rId4"/>
    <sheet xmlns:r="http://schemas.openxmlformats.org/officeDocument/2006/relationships" name="MAR 2e graad" sheetId="5" state="visible" r:id="rId5"/>
    <sheet xmlns:r="http://schemas.openxmlformats.org/officeDocument/2006/relationships" name="J1 Lijnen" sheetId="6" state="visible" r:id="rId6"/>
    <sheet xmlns:r="http://schemas.openxmlformats.org/officeDocument/2006/relationships" name="J1 Documenten" sheetId="7" state="visible" r:id="rId7"/>
    <sheet xmlns:r="http://schemas.openxmlformats.org/officeDocument/2006/relationships" name="J1 Uittreksels" sheetId="8" state="visible" r:id="rId8"/>
    <sheet xmlns:r="http://schemas.openxmlformats.org/officeDocument/2006/relationships" name="J1 Journaal" sheetId="9" state="visible" r:id="rId9"/>
    <sheet xmlns:r="http://schemas.openxmlformats.org/officeDocument/2006/relationships" name="J1 Proefbalans" sheetId="10" state="visible" r:id="rId10"/>
    <sheet xmlns:r="http://schemas.openxmlformats.org/officeDocument/2006/relationships" name="J1 Voorraad" sheetId="11" state="visible" r:id="rId11"/>
    <sheet xmlns:r="http://schemas.openxmlformats.org/officeDocument/2006/relationships" name="J2 Lijnen" sheetId="12" state="visible" r:id="rId12"/>
    <sheet xmlns:r="http://schemas.openxmlformats.org/officeDocument/2006/relationships" name="J2 Documenten" sheetId="13" state="visible" r:id="rId13"/>
    <sheet xmlns:r="http://schemas.openxmlformats.org/officeDocument/2006/relationships" name="J2 Uittreksels" sheetId="14" state="visible" r:id="rId14"/>
    <sheet xmlns:r="http://schemas.openxmlformats.org/officeDocument/2006/relationships" name="J2 Journaal" sheetId="15" state="visible" r:id="rId15"/>
    <sheet xmlns:r="http://schemas.openxmlformats.org/officeDocument/2006/relationships" name="J2 Proefbalans" sheetId="16" state="visible" r:id="rId16"/>
    <sheet xmlns:r="http://schemas.openxmlformats.org/officeDocument/2006/relationships" name="J2 Voorraad" sheetId="17" state="visible" r:id="rId17"/>
    <sheet xmlns:r="http://schemas.openxmlformats.org/officeDocument/2006/relationships" name="J3 Documenten" sheetId="18" state="visible" r:id="rId18"/>
    <sheet xmlns:r="http://schemas.openxmlformats.org/officeDocument/2006/relationships" name="J3 Lijnen" sheetId="19" state="visible" r:id="rId19"/>
    <sheet xmlns:r="http://schemas.openxmlformats.org/officeDocument/2006/relationships" name="J3 Lonen" sheetId="20" state="visible" r:id="rId20"/>
    <sheet xmlns:r="http://schemas.openxmlformats.org/officeDocument/2006/relationships" name="J3 Uittreksels" sheetId="21" state="visible" r:id="rId21"/>
    <sheet xmlns:r="http://schemas.openxmlformats.org/officeDocument/2006/relationships" name="J3 Journaal" sheetId="22" state="visible" r:id="rId22"/>
    <sheet xmlns:r="http://schemas.openxmlformats.org/officeDocument/2006/relationships" name="J3 Proefbalans" sheetId="23" state="visible" r:id="rId23"/>
    <sheet xmlns:r="http://schemas.openxmlformats.org/officeDocument/2006/relationships" name="J3 Voorraad" sheetId="24" state="visible" r:id="rId24"/>
    <sheet xmlns:r="http://schemas.openxmlformats.org/officeDocument/2006/relationships" name="J3 Afsluiting" sheetId="25" state="visible" r:id="rId25"/>
  </sheets>
  <definedNames>
    <definedName name="_xlnm._FilterDatabase" localSheetId="2" hidden="1">'Bedrijven'!$A$1:$H$24</definedName>
    <definedName name="_xlnm._FilterDatabase" localSheetId="3" hidden="1">'Artikelen'!$A$1:$G$14</definedName>
    <definedName name="_xlnm._FilterDatabase" localSheetId="4" hidden="1">'MAR 2e graad'!$A$1:$H$58</definedName>
    <definedName name="_xlnm._FilterDatabase" localSheetId="5" hidden="1">'J1 Lijnen'!$A$1:$L$97</definedName>
    <definedName name="_xlnm._FilterDatabase" localSheetId="6" hidden="1">'J1 Documenten'!$A$1:$Z$72</definedName>
    <definedName name="_xlnm._FilterDatabase" localSheetId="7" hidden="1">'J1 Uittreksels'!$A$1:$J$50</definedName>
    <definedName name="_xlnm._FilterDatabase" localSheetId="8" hidden="1">'J1 Journaal'!$A$1:$N$346</definedName>
    <definedName name="_xlnm._FilterDatabase" localSheetId="9" hidden="1">'J1 Proefbalans'!$A$1:$I$58</definedName>
    <definedName name="_xlnm._FilterDatabase" localSheetId="11" hidden="1">'J2 Lijnen'!$A$1:$L$156</definedName>
    <definedName name="_xlnm._FilterDatabase" localSheetId="12" hidden="1">'J2 Documenten'!$A$1:$Z$74</definedName>
    <definedName name="_xlnm._FilterDatabase" localSheetId="13" hidden="1">'J2 Uittreksels'!$A$1:$J$61</definedName>
    <definedName name="_xlnm._FilterDatabase" localSheetId="14" hidden="1">'J2 Journaal'!$A$1:$N$437</definedName>
    <definedName name="_xlnm._FilterDatabase" localSheetId="15" hidden="1">'J2 Proefbalans'!$A$1:$I$59</definedName>
  </definedNames>
  <calcPr calcId="191029" fullCalcOnLoad="1" iterateDelta="0.0001"/>
</workbook>
</file>

<file path=xl/styles.xml><?xml version="1.0" encoding="utf-8"?>
<styleSheet xmlns="http://schemas.openxmlformats.org/spreadsheetml/2006/main">
  <numFmts count="6">
    <numFmt numFmtId="164" formatCode="#,##0;\-#,##0;\-"/>
    <numFmt numFmtId="165" formatCode="#,##0.00;\-#,##0.00;\-"/>
    <numFmt numFmtId="166" formatCode="dd/mm/yyyy"/>
    <numFmt numFmtId="167" formatCode="yyyy-mm-dd"/>
    <numFmt numFmtId="168" formatCode="DD/MM/YYYY"/>
    <numFmt numFmtId="169" formatCode="#,##0.00;-#,##0.00;0"/>
  </numFmts>
  <fonts count="6">
    <font>
      <name val="Calibri"/>
      <charset val="1"/>
      <family val="2"/>
      <color theme="1"/>
      <sz val="11"/>
    </font>
    <font>
      <name val="Arial"/>
      <charset val="1"/>
      <b val="1"/>
      <color rgb="FFFFFFFF"/>
      <sz val="10"/>
    </font>
    <font>
      <name val="Arial"/>
      <charset val="1"/>
      <b val="1"/>
      <sz val="10"/>
    </font>
    <font>
      <name val="Arial"/>
      <charset val="1"/>
      <sz val="10"/>
    </font>
    <font>
      <name val="Arial"/>
      <charset val="1"/>
      <i val="1"/>
      <color rgb="FFFFFFFF"/>
      <sz val="9"/>
    </font>
    <font>
      <b val="1"/>
    </font>
  </fonts>
  <fills count="16">
    <fill>
      <patternFill/>
    </fill>
    <fill>
      <patternFill patternType="gray125"/>
    </fill>
    <fill>
      <patternFill patternType="solid">
        <fgColor rgb="FF1B7F86"/>
        <bgColor rgb="FF008080"/>
      </patternFill>
    </fill>
    <fill>
      <patternFill patternType="solid">
        <fgColor rgb="FFD9D9D9"/>
        <bgColor rgb="FFE4DFEC"/>
      </patternFill>
    </fill>
    <fill>
      <patternFill patternType="solid">
        <fgColor rgb="FFDDEBF7"/>
        <bgColor rgb="FFEDEDED"/>
      </patternFill>
    </fill>
    <fill>
      <patternFill patternType="solid">
        <fgColor rgb="FFE2EFDA"/>
        <bgColor rgb="FFEDEDED"/>
      </patternFill>
    </fill>
    <fill>
      <patternFill patternType="solid">
        <fgColor rgb="FFFCE4D6"/>
        <bgColor rgb="FFFFF2CC"/>
      </patternFill>
    </fill>
    <fill>
      <patternFill patternType="solid">
        <fgColor rgb="FFFFF2CC"/>
        <bgColor rgb="FFFCE4D6"/>
      </patternFill>
    </fill>
    <fill>
      <patternFill patternType="solid">
        <fgColor rgb="FFEDEDED"/>
        <bgColor rgb="FFE2EFDA"/>
      </patternFill>
    </fill>
    <fill>
      <patternFill patternType="solid">
        <fgColor rgb="FFE4DFEC"/>
        <bgColor rgb="FFD9D9D9"/>
      </patternFill>
    </fill>
    <fill>
      <patternFill patternType="solid">
        <fgColor rgb="FFDDEBF7"/>
      </patternFill>
    </fill>
    <fill>
      <patternFill patternType="solid">
        <fgColor rgb="FFE2EFDA"/>
      </patternFill>
    </fill>
    <fill>
      <patternFill patternType="solid">
        <fgColor rgb="FFFCE4D6"/>
      </patternFill>
    </fill>
    <fill>
      <patternFill patternType="solid">
        <fgColor rgb="FFFFF2CC"/>
      </patternFill>
    </fill>
    <fill>
      <patternFill patternType="solid">
        <fgColor rgb="FFE4DFEC"/>
      </patternFill>
    </fill>
    <fill>
      <patternFill patternType="solid">
        <fgColor rgb="FFD9D9D9"/>
      </patternFill>
    </fill>
  </fills>
  <borders count="1">
    <border>
      <left/>
      <right/>
      <top/>
      <bottom/>
      <diagonal/>
    </border>
  </borders>
  <cellStyleXfs count="1">
    <xf numFmtId="0" fontId="0" fillId="0" borderId="0"/>
  </cellStyleXfs>
  <cellXfs count="43">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applyAlignment="1" pivotButton="0" quotePrefix="0" xfId="0">
      <alignment vertical="top" wrapText="1"/>
    </xf>
    <xf numFmtId="0" fontId="3" fillId="3" borderId="0" pivotButton="0" quotePrefix="0" xfId="0"/>
    <xf numFmtId="0" fontId="3" fillId="4" borderId="0" pivotButton="0" quotePrefix="0" xfId="0"/>
    <xf numFmtId="0" fontId="3" fillId="5" borderId="0" pivotButton="0" quotePrefix="0" xfId="0"/>
    <xf numFmtId="0" fontId="3" fillId="6" borderId="0" pivotButton="0" quotePrefix="0" xfId="0"/>
    <xf numFmtId="0" fontId="3" fillId="7" borderId="0" pivotButton="0" quotePrefix="0" xfId="0"/>
    <xf numFmtId="0" fontId="3" fillId="8" borderId="0" pivotButton="0" quotePrefix="0" xfId="0"/>
    <xf numFmtId="0" fontId="3" fillId="9" borderId="0" pivotButton="0" quotePrefix="0" xfId="0"/>
    <xf numFmtId="0" fontId="1" fillId="2" borderId="0" applyAlignment="1" pivotButton="0" quotePrefix="0" xfId="0">
      <alignment wrapText="1"/>
    </xf>
    <xf numFmtId="164" fontId="3" fillId="0" borderId="0" pivotButton="0" quotePrefix="0" xfId="0"/>
    <xf numFmtId="0" fontId="3" fillId="0" borderId="0" pivotButton="0" quotePrefix="0" xfId="0"/>
    <xf numFmtId="165" fontId="3" fillId="0" borderId="0" pivotButton="0" quotePrefix="0" xfId="0"/>
    <xf numFmtId="9" fontId="3" fillId="0" borderId="0" pivotButton="0" quotePrefix="0" xfId="0"/>
    <xf numFmtId="166" fontId="3" fillId="0" borderId="0" pivotButton="0" quotePrefix="0" xfId="0"/>
    <xf numFmtId="165" fontId="2" fillId="0" borderId="0" pivotButton="0" quotePrefix="0" xfId="0"/>
    <xf numFmtId="0" fontId="4" fillId="0" borderId="0" pivotButton="0" quotePrefix="0" xfId="0"/>
    <xf numFmtId="165" fontId="2" fillId="5" borderId="0" pivotButton="0" quotePrefix="0" xfId="0"/>
    <xf numFmtId="164" fontId="2" fillId="0" borderId="0" pivotButton="0" quotePrefix="0" xfId="0"/>
    <xf numFmtId="0" fontId="0" fillId="0" borderId="0" applyAlignment="1" pivotButton="0" quotePrefix="0" xfId="0">
      <alignment vertical="top" wrapText="1"/>
    </xf>
    <xf numFmtId="0" fontId="0" fillId="10" borderId="0" pivotButton="0" quotePrefix="0" xfId="0"/>
    <xf numFmtId="168" fontId="0" fillId="10" borderId="0" pivotButton="0" quotePrefix="0" xfId="0"/>
    <xf numFmtId="169" fontId="0" fillId="10" borderId="0" pivotButton="0" quotePrefix="0" xfId="0"/>
    <xf numFmtId="0" fontId="0" fillId="11" borderId="0" pivotButton="0" quotePrefix="0" xfId="0"/>
    <xf numFmtId="168" fontId="0" fillId="11" borderId="0" pivotButton="0" quotePrefix="0" xfId="0"/>
    <xf numFmtId="169" fontId="0" fillId="11" borderId="0" pivotButton="0" quotePrefix="0" xfId="0"/>
    <xf numFmtId="0" fontId="0" fillId="12" borderId="0" pivotButton="0" quotePrefix="0" xfId="0"/>
    <xf numFmtId="168" fontId="0" fillId="12" borderId="0" pivotButton="0" quotePrefix="0" xfId="0"/>
    <xf numFmtId="169" fontId="0" fillId="12" borderId="0" pivotButton="0" quotePrefix="0" xfId="0"/>
    <xf numFmtId="0" fontId="0" fillId="13" borderId="0" pivotButton="0" quotePrefix="0" xfId="0"/>
    <xf numFmtId="168" fontId="0" fillId="13" borderId="0" pivotButton="0" quotePrefix="0" xfId="0"/>
    <xf numFmtId="169" fontId="0" fillId="13" borderId="0" pivotButton="0" quotePrefix="0" xfId="0"/>
    <xf numFmtId="0" fontId="0" fillId="14" borderId="0" pivotButton="0" quotePrefix="0" xfId="0"/>
    <xf numFmtId="168" fontId="0" fillId="14" borderId="0" pivotButton="0" quotePrefix="0" xfId="0"/>
    <xf numFmtId="169" fontId="0" fillId="14" borderId="0" pivotButton="0" quotePrefix="0" xfId="0"/>
    <xf numFmtId="0" fontId="0" fillId="15" borderId="0" pivotButton="0" quotePrefix="0" xfId="0"/>
    <xf numFmtId="168" fontId="0" fillId="15" borderId="0" pivotButton="0" quotePrefix="0" xfId="0"/>
    <xf numFmtId="169" fontId="0" fillId="0" borderId="0" pivotButton="0" quotePrefix="0" xfId="0"/>
    <xf numFmtId="168" fontId="0" fillId="0" borderId="0" pivotButton="0" quotePrefix="0" xfId="0"/>
    <xf numFmtId="169" fontId="0" fillId="15" borderId="0" pivotButton="0" quotePrefix="0" xfId="0"/>
    <xf numFmtId="0" fontId="5" fillId="0" borderId="0" pivotButton="0" quotePrefix="0" xfId="0"/>
  </cellXfs>
  <cellStyles count="1">
    <cellStyle name="Standaard"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7F86"/>
      <rgbColor rgb="FFE4DFEC"/>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tabSelected="1" zoomScaleNormal="100" workbookViewId="0">
      <selection activeCell="B5" sqref="B5"/>
    </sheetView>
  </sheetViews>
  <sheetFormatPr baseColWidth="8" defaultColWidth="8.6328125" defaultRowHeight="14.5"/>
  <cols>
    <col width="42" customWidth="1" min="1" max="1"/>
    <col width="110" customWidth="1" min="2" max="2"/>
  </cols>
  <sheetData>
    <row r="1" ht="30" customHeight="1">
      <c r="A1" s="1" t="inlineStr">
        <is>
          <t>Case Fietsatelier Noor bv: gegevens voor de boekhoudapp 3e en 4e jaar</t>
        </is>
      </c>
      <c r="B1" s="1" t="n"/>
    </row>
    <row r="2" ht="42" customHeight="1">
      <c r="A2" s="2" t="inlineStr">
        <is>
          <t>Wat staat hierin?</t>
        </is>
      </c>
      <c r="B2" s="3" t="inlineStr">
        <is>
          <t>Alle gegevens van de case: bedrijven, artikelen, documenten (met lijnen), rekeninguittreksels en de sleutel (journaal). Facturen maak je zelf op basis van de tabbladen Documenten en Lijnen.</t>
        </is>
      </c>
    </row>
    <row r="3" ht="42" customHeight="1">
      <c r="A3" s="2" t="inlineStr">
        <is>
          <t>Jaar 1 = 2026 (3e jaar)</t>
        </is>
      </c>
      <c r="B3" s="3" t="inlineStr">
        <is>
          <t>Eerste jaar na de opstart. Januari = voorbeelden uit de cursus. Kwartaal 1 = verplichte opdrachten (in blok). Kwartaal 2 = oefenen, kwartaal 3 = test jezelf, kwartaal 4 = remediëring (telkens alles door elkaar). Eind december: 2 facturen en de afsluiting door de boekhouder (niet voor leerlingen).</t>
        </is>
      </c>
    </row>
    <row r="4" ht="42" customHeight="1">
      <c r="A4" s="2" t="inlineStr">
        <is>
          <t>Jaar 2 = 2027 (4e jaar)</t>
        </is>
      </c>
      <c r="B4" s="3" t="inlineStr">
        <is>
          <t>Consolidatieopdracht: iedereen doet alle kwartalen. Start vanuit een volledig afgewerkt jaar 1 (openingsbalans 1/1/2027 = eindbalans 2026 na afsluiting). Per kwartaal meer gemixt: K1 in blok per soort · K2 gemixt binnen aankoop en binnen verkoop · K3 aankoop en verkoop door elkaar · K4 alles door elkaar. Daarna de afsluiting. '(eventueel enkel tot kwartaal 3, en K4 houden voor remediëring)</t>
        </is>
      </c>
    </row>
    <row r="5" ht="42" customHeight="1">
      <c r="A5" s="2" t="inlineStr">
        <is>
          <t>Jaar 3 = 2028 (3e graad, oefenen)</t>
        </is>
      </c>
      <c r="B5" s="21" t="inlineStr">
        <is>
          <t>Oefendossier in de boekhoudapp van kern 8 (noor.html): het 1e kwartaal 2028 met een afsluiting op 31 maart, zoals MetWear. Beginbalans = eindbalans 2027 na afsluiting. Noor heeft nu personeel (Jonas, arbeider; Lina, bediende deeltijds), een sociaal secretariaat (Loonwijs), een verzekeraar (Gerzo) en een opslagruimte (Immo Vaartkom). De stukken staan per les (5 à 6 per les): kortingen · kosten, verpakking, investeringen · creditnota's en over te dragen kosten · verkopen (2 lessen) · loonstaten · RSZ en personeelskosten · financiële verrichtingen · btw, eindejaar en resultaat. Tabbladen J3 …; gemaakt door hulpmiddelen/noor/ in de repo boekhouding_DeMet.</t>
        </is>
      </c>
    </row>
    <row r="6" ht="42" customHeight="1">
      <c r="A6" s="2" t="inlineStr">
        <is>
          <t>Jaar 4 (3e graad, consolidatie)</t>
        </is>
      </c>
      <c r="B6" s="21" t="inlineStr">
        <is>
          <t>Nog te maken: alle stukken door elkaar, als eindopdracht (vanaf volgend schooljaar in de plaats van MetWear).</t>
        </is>
      </c>
    </row>
    <row r="7" ht="42" customHeight="1">
      <c r="A7" s="2" t="inlineStr">
        <is>
          <t>Afspraken jaar 3</t>
        </is>
      </c>
      <c r="B7" s="21" t="inlineStr">
        <is>
          <t>MAR van de 3e graad (js/mar.js) plus 700000 voor herstellingen. Over te dragen kosten: de factuur volledig als kost, bij de afsluiting het deel na 31/3 naar 490000 (OTK). Lonen: RSZ werknemer 13,07%, werkgever 25%; RSZ en voorheffing via factuur van Loonwijs (440000). Afschrijvingen: een kwart van de jaarafschrijving. Lening: deel dat binnen 12 maanden vervalt naar 423000. Belasting 20%, wettelijke reserve 5% van de winst na belasting.</t>
        </is>
      </c>
    </row>
    <row r="8" ht="42" customHeight="1">
      <c r="A8" s="2" t="inlineStr">
        <is>
          <t>Volgorde jaar 2</t>
        </is>
      </c>
      <c r="B8" s="3" t="inlineStr">
        <is>
          <t>K1 tot K3: aankoop, verkoop, btw-verrekening, financieel (de volgorde van de cursus). K4: chronologisch.</t>
        </is>
      </c>
    </row>
    <row r="9" ht="42" customHeight="1">
      <c r="A9" s="2" t="inlineStr">
        <is>
          <t>Kwartaal</t>
        </is>
      </c>
      <c r="B9" s="3" t="inlineStr">
        <is>
          <t>Een boekhoudperiode in de case, niet de periode in het schooljaar.</t>
        </is>
      </c>
    </row>
    <row r="10" ht="42" customHeight="1">
      <c r="A10" s="2" t="inlineStr">
        <is>
          <t>Volgorde</t>
        </is>
      </c>
      <c r="B10" s="3" t="inlineStr">
        <is>
          <t>Kolom "Volgorde in set" in Documenten en Uittreksels: in die volgorde zet je de documenten open in de app.</t>
        </is>
      </c>
    </row>
    <row r="11" ht="42" customHeight="1">
      <c r="A11" s="2" t="inlineStr">
        <is>
          <t>Formules</t>
        </is>
      </c>
      <c r="B11" s="3" t="inlineStr">
        <is>
          <t>Bedragen op de lijnen, totalen per document, saldi op de uittreksels, proefbalans en voorraad zijn formules. Pas je een aantal of prijs aan op Lijnen, dan rekenen de totalen mee. Het journaal (sleutel) is NIET gekoppeld: laat de case dan opnieuw genereren met het script.</t>
        </is>
      </c>
    </row>
    <row r="12" ht="42" customHeight="1">
      <c r="A12" s="2" t="inlineStr">
        <is>
          <t>Controles</t>
        </is>
      </c>
      <c r="B12" s="3" t="inlineStr">
        <is>
          <t>Kolom "Controle D-C" in Documenten moet overal 0 zijn. Proefbalans: totaal = 0. Voorraad: waarde inventaris = saldo 340000 na afsluiting.</t>
        </is>
      </c>
    </row>
    <row r="13" ht="42" customHeight="1">
      <c r="A13" s="2" t="inlineStr">
        <is>
          <t>Rekeningen</t>
        </is>
      </c>
      <c r="B13" s="3" t="inlineStr">
        <is>
          <t>MAR 2e graad (tabblad en bestand mar 2e graad.js): een selectie uit het MAR van de 3e graad, 6 cijfers, plus 600000 Aankopen grondstoffen en 700000 Verkopen en dienstprestaties. Btw op creditnota’s: 411200 (uitgaande CN) en 451200 (inkomende CN).</t>
        </is>
      </c>
    </row>
    <row r="14" ht="42" customHeight="1">
      <c r="A14" s="2" t="inlineStr">
        <is>
          <t>Betalingstermijn</t>
        </is>
      </c>
      <c r="B14" s="3" t="inlineStr">
        <is>
          <t>Facturen: 30 dagen na factuurdatum (kolom Vervaldag). Niet elke betaling valt precies op de vervaldag.</t>
        </is>
      </c>
    </row>
    <row r="15" ht="42" customHeight="1">
      <c r="A15" s="2" t="inlineStr">
        <is>
          <t>Btw</t>
        </is>
      </c>
      <c r="B15" s="3" t="inlineStr">
        <is>
          <t>21% voor fietsen, onderdelen, accessoires en diensten aan Noor. 6% voor herstellingen en onderhoud van fietsen. Geen btw op waarborgen (verpakking). Jaar 1: geen btw-verrekening voor leerlingen. Jaar 2: verrekening per kwartaal; een tegoed (411000) schuift door naar het volgende kwartaal, een schuld (451000) wordt de 20e van de maand erna betaald.</t>
        </is>
      </c>
    </row>
    <row r="16">
      <c r="A16" s="2" t="inlineStr">
        <is>
          <t>Dagontvangsten</t>
        </is>
      </c>
      <c r="B16" s="3" t="inlineStr">
        <is>
          <t>Verkopen aan particulieren (kasticket, geen factuur). Het volledige bedrag komt op 400000 Handelsdebiteuren. Het contante deel laat de vordering dalen via een kasdocument (570000), het bancontact-deel via het uittreksel (550000).</t>
        </is>
      </c>
    </row>
    <row r="17">
      <c r="A17" s="2" t="inlineStr">
        <is>
          <t>Financiële korting (jaar 2)</t>
        </is>
      </c>
      <c r="B17" s="3" t="inlineStr">
        <is>
          <t>Btw berekend op de maatstaf na korting, de factuur boekt de goederen zonder korting. Binnen de termijn betaald: korting op 757000 (aankoop) of 657000 (verkoop). Kolom Opmerking zegt of er binnen de termijn betaald werd.</t>
        </is>
      </c>
    </row>
    <row r="18">
      <c r="A18" s="2" t="inlineStr">
        <is>
          <t>Fictief</t>
        </is>
      </c>
      <c r="B18" s="3" t="inlineStr">
        <is>
          <t>Alle bedrijven, adressen, btw-nummers (BE 0999...) en rekeningnummers (BE00...) zijn fictief.</t>
        </is>
      </c>
    </row>
    <row r="19"/>
    <row r="20">
      <c r="A20" s="2" t="inlineStr">
        <is>
          <t>Kleur per set</t>
        </is>
      </c>
    </row>
    <row r="21">
      <c r="A21" s="4" t="inlineStr">
        <is>
          <t>CURSUS</t>
        </is>
      </c>
    </row>
    <row r="22">
      <c r="A22" s="5" t="inlineStr">
        <is>
          <t>VERPLICHT</t>
        </is>
      </c>
    </row>
    <row r="23">
      <c r="A23" s="6" t="inlineStr">
        <is>
          <t>OEFEN</t>
        </is>
      </c>
    </row>
    <row r="24">
      <c r="A24" s="7" t="inlineStr">
        <is>
          <t>TJ</t>
        </is>
      </c>
    </row>
    <row r="25">
      <c r="A25" s="8" t="inlineStr">
        <is>
          <t>REMEDIERING</t>
        </is>
      </c>
    </row>
    <row r="26">
      <c r="A26" s="9" t="inlineStr">
        <is>
          <t>BOEKHOUDER</t>
        </is>
      </c>
    </row>
    <row r="27">
      <c r="A27" s="5" t="inlineStr">
        <is>
          <t>K1</t>
        </is>
      </c>
    </row>
    <row r="28">
      <c r="A28" s="6" t="inlineStr">
        <is>
          <t>K2</t>
        </is>
      </c>
    </row>
    <row r="29">
      <c r="A29" s="7" t="inlineStr">
        <is>
          <t>K3</t>
        </is>
      </c>
    </row>
    <row r="30">
      <c r="A30" s="8" t="inlineStr">
        <is>
          <t>K4</t>
        </is>
      </c>
    </row>
    <row r="31">
      <c r="A31" s="10" t="inlineStr">
        <is>
          <t>AFSLUITING</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24"/>
  <sheetViews>
    <sheetView zoomScaleNormal="100" workbookViewId="0">
      <pane ySplit="1" topLeftCell="A2" activePane="bottomLeft" state="frozen"/>
      <selection pane="bottomLeft" activeCell="A1" sqref="A1"/>
    </sheetView>
  </sheetViews>
  <sheetFormatPr baseColWidth="8" defaultColWidth="8.6328125" defaultRowHeight="14.5"/>
  <cols>
    <col width="7" customWidth="1" min="1" max="1"/>
    <col width="14" customWidth="1" min="2" max="2"/>
    <col width="7" customWidth="1" min="3" max="3"/>
    <col width="8" customWidth="1" min="4" max="4"/>
    <col width="7" customWidth="1" min="5" max="5"/>
    <col width="8" customWidth="1" min="6" max="6"/>
    <col width="7" customWidth="1" min="7" max="8"/>
    <col width="8" customWidth="1" min="9" max="9"/>
    <col width="11" customWidth="1" min="10" max="10"/>
    <col width="44" customWidth="1" min="11" max="11"/>
  </cols>
  <sheetData>
    <row r="1">
      <c r="A1" s="11" t="inlineStr">
        <is>
          <t>Jaar</t>
        </is>
      </c>
      <c r="B1" s="11" t="inlineStr">
        <is>
          <t>Set</t>
        </is>
      </c>
      <c r="C1" s="11" t="inlineStr">
        <is>
          <t>AK</t>
        </is>
      </c>
      <c r="D1" s="11" t="inlineStr">
        <is>
          <t>CN-AK</t>
        </is>
      </c>
      <c r="E1" s="11" t="inlineStr">
        <is>
          <t>VK</t>
        </is>
      </c>
      <c r="F1" s="11" t="inlineStr">
        <is>
          <t>CN-VK</t>
        </is>
      </c>
      <c r="G1" s="11" t="inlineStr">
        <is>
          <t>DO</t>
        </is>
      </c>
      <c r="H1" s="11" t="inlineStr">
        <is>
          <t>KAS</t>
        </is>
      </c>
      <c r="I1" s="11" t="inlineStr">
        <is>
          <t>MEMO</t>
        </is>
      </c>
      <c r="J1" s="11" t="inlineStr">
        <is>
          <t>Uittreksels</t>
        </is>
      </c>
      <c r="K1" s="11" t="inlineStr">
        <is>
          <t>Gevraagd (AK / CN-AK / VK / CN-VK / DO)</t>
        </is>
      </c>
    </row>
    <row r="2">
      <c r="A2" s="12" t="n">
        <v>1</v>
      </c>
      <c r="B2" s="4" t="inlineStr">
        <is>
          <t>CURSUS</t>
        </is>
      </c>
      <c r="C2" s="12">
        <f>COUNTIFS('J1 Documenten'!$C:$C,$B2,'J1 Documenten'!$E:$E,"AK")</f>
        <v/>
      </c>
      <c r="D2" s="12">
        <f>COUNTIFS('J1 Documenten'!$C:$C,$B2,'J1 Documenten'!$E:$E,"CN-AK")</f>
        <v/>
      </c>
      <c r="E2" s="12">
        <f>COUNTIFS('J1 Documenten'!$C:$C,$B2,'J1 Documenten'!$E:$E,"VK")</f>
        <v/>
      </c>
      <c r="F2" s="12">
        <f>COUNTIFS('J1 Documenten'!$C:$C,$B2,'J1 Documenten'!$E:$E,"CN-VK")</f>
        <v/>
      </c>
      <c r="G2" s="12">
        <f>COUNTIFS('J1 Documenten'!$C:$C,$B2,'J1 Documenten'!$E:$E,"DO")</f>
        <v/>
      </c>
      <c r="H2" s="12">
        <f>COUNTIFS('J1 Documenten'!$C:$C,$B2,'J1 Documenten'!$E:$E,"KAS")</f>
        <v/>
      </c>
      <c r="I2" s="12">
        <f>COUNTIFS('J1 Documenten'!$C:$C,$B2,'J1 Documenten'!$E:$E,"MEMO")</f>
        <v/>
      </c>
      <c r="J2" s="12" t="n">
        <v>3</v>
      </c>
      <c r="K2" s="13" t="n"/>
    </row>
    <row r="3">
      <c r="A3" s="12" t="n">
        <v>1</v>
      </c>
      <c r="B3" s="5" t="inlineStr">
        <is>
          <t>VERPLICHT</t>
        </is>
      </c>
      <c r="C3" s="12">
        <f>COUNTIFS('J1 Documenten'!$C:$C,$B3,'J1 Documenten'!$E:$E,"AK")</f>
        <v/>
      </c>
      <c r="D3" s="12">
        <f>COUNTIFS('J1 Documenten'!$C:$C,$B3,'J1 Documenten'!$E:$E,"CN-AK")</f>
        <v/>
      </c>
      <c r="E3" s="12">
        <f>COUNTIFS('J1 Documenten'!$C:$C,$B3,'J1 Documenten'!$E:$E,"VK")</f>
        <v/>
      </c>
      <c r="F3" s="12">
        <f>COUNTIFS('J1 Documenten'!$C:$C,$B3,'J1 Documenten'!$E:$E,"CN-VK")</f>
        <v/>
      </c>
      <c r="G3" s="12">
        <f>COUNTIFS('J1 Documenten'!$C:$C,$B3,'J1 Documenten'!$E:$E,"DO")</f>
        <v/>
      </c>
      <c r="H3" s="12">
        <f>COUNTIFS('J1 Documenten'!$C:$C,$B3,'J1 Documenten'!$E:$E,"KAS")</f>
        <v/>
      </c>
      <c r="I3" s="12">
        <f>COUNTIFS('J1 Documenten'!$C:$C,$B3,'J1 Documenten'!$E:$E,"MEMO")</f>
        <v/>
      </c>
      <c r="J3" s="12" t="n">
        <v>4</v>
      </c>
      <c r="K3" s="13" t="inlineStr">
        <is>
          <t>5 / 3 / 5 / 3 / 3</t>
        </is>
      </c>
    </row>
    <row r="4">
      <c r="A4" s="12" t="n">
        <v>1</v>
      </c>
      <c r="B4" s="6" t="inlineStr">
        <is>
          <t>OEFEN</t>
        </is>
      </c>
      <c r="C4" s="12">
        <f>COUNTIFS('J1 Documenten'!$C:$C,$B4,'J1 Documenten'!$E:$E,"AK")</f>
        <v/>
      </c>
      <c r="D4" s="12">
        <f>COUNTIFS('J1 Documenten'!$C:$C,$B4,'J1 Documenten'!$E:$E,"CN-AK")</f>
        <v/>
      </c>
      <c r="E4" s="12">
        <f>COUNTIFS('J1 Documenten'!$C:$C,$B4,'J1 Documenten'!$E:$E,"VK")</f>
        <v/>
      </c>
      <c r="F4" s="12">
        <f>COUNTIFS('J1 Documenten'!$C:$C,$B4,'J1 Documenten'!$E:$E,"CN-VK")</f>
        <v/>
      </c>
      <c r="G4" s="12">
        <f>COUNTIFS('J1 Documenten'!$C:$C,$B4,'J1 Documenten'!$E:$E,"DO")</f>
        <v/>
      </c>
      <c r="H4" s="12">
        <f>COUNTIFS('J1 Documenten'!$C:$C,$B4,'J1 Documenten'!$E:$E,"KAS")</f>
        <v/>
      </c>
      <c r="I4" s="12">
        <f>COUNTIFS('J1 Documenten'!$C:$C,$B4,'J1 Documenten'!$E:$E,"MEMO")</f>
        <v/>
      </c>
      <c r="J4" s="12" t="n">
        <v>3</v>
      </c>
      <c r="K4" s="13" t="inlineStr">
        <is>
          <t>extra set samen: 10 / 5 / 10 / 5 / 2</t>
        </is>
      </c>
    </row>
    <row r="5">
      <c r="A5" s="12" t="n">
        <v>1</v>
      </c>
      <c r="B5" s="7" t="inlineStr">
        <is>
          <t>TJ</t>
        </is>
      </c>
      <c r="C5" s="12">
        <f>COUNTIFS('J1 Documenten'!$C:$C,$B5,'J1 Documenten'!$E:$E,"AK")</f>
        <v/>
      </c>
      <c r="D5" s="12">
        <f>COUNTIFS('J1 Documenten'!$C:$C,$B5,'J1 Documenten'!$E:$E,"CN-AK")</f>
        <v/>
      </c>
      <c r="E5" s="12">
        <f>COUNTIFS('J1 Documenten'!$C:$C,$B5,'J1 Documenten'!$E:$E,"VK")</f>
        <v/>
      </c>
      <c r="F5" s="12">
        <f>COUNTIFS('J1 Documenten'!$C:$C,$B5,'J1 Documenten'!$E:$E,"CN-VK")</f>
        <v/>
      </c>
      <c r="G5" s="12">
        <f>COUNTIFS('J1 Documenten'!$C:$C,$B5,'J1 Documenten'!$E:$E,"DO")</f>
        <v/>
      </c>
      <c r="H5" s="12">
        <f>COUNTIFS('J1 Documenten'!$C:$C,$B5,'J1 Documenten'!$E:$E,"KAS")</f>
        <v/>
      </c>
      <c r="I5" s="12">
        <f>COUNTIFS('J1 Documenten'!$C:$C,$B5,'J1 Documenten'!$E:$E,"MEMO")</f>
        <v/>
      </c>
      <c r="J5" s="12" t="n">
        <v>3</v>
      </c>
      <c r="K5" s="13" t="inlineStr">
        <is>
          <t>(verdeeld over oefenen, TJ en remediëring)</t>
        </is>
      </c>
    </row>
    <row r="6">
      <c r="A6" s="12" t="n">
        <v>1</v>
      </c>
      <c r="B6" s="8" t="inlineStr">
        <is>
          <t>REMEDIERING</t>
        </is>
      </c>
      <c r="C6" s="12">
        <f>COUNTIFS('J1 Documenten'!$C:$C,$B6,'J1 Documenten'!$E:$E,"AK")</f>
        <v/>
      </c>
      <c r="D6" s="12">
        <f>COUNTIFS('J1 Documenten'!$C:$C,$B6,'J1 Documenten'!$E:$E,"CN-AK")</f>
        <v/>
      </c>
      <c r="E6" s="12">
        <f>COUNTIFS('J1 Documenten'!$C:$C,$B6,'J1 Documenten'!$E:$E,"VK")</f>
        <v/>
      </c>
      <c r="F6" s="12">
        <f>COUNTIFS('J1 Documenten'!$C:$C,$B6,'J1 Documenten'!$E:$E,"CN-VK")</f>
        <v/>
      </c>
      <c r="G6" s="12">
        <f>COUNTIFS('J1 Documenten'!$C:$C,$B6,'J1 Documenten'!$E:$E,"DO")</f>
        <v/>
      </c>
      <c r="H6" s="12">
        <f>COUNTIFS('J1 Documenten'!$C:$C,$B6,'J1 Documenten'!$E:$E,"KAS")</f>
        <v/>
      </c>
      <c r="I6" s="12">
        <f>COUNTIFS('J1 Documenten'!$C:$C,$B6,'J1 Documenten'!$E:$E,"MEMO")</f>
        <v/>
      </c>
      <c r="J6" s="12" t="n">
        <v>4</v>
      </c>
      <c r="K6" s="13" t="n"/>
    </row>
    <row r="7">
      <c r="A7" s="12" t="n">
        <v>1</v>
      </c>
      <c r="B7" s="9" t="inlineStr">
        <is>
          <t>BOEKHOUDER</t>
        </is>
      </c>
      <c r="C7" s="12">
        <f>COUNTIFS('J1 Documenten'!$C:$C,$B7,'J1 Documenten'!$E:$E,"AK")</f>
        <v/>
      </c>
      <c r="D7" s="12">
        <f>COUNTIFS('J1 Documenten'!$C:$C,$B7,'J1 Documenten'!$E:$E,"CN-AK")</f>
        <v/>
      </c>
      <c r="E7" s="12">
        <f>COUNTIFS('J1 Documenten'!$C:$C,$B7,'J1 Documenten'!$E:$E,"VK")</f>
        <v/>
      </c>
      <c r="F7" s="12">
        <f>COUNTIFS('J1 Documenten'!$C:$C,$B7,'J1 Documenten'!$E:$E,"CN-VK")</f>
        <v/>
      </c>
      <c r="G7" s="12">
        <f>COUNTIFS('J1 Documenten'!$C:$C,$B7,'J1 Documenten'!$E:$E,"DO")</f>
        <v/>
      </c>
      <c r="H7" s="12">
        <f>COUNTIFS('J1 Documenten'!$C:$C,$B7,'J1 Documenten'!$E:$E,"KAS")</f>
        <v/>
      </c>
      <c r="I7" s="12">
        <f>COUNTIFS('J1 Documenten'!$C:$C,$B7,'J1 Documenten'!$E:$E,"MEMO")</f>
        <v/>
      </c>
      <c r="J7" s="12" t="n">
        <v>0</v>
      </c>
      <c r="K7" s="13" t="n"/>
    </row>
    <row r="8"/>
    <row r="9">
      <c r="A9" s="12" t="n">
        <v>2</v>
      </c>
      <c r="B9" s="5" t="inlineStr">
        <is>
          <t>K1</t>
        </is>
      </c>
      <c r="C9" s="12">
        <f>COUNTIFS('J2 Documenten'!$C:$C,$B9,'J2 Documenten'!$E:$E,"AK")</f>
        <v/>
      </c>
      <c r="D9" s="12">
        <f>COUNTIFS('J2 Documenten'!$C:$C,$B9,'J2 Documenten'!$E:$E,"CN-AK")</f>
        <v/>
      </c>
      <c r="E9" s="12">
        <f>COUNTIFS('J2 Documenten'!$C:$C,$B9,'J2 Documenten'!$E:$E,"VK")</f>
        <v/>
      </c>
      <c r="F9" s="12">
        <f>COUNTIFS('J2 Documenten'!$C:$C,$B9,'J2 Documenten'!$E:$E,"CN-VK")</f>
        <v/>
      </c>
      <c r="G9" s="12">
        <f>COUNTIFS('J2 Documenten'!$C:$C,$B9,'J2 Documenten'!$E:$E,"DO")</f>
        <v/>
      </c>
      <c r="H9" s="12">
        <f>COUNTIFS('J2 Documenten'!$C:$C,$B9,'J2 Documenten'!$E:$E,"KAS")</f>
        <v/>
      </c>
      <c r="I9" s="12">
        <f>COUNTIFS('J2 Documenten'!$C:$C,$B9,'J2 Documenten'!$E:$E,"MEMO")</f>
        <v/>
      </c>
      <c r="J9" s="12" t="n">
        <v>8</v>
      </c>
      <c r="K9" s="13" t="inlineStr">
        <is>
          <t>in blok per soort</t>
        </is>
      </c>
    </row>
    <row r="10">
      <c r="A10" s="12" t="n">
        <v>2</v>
      </c>
      <c r="B10" s="6" t="inlineStr">
        <is>
          <t>K2</t>
        </is>
      </c>
      <c r="C10" s="12">
        <f>COUNTIFS('J2 Documenten'!$C:$C,$B10,'J2 Documenten'!$E:$E,"AK")</f>
        <v/>
      </c>
      <c r="D10" s="12">
        <f>COUNTIFS('J2 Documenten'!$C:$C,$B10,'J2 Documenten'!$E:$E,"CN-AK")</f>
        <v/>
      </c>
      <c r="E10" s="12">
        <f>COUNTIFS('J2 Documenten'!$C:$C,$B10,'J2 Documenten'!$E:$E,"VK")</f>
        <v/>
      </c>
      <c r="F10" s="12">
        <f>COUNTIFS('J2 Documenten'!$C:$C,$B10,'J2 Documenten'!$E:$E,"CN-VK")</f>
        <v/>
      </c>
      <c r="G10" s="12">
        <f>COUNTIFS('J2 Documenten'!$C:$C,$B10,'J2 Documenten'!$E:$E,"DO")</f>
        <v/>
      </c>
      <c r="H10" s="12">
        <f>COUNTIFS('J2 Documenten'!$C:$C,$B10,'J2 Documenten'!$E:$E,"KAS")</f>
        <v/>
      </c>
      <c r="I10" s="12">
        <f>COUNTIFS('J2 Documenten'!$C:$C,$B10,'J2 Documenten'!$E:$E,"MEMO")</f>
        <v/>
      </c>
      <c r="J10" s="12" t="n">
        <v>5</v>
      </c>
      <c r="K10" s="13" t="inlineStr">
        <is>
          <t>gemixt binnen aankoop / verkoop</t>
        </is>
      </c>
    </row>
    <row r="11">
      <c r="A11" s="12" t="n">
        <v>2</v>
      </c>
      <c r="B11" s="7" t="inlineStr">
        <is>
          <t>K3</t>
        </is>
      </c>
      <c r="C11" s="12">
        <f>COUNTIFS('J2 Documenten'!$C:$C,$B11,'J2 Documenten'!$E:$E,"AK")</f>
        <v/>
      </c>
      <c r="D11" s="12">
        <f>COUNTIFS('J2 Documenten'!$C:$C,$B11,'J2 Documenten'!$E:$E,"CN-AK")</f>
        <v/>
      </c>
      <c r="E11" s="12">
        <f>COUNTIFS('J2 Documenten'!$C:$C,$B11,'J2 Documenten'!$E:$E,"VK")</f>
        <v/>
      </c>
      <c r="F11" s="12">
        <f>COUNTIFS('J2 Documenten'!$C:$C,$B11,'J2 Documenten'!$E:$E,"CN-VK")</f>
        <v/>
      </c>
      <c r="G11" s="12">
        <f>COUNTIFS('J2 Documenten'!$C:$C,$B11,'J2 Documenten'!$E:$E,"DO")</f>
        <v/>
      </c>
      <c r="H11" s="12">
        <f>COUNTIFS('J2 Documenten'!$C:$C,$B11,'J2 Documenten'!$E:$E,"KAS")</f>
        <v/>
      </c>
      <c r="I11" s="12">
        <f>COUNTIFS('J2 Documenten'!$C:$C,$B11,'J2 Documenten'!$E:$E,"MEMO")</f>
        <v/>
      </c>
      <c r="J11" s="12" t="n">
        <v>5</v>
      </c>
      <c r="K11" s="13" t="inlineStr">
        <is>
          <t>aankoop en verkoop door elkaar</t>
        </is>
      </c>
    </row>
    <row r="12">
      <c r="A12" s="12" t="n">
        <v>2</v>
      </c>
      <c r="B12" s="8" t="inlineStr">
        <is>
          <t>K4</t>
        </is>
      </c>
      <c r="C12" s="12">
        <f>COUNTIFS('J2 Documenten'!$C:$C,$B12,'J2 Documenten'!$E:$E,"AK")</f>
        <v/>
      </c>
      <c r="D12" s="12">
        <f>COUNTIFS('J2 Documenten'!$C:$C,$B12,'J2 Documenten'!$E:$E,"CN-AK")</f>
        <v/>
      </c>
      <c r="E12" s="12">
        <f>COUNTIFS('J2 Documenten'!$C:$C,$B12,'J2 Documenten'!$E:$E,"VK")</f>
        <v/>
      </c>
      <c r="F12" s="12">
        <f>COUNTIFS('J2 Documenten'!$C:$C,$B12,'J2 Documenten'!$E:$E,"CN-VK")</f>
        <v/>
      </c>
      <c r="G12" s="12">
        <f>COUNTIFS('J2 Documenten'!$C:$C,$B12,'J2 Documenten'!$E:$E,"DO")</f>
        <v/>
      </c>
      <c r="H12" s="12">
        <f>COUNTIFS('J2 Documenten'!$C:$C,$B12,'J2 Documenten'!$E:$E,"KAS")</f>
        <v/>
      </c>
      <c r="I12" s="12">
        <f>COUNTIFS('J2 Documenten'!$C:$C,$B12,'J2 Documenten'!$E:$E,"MEMO")</f>
        <v/>
      </c>
      <c r="J12" s="12" t="n">
        <v>5</v>
      </c>
      <c r="K12" s="13" t="inlineStr">
        <is>
          <t>alles door elkaar</t>
        </is>
      </c>
    </row>
    <row r="13">
      <c r="A13" s="12" t="n">
        <v>2</v>
      </c>
      <c r="B13" s="10" t="inlineStr">
        <is>
          <t>AFSLUITING</t>
        </is>
      </c>
      <c r="C13" s="12">
        <f>COUNTIFS('J2 Documenten'!$C:$C,$B13,'J2 Documenten'!$E:$E,"AK")</f>
        <v/>
      </c>
      <c r="D13" s="12">
        <f>COUNTIFS('J2 Documenten'!$C:$C,$B13,'J2 Documenten'!$E:$E,"CN-AK")</f>
        <v/>
      </c>
      <c r="E13" s="12">
        <f>COUNTIFS('J2 Documenten'!$C:$C,$B13,'J2 Documenten'!$E:$E,"VK")</f>
        <v/>
      </c>
      <c r="F13" s="12">
        <f>COUNTIFS('J2 Documenten'!$C:$C,$B13,'J2 Documenten'!$E:$E,"CN-VK")</f>
        <v/>
      </c>
      <c r="G13" s="12">
        <f>COUNTIFS('J2 Documenten'!$C:$C,$B13,'J2 Documenten'!$E:$E,"DO")</f>
        <v/>
      </c>
      <c r="H13" s="12">
        <f>COUNTIFS('J2 Documenten'!$C:$C,$B13,'J2 Documenten'!$E:$E,"KAS")</f>
        <v/>
      </c>
      <c r="I13" s="12">
        <f>COUNTIFS('J2 Documenten'!$C:$C,$B13,'J2 Documenten'!$E:$E,"MEMO")</f>
        <v/>
      </c>
      <c r="J13" s="12" t="n">
        <v>0</v>
      </c>
      <c r="K13" s="13" t="n"/>
    </row>
    <row r="14">
      <c r="A14" t="n">
        <v>3</v>
      </c>
      <c r="B14" t="inlineStr">
        <is>
          <t>Aankopen 1 · kortingen</t>
        </is>
      </c>
      <c r="C14" t="n">
        <v>6</v>
      </c>
      <c r="D14" t="n">
        <v>0</v>
      </c>
      <c r="E14" t="n">
        <v>0</v>
      </c>
      <c r="F14" t="n">
        <v>0</v>
      </c>
      <c r="G14" t="n">
        <v>0</v>
      </c>
      <c r="H14" t="n">
        <v>0</v>
      </c>
      <c r="I14" t="n">
        <v>0</v>
      </c>
      <c r="J14" t="n">
        <v>0</v>
      </c>
      <c r="K14" t="inlineStr"/>
    </row>
    <row r="15">
      <c r="A15" t="n">
        <v>3</v>
      </c>
      <c r="B15" t="inlineStr">
        <is>
          <t>Aankopen 2 · kosten, verpakking en investeringen</t>
        </is>
      </c>
      <c r="C15" t="n">
        <v>6</v>
      </c>
      <c r="D15" t="n">
        <v>0</v>
      </c>
      <c r="E15" t="n">
        <v>0</v>
      </c>
      <c r="F15" t="n">
        <v>0</v>
      </c>
      <c r="G15" t="n">
        <v>0</v>
      </c>
      <c r="H15" t="n">
        <v>0</v>
      </c>
      <c r="I15" t="n">
        <v>0</v>
      </c>
      <c r="J15" t="n">
        <v>0</v>
      </c>
      <c r="K15" t="inlineStr"/>
    </row>
    <row r="16">
      <c r="A16" t="n">
        <v>3</v>
      </c>
      <c r="B16" t="inlineStr">
        <is>
          <t>Aankopen 3 · creditnota's en over te dragen kosten</t>
        </is>
      </c>
      <c r="C16" t="n">
        <v>2</v>
      </c>
      <c r="D16" t="n">
        <v>3</v>
      </c>
      <c r="E16" t="n">
        <v>0</v>
      </c>
      <c r="F16" t="n">
        <v>0</v>
      </c>
      <c r="G16" t="n">
        <v>0</v>
      </c>
      <c r="H16" t="n">
        <v>0</v>
      </c>
      <c r="I16" t="n">
        <v>0</v>
      </c>
      <c r="J16" t="n">
        <v>0</v>
      </c>
      <c r="K16" t="inlineStr"/>
    </row>
    <row r="17">
      <c r="A17" t="n">
        <v>3</v>
      </c>
      <c r="B17" t="inlineStr">
        <is>
          <t>Verkopen 1 · handelskorting en kosten</t>
        </is>
      </c>
      <c r="C17" t="n">
        <v>0</v>
      </c>
      <c r="D17" t="n">
        <v>0</v>
      </c>
      <c r="E17" t="n">
        <v>6</v>
      </c>
      <c r="F17" t="n">
        <v>0</v>
      </c>
      <c r="G17" t="n">
        <v>0</v>
      </c>
      <c r="H17" t="n">
        <v>0</v>
      </c>
      <c r="I17" t="n">
        <v>0</v>
      </c>
      <c r="J17" t="n">
        <v>0</v>
      </c>
      <c r="K17" t="inlineStr"/>
    </row>
    <row r="18">
      <c r="A18" t="n">
        <v>3</v>
      </c>
      <c r="B18" t="inlineStr">
        <is>
          <t>Verkopen 2 · verpakking, creditnota's, financiële korting</t>
        </is>
      </c>
      <c r="C18" t="n">
        <v>0</v>
      </c>
      <c r="D18" t="n">
        <v>0</v>
      </c>
      <c r="E18" t="n">
        <v>3</v>
      </c>
      <c r="F18" t="n">
        <v>2</v>
      </c>
      <c r="G18" t="n">
        <v>1</v>
      </c>
      <c r="H18" t="n">
        <v>0</v>
      </c>
      <c r="I18" t="n">
        <v>0</v>
      </c>
      <c r="J18" t="n">
        <v>0</v>
      </c>
      <c r="K18" t="inlineStr"/>
    </row>
    <row r="19">
      <c r="A19" t="n">
        <v>3</v>
      </c>
      <c r="B19" t="inlineStr">
        <is>
          <t>Lonen 1 · loonstaten</t>
        </is>
      </c>
      <c r="C19" t="n">
        <v>0</v>
      </c>
      <c r="D19" t="n">
        <v>0</v>
      </c>
      <c r="E19" t="n">
        <v>0</v>
      </c>
      <c r="F19" t="n">
        <v>0</v>
      </c>
      <c r="G19" t="n">
        <v>0</v>
      </c>
      <c r="H19" t="n">
        <v>0</v>
      </c>
      <c r="I19" t="n">
        <v>0</v>
      </c>
      <c r="J19" t="n">
        <v>0</v>
      </c>
      <c r="K19" t="inlineStr">
        <is>
          <t>loonstaten: 6</t>
        </is>
      </c>
    </row>
    <row r="20">
      <c r="A20" t="n">
        <v>3</v>
      </c>
      <c r="B20" t="inlineStr">
        <is>
          <t>Lonen 2 · RSZ, voorheffing en personeelskosten</t>
        </is>
      </c>
      <c r="C20" t="n">
        <v>6</v>
      </c>
      <c r="D20" t="n">
        <v>0</v>
      </c>
      <c r="E20" t="n">
        <v>0</v>
      </c>
      <c r="F20" t="n">
        <v>0</v>
      </c>
      <c r="G20" t="n">
        <v>0</v>
      </c>
      <c r="H20" t="n">
        <v>0</v>
      </c>
      <c r="I20" t="n">
        <v>0</v>
      </c>
      <c r="J20" t="n">
        <v>0</v>
      </c>
      <c r="K20" t="inlineStr"/>
    </row>
    <row r="21">
      <c r="A21" t="n">
        <v>3</v>
      </c>
      <c r="B21" t="inlineStr">
        <is>
          <t>Financiële verrichtingen</t>
        </is>
      </c>
      <c r="C21" t="n">
        <v>0</v>
      </c>
      <c r="D21" t="n">
        <v>0</v>
      </c>
      <c r="E21" t="n">
        <v>0</v>
      </c>
      <c r="F21" t="n">
        <v>0</v>
      </c>
      <c r="G21" t="n">
        <v>0</v>
      </c>
      <c r="H21" t="n">
        <v>2</v>
      </c>
      <c r="I21" t="n">
        <v>0</v>
      </c>
      <c r="J21" t="n">
        <v>5</v>
      </c>
      <c r="K21" t="inlineStr"/>
    </row>
    <row r="22">
      <c r="A22" t="n">
        <v>3</v>
      </c>
      <c r="B22" t="inlineStr">
        <is>
          <t>BTW-verwerking</t>
        </is>
      </c>
      <c r="C22" t="n">
        <v>0</v>
      </c>
      <c r="D22" t="n">
        <v>0</v>
      </c>
      <c r="E22" t="n">
        <v>0</v>
      </c>
      <c r="F22" t="n">
        <v>0</v>
      </c>
      <c r="G22" t="n">
        <v>0</v>
      </c>
      <c r="H22" t="n">
        <v>0</v>
      </c>
      <c r="I22" t="n">
        <v>1</v>
      </c>
      <c r="J22" t="n">
        <v>0</v>
      </c>
      <c r="K22" t="inlineStr"/>
    </row>
    <row r="23">
      <c r="A23" t="n">
        <v>3</v>
      </c>
      <c r="B23" t="inlineStr">
        <is>
          <t>Eindejaarsverrichtingen</t>
        </is>
      </c>
      <c r="C23" t="n">
        <v>0</v>
      </c>
      <c r="D23" t="n">
        <v>0</v>
      </c>
      <c r="E23" t="n">
        <v>0</v>
      </c>
      <c r="F23" t="n">
        <v>0</v>
      </c>
      <c r="G23" t="n">
        <v>0</v>
      </c>
      <c r="H23" t="n">
        <v>0</v>
      </c>
      <c r="I23" t="n">
        <v>3</v>
      </c>
      <c r="J23" t="n">
        <v>0</v>
      </c>
      <c r="K23" t="inlineStr"/>
    </row>
    <row r="24">
      <c r="A24" t="n">
        <v>3</v>
      </c>
      <c r="B24" t="inlineStr">
        <is>
          <t>Resultaatverwerking</t>
        </is>
      </c>
      <c r="C24" t="n">
        <v>0</v>
      </c>
      <c r="D24" t="n">
        <v>0</v>
      </c>
      <c r="E24" t="n">
        <v>0</v>
      </c>
      <c r="F24" t="n">
        <v>0</v>
      </c>
      <c r="G24" t="n">
        <v>0</v>
      </c>
      <c r="H24" t="n">
        <v>0</v>
      </c>
      <c r="I24" t="n">
        <v>2</v>
      </c>
      <c r="J24" t="n">
        <v>0</v>
      </c>
      <c r="K24" t="inlineStr"/>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28"/>
  <sheetViews>
    <sheetView zoomScaleNormal="100" workbookViewId="0">
      <pane ySplit="1" topLeftCell="A2" activePane="bottomLeft" state="frozen"/>
      <selection pane="bottomLeft" activeCell="A1" sqref="A1"/>
    </sheetView>
  </sheetViews>
  <sheetFormatPr baseColWidth="8" defaultColWidth="8.6328125" defaultRowHeight="14.5"/>
  <cols>
    <col width="9" customWidth="1" min="1" max="1"/>
    <col width="32" customWidth="1" min="2" max="2"/>
    <col width="13" customWidth="1" min="3" max="3"/>
    <col width="24" customWidth="1" min="4" max="4"/>
    <col width="20" customWidth="1" min="5" max="5"/>
    <col width="17" customWidth="1" min="6" max="6"/>
    <col width="22" customWidth="1" min="7" max="7"/>
    <col width="42" customWidth="1" min="8" max="8"/>
  </cols>
  <sheetData>
    <row r="1" ht="30" customHeight="1">
      <c r="A1" s="1" t="inlineStr">
        <is>
          <t>Code</t>
        </is>
      </c>
      <c r="B1" s="1" t="inlineStr">
        <is>
          <t>Naam</t>
        </is>
      </c>
      <c r="C1" s="1" t="inlineStr">
        <is>
          <t>Rol</t>
        </is>
      </c>
      <c r="D1" s="1" t="inlineStr">
        <is>
          <t>Adres</t>
        </is>
      </c>
      <c r="E1" s="1" t="inlineStr">
        <is>
          <t>Postcode en gemeente</t>
        </is>
      </c>
      <c r="F1" s="1" t="inlineStr">
        <is>
          <t>Btw-nummer</t>
        </is>
      </c>
      <c r="G1" s="1" t="inlineStr">
        <is>
          <t>IBAN</t>
        </is>
      </c>
      <c r="H1" s="1" t="inlineStr">
        <is>
          <t>Wat doet het bedrijf?</t>
        </is>
      </c>
    </row>
    <row r="2">
      <c r="A2" s="13" t="inlineStr">
        <is>
          <t>NOOR</t>
        </is>
      </c>
      <c r="B2" s="13" t="inlineStr">
        <is>
          <t>Fietsatelier Noor bv</t>
        </is>
      </c>
      <c r="C2" s="13" t="inlineStr">
        <is>
          <t>eigen bedrijf</t>
        </is>
      </c>
      <c r="D2" s="13" t="inlineStr">
        <is>
          <t>Fietsstraat 12</t>
        </is>
      </c>
      <c r="E2" s="13" t="inlineStr">
        <is>
          <t>3000 Leuven</t>
        </is>
      </c>
      <c r="F2" s="13" t="inlineStr">
        <is>
          <t>BE 0999.000.101</t>
        </is>
      </c>
      <c r="G2" s="13" t="inlineStr">
        <is>
          <t>BE00 0000 0000 0101</t>
        </is>
      </c>
      <c r="H2" s="13" t="inlineStr">
        <is>
          <t>fietsenwinkel en -herstelling, zaakvoerder Noor Benali</t>
        </is>
      </c>
    </row>
    <row r="3">
      <c r="A3" s="13" t="inlineStr">
        <is>
          <t>VELO</t>
        </is>
      </c>
      <c r="B3" s="13" t="inlineStr">
        <is>
          <t>Velomax bv</t>
        </is>
      </c>
      <c r="C3" s="13" t="inlineStr">
        <is>
          <t>leverancier</t>
        </is>
      </c>
      <c r="D3" s="13" t="inlineStr">
        <is>
          <t>Industrieweg 8</t>
        </is>
      </c>
      <c r="E3" s="13" t="inlineStr">
        <is>
          <t>9000 Gent</t>
        </is>
      </c>
      <c r="F3" s="13" t="inlineStr">
        <is>
          <t>BE 0999.000.201</t>
        </is>
      </c>
      <c r="G3" s="13" t="inlineStr">
        <is>
          <t>BE00 0000 0000 0201</t>
        </is>
      </c>
      <c r="H3" s="13" t="inlineStr">
        <is>
          <t>groothandel fietsen</t>
        </is>
      </c>
    </row>
    <row r="4">
      <c r="A4" s="13" t="inlineStr">
        <is>
          <t>SPAAK</t>
        </is>
      </c>
      <c r="B4" s="13" t="inlineStr">
        <is>
          <t>Spaakwerk bv</t>
        </is>
      </c>
      <c r="C4" s="13" t="inlineStr">
        <is>
          <t>leverancier</t>
        </is>
      </c>
      <c r="D4" s="13" t="inlineStr">
        <is>
          <t>Zandstraat 22</t>
        </is>
      </c>
      <c r="E4" s="13" t="inlineStr">
        <is>
          <t>3500 Hasselt</t>
        </is>
      </c>
      <c r="F4" s="13" t="inlineStr">
        <is>
          <t>BE 0999.000.202</t>
        </is>
      </c>
      <c r="G4" s="13" t="inlineStr">
        <is>
          <t>BE00 0000 0000 0202</t>
        </is>
      </c>
      <c r="H4" s="13" t="inlineStr">
        <is>
          <t>groothandel onderdelen</t>
        </is>
      </c>
    </row>
    <row r="5">
      <c r="A5" s="13" t="inlineStr">
        <is>
          <t>HELM</t>
        </is>
      </c>
      <c r="B5" s="13" t="inlineStr">
        <is>
          <t>HelmHuis bv</t>
        </is>
      </c>
      <c r="C5" s="13" t="inlineStr">
        <is>
          <t>leverancier</t>
        </is>
      </c>
      <c r="D5" s="13" t="inlineStr">
        <is>
          <t>Kortrijksesteenweg 101</t>
        </is>
      </c>
      <c r="E5" s="13" t="inlineStr">
        <is>
          <t>8500 Kortrijk</t>
        </is>
      </c>
      <c r="F5" s="13" t="inlineStr">
        <is>
          <t>BE 0999.000.203</t>
        </is>
      </c>
      <c r="G5" s="13" t="inlineStr">
        <is>
          <t>BE00 0000 0000 0203</t>
        </is>
      </c>
      <c r="H5" s="13" t="inlineStr">
        <is>
          <t>groothandel helmen en sloten</t>
        </is>
      </c>
    </row>
    <row r="6">
      <c r="A6" s="13" t="inlineStr">
        <is>
          <t>STROOM</t>
        </is>
      </c>
      <c r="B6" s="13" t="inlineStr">
        <is>
          <t>Stroomkracht nv</t>
        </is>
      </c>
      <c r="C6" s="13" t="inlineStr">
        <is>
          <t>leverancier</t>
        </is>
      </c>
      <c r="D6" s="13" t="inlineStr">
        <is>
          <t>Energielaan 1</t>
        </is>
      </c>
      <c r="E6" s="13" t="inlineStr">
        <is>
          <t>1000 Brussel</t>
        </is>
      </c>
      <c r="F6" s="13" t="inlineStr">
        <is>
          <t>BE 0999.000.204</t>
        </is>
      </c>
      <c r="G6" s="13" t="inlineStr">
        <is>
          <t>BE00 0000 0000 0204</t>
        </is>
      </c>
      <c r="H6" s="13" t="inlineStr">
        <is>
          <t>energieleverancier</t>
        </is>
      </c>
    </row>
    <row r="7">
      <c r="A7" s="13" t="inlineStr">
        <is>
          <t>NET</t>
        </is>
      </c>
      <c r="B7" s="13" t="inlineStr">
        <is>
          <t>Netlink bv</t>
        </is>
      </c>
      <c r="C7" s="13" t="inlineStr">
        <is>
          <t>leverancier</t>
        </is>
      </c>
      <c r="D7" s="13" t="inlineStr">
        <is>
          <t>Antwerpsesteenweg 5</t>
        </is>
      </c>
      <c r="E7" s="13" t="inlineStr">
        <is>
          <t>2800 Mechelen</t>
        </is>
      </c>
      <c r="F7" s="13" t="inlineStr">
        <is>
          <t>BE 0999.000.205</t>
        </is>
      </c>
      <c r="G7" s="13" t="inlineStr">
        <is>
          <t>BE00 0000 0000 0205</t>
        </is>
      </c>
      <c r="H7" s="13" t="inlineStr">
        <is>
          <t>internet en telefonie</t>
        </is>
      </c>
    </row>
    <row r="8">
      <c r="A8" s="13" t="inlineStr">
        <is>
          <t>PEET</t>
        </is>
      </c>
      <c r="B8" s="13" t="inlineStr">
        <is>
          <t>Drukkerij Peeters bv</t>
        </is>
      </c>
      <c r="C8" s="13" t="inlineStr">
        <is>
          <t>leverancier</t>
        </is>
      </c>
      <c r="D8" s="13" t="inlineStr">
        <is>
          <t>Diestsestraat 77</t>
        </is>
      </c>
      <c r="E8" s="13" t="inlineStr">
        <is>
          <t>3000 Leuven</t>
        </is>
      </c>
      <c r="F8" s="13" t="inlineStr">
        <is>
          <t>BE 0999.000.206</t>
        </is>
      </c>
      <c r="G8" s="13" t="inlineStr">
        <is>
          <t>BE00 0000 0000 0206</t>
        </is>
      </c>
      <c r="H8" s="13" t="inlineStr">
        <is>
          <t>drukwerk en reclame</t>
        </is>
      </c>
    </row>
    <row r="9">
      <c r="A9" s="13" t="inlineStr">
        <is>
          <t>NOWAK</t>
        </is>
      </c>
      <c r="B9" s="13" t="inlineStr">
        <is>
          <t>Boekhoudkantoor Nowak</t>
        </is>
      </c>
      <c r="C9" s="13" t="inlineStr">
        <is>
          <t>leverancier</t>
        </is>
      </c>
      <c r="D9" s="13" t="inlineStr">
        <is>
          <t>Tiensesteenweg 150</t>
        </is>
      </c>
      <c r="E9" s="13" t="inlineStr">
        <is>
          <t>3010 Kessel-Lo</t>
        </is>
      </c>
      <c r="F9" s="13" t="inlineStr">
        <is>
          <t>BE 0999.000.207</t>
        </is>
      </c>
      <c r="G9" s="13" t="inlineStr">
        <is>
          <t>BE00 0000 0000 0207</t>
        </is>
      </c>
      <c r="H9" s="13" t="inlineStr">
        <is>
          <t>boekhouder (Marta Nowak)</t>
        </is>
      </c>
    </row>
    <row r="10">
      <c r="A10" s="13" t="inlineStr">
        <is>
          <t>DEPREZ</t>
        </is>
      </c>
      <c r="B10" s="13" t="inlineStr">
        <is>
          <t>Deprez Werkplaatsinrichting bv</t>
        </is>
      </c>
      <c r="C10" s="13" t="inlineStr">
        <is>
          <t>leverancier</t>
        </is>
      </c>
      <c r="D10" s="13" t="inlineStr">
        <is>
          <t>Ninoofsesteenweg 40</t>
        </is>
      </c>
      <c r="E10" s="13" t="inlineStr">
        <is>
          <t>1700 Dilbeek</t>
        </is>
      </c>
      <c r="F10" s="13" t="inlineStr">
        <is>
          <t>BE 0999.000.208</t>
        </is>
      </c>
      <c r="G10" s="13" t="inlineStr">
        <is>
          <t>BE00 0000 0000 0208</t>
        </is>
      </c>
      <c r="H10" s="13" t="inlineStr">
        <is>
          <t>werkbanken en montagestandaards</t>
        </is>
      </c>
    </row>
    <row r="11">
      <c r="A11" s="13" t="inlineStr">
        <is>
          <t>KASSA</t>
        </is>
      </c>
      <c r="B11" s="13" t="inlineStr">
        <is>
          <t>Kassatech bv</t>
        </is>
      </c>
      <c r="C11" s="13" t="inlineStr">
        <is>
          <t>leverancier</t>
        </is>
      </c>
      <c r="D11" s="13" t="inlineStr">
        <is>
          <t>Researchpark 3</t>
        </is>
      </c>
      <c r="E11" s="13" t="inlineStr">
        <is>
          <t>3001 Heverlee</t>
        </is>
      </c>
      <c r="F11" s="13" t="inlineStr">
        <is>
          <t>BE 0999.000.209</t>
        </is>
      </c>
      <c r="G11" s="13" t="inlineStr">
        <is>
          <t>BE00 0000 0000 0209</t>
        </is>
      </c>
      <c r="H11" s="13" t="inlineStr">
        <is>
          <t>kassasystemen en computers</t>
        </is>
      </c>
    </row>
    <row r="12">
      <c r="A12" s="13" t="inlineStr">
        <is>
          <t>MOREAU</t>
        </is>
      </c>
      <c r="B12" s="13" t="inlineStr">
        <is>
          <t>Garage Moreau bv</t>
        </is>
      </c>
      <c r="C12" s="13" t="inlineStr">
        <is>
          <t>leverancier</t>
        </is>
      </c>
      <c r="D12" s="13" t="inlineStr">
        <is>
          <t>Waversesteenweg 200</t>
        </is>
      </c>
      <c r="E12" s="13" t="inlineStr">
        <is>
          <t>3090 Overijse</t>
        </is>
      </c>
      <c r="F12" s="13" t="inlineStr">
        <is>
          <t>BE 0999.000.210</t>
        </is>
      </c>
      <c r="G12" s="13" t="inlineStr">
        <is>
          <t>BE00 0000 0000 0210</t>
        </is>
      </c>
      <c r="H12" s="13" t="inlineStr">
        <is>
          <t>bestelwagens</t>
        </is>
      </c>
    </row>
    <row r="13">
      <c r="A13" s="13" t="inlineStr">
        <is>
          <t>SNEL</t>
        </is>
      </c>
      <c r="B13" s="13" t="inlineStr">
        <is>
          <t>Snelpost bv</t>
        </is>
      </c>
      <c r="C13" s="13" t="inlineStr">
        <is>
          <t>klant</t>
        </is>
      </c>
      <c r="D13" s="13" t="inlineStr">
        <is>
          <t>Havenlaan 40</t>
        </is>
      </c>
      <c r="E13" s="13" t="inlineStr">
        <is>
          <t>2000 Antwerpen</t>
        </is>
      </c>
      <c r="F13" s="13" t="inlineStr">
        <is>
          <t>BE 0999.000.301</t>
        </is>
      </c>
      <c r="G13" s="13" t="inlineStr">
        <is>
          <t>BE00 0000 0000 0301</t>
        </is>
      </c>
      <c r="H13" s="13" t="inlineStr">
        <is>
          <t>koeriersbedrijf met fietskoeriers</t>
        </is>
      </c>
    </row>
    <row r="14">
      <c r="A14" s="13" t="inlineStr">
        <is>
          <t>LINDE</t>
        </is>
      </c>
      <c r="B14" s="13" t="inlineStr">
        <is>
          <t>Hotel De Linde bv</t>
        </is>
      </c>
      <c r="C14" s="13" t="inlineStr">
        <is>
          <t>klant</t>
        </is>
      </c>
      <c r="D14" s="13" t="inlineStr">
        <is>
          <t>Grote Markt 5</t>
        </is>
      </c>
      <c r="E14" s="13" t="inlineStr">
        <is>
          <t>3290 Diest</t>
        </is>
      </c>
      <c r="F14" s="13" t="inlineStr">
        <is>
          <t>BE 0999.000.302</t>
        </is>
      </c>
      <c r="G14" s="13" t="inlineStr">
        <is>
          <t>BE00 0000 0000 0302</t>
        </is>
      </c>
      <c r="H14" s="13" t="inlineStr">
        <is>
          <t>hotel met fietsverhuur</t>
        </is>
      </c>
    </row>
    <row r="15">
      <c r="A15" s="13" t="inlineStr">
        <is>
          <t>VELOC</t>
        </is>
      </c>
      <c r="B15" s="13" t="inlineStr">
        <is>
          <t>Velocity Deelfietsen bv</t>
        </is>
      </c>
      <c r="C15" s="13" t="inlineStr">
        <is>
          <t>klant</t>
        </is>
      </c>
      <c r="D15" s="13" t="inlineStr">
        <is>
          <t>Stationsplein 1</t>
        </is>
      </c>
      <c r="E15" s="13" t="inlineStr">
        <is>
          <t>3000 Leuven</t>
        </is>
      </c>
      <c r="F15" s="13" t="inlineStr">
        <is>
          <t>BE 0999.000.303</t>
        </is>
      </c>
      <c r="G15" s="13" t="inlineStr">
        <is>
          <t>BE00 0000 0000 0303</t>
        </is>
      </c>
      <c r="H15" s="13" t="inlineStr">
        <is>
          <t>deelfietsen</t>
        </is>
      </c>
    </row>
    <row r="16">
      <c r="A16" s="13" t="inlineStr">
        <is>
          <t>JANS</t>
        </is>
      </c>
      <c r="B16" s="13" t="inlineStr">
        <is>
          <t>Bouwbedrijf Janssens &amp; Zonen bv</t>
        </is>
      </c>
      <c r="C16" s="13" t="inlineStr">
        <is>
          <t>klant</t>
        </is>
      </c>
      <c r="D16" s="13" t="inlineStr">
        <is>
          <t>Industriezone 14</t>
        </is>
      </c>
      <c r="E16" s="13" t="inlineStr">
        <is>
          <t>3200 Aarschot</t>
        </is>
      </c>
      <c r="F16" s="13" t="inlineStr">
        <is>
          <t>BE 0999.000.304</t>
        </is>
      </c>
      <c r="G16" s="13" t="inlineStr">
        <is>
          <t>BE00 0000 0000 0304</t>
        </is>
      </c>
      <c r="H16" s="13" t="inlineStr">
        <is>
          <t>bouwbedrijf, fietsen voor personeel</t>
        </is>
      </c>
    </row>
    <row r="17">
      <c r="A17" s="13" t="inlineStr">
        <is>
          <t>DUBOIS</t>
        </is>
      </c>
      <c r="B17" s="13" t="inlineStr">
        <is>
          <t>Architectenbureau Dubois srl</t>
        </is>
      </c>
      <c r="C17" s="13" t="inlineStr">
        <is>
          <t>klant</t>
        </is>
      </c>
      <c r="D17" s="13" t="inlineStr">
        <is>
          <t>Rue de Namur 10</t>
        </is>
      </c>
      <c r="E17" s="13" t="inlineStr">
        <is>
          <t>1300 Wavre</t>
        </is>
      </c>
      <c r="F17" s="13" t="inlineStr">
        <is>
          <t>BE 0999.000.305</t>
        </is>
      </c>
      <c r="G17" s="13" t="inlineStr">
        <is>
          <t>BE00 0000 0000 0305</t>
        </is>
      </c>
      <c r="H17" s="13" t="inlineStr">
        <is>
          <t>architectenbureau (Élise Dubois)</t>
        </is>
      </c>
    </row>
    <row r="18">
      <c r="A18" s="13" t="inlineStr">
        <is>
          <t>SILVA</t>
        </is>
      </c>
      <c r="B18" s="13" t="inlineStr">
        <is>
          <t>Koffiebar Da Silva</t>
        </is>
      </c>
      <c r="C18" s="13" t="inlineStr">
        <is>
          <t>klant</t>
        </is>
      </c>
      <c r="D18" s="13" t="inlineStr">
        <is>
          <t>Muntstraat 9</t>
        </is>
      </c>
      <c r="E18" s="13" t="inlineStr">
        <is>
          <t>3000 Leuven</t>
        </is>
      </c>
      <c r="F18" s="13" t="inlineStr">
        <is>
          <t>BE 0999.000.306</t>
        </is>
      </c>
      <c r="G18" s="13" t="inlineStr">
        <is>
          <t>BE00 0000 0000 0306</t>
        </is>
      </c>
      <c r="H18" s="13" t="inlineStr">
        <is>
          <t>koffiebar (Rui Da Silva)</t>
        </is>
      </c>
    </row>
    <row r="19">
      <c r="A19" s="13" t="inlineStr">
        <is>
          <t>BYTE</t>
        </is>
      </c>
      <c r="B19" s="13" t="inlineStr">
        <is>
          <t>Bytewise bv</t>
        </is>
      </c>
      <c r="C19" s="13" t="inlineStr">
        <is>
          <t>klant</t>
        </is>
      </c>
      <c r="D19" s="13" t="inlineStr">
        <is>
          <t>Kapeldreef 60</t>
        </is>
      </c>
      <c r="E19" s="13" t="inlineStr">
        <is>
          <t>3001 Heverlee</t>
        </is>
      </c>
      <c r="F19" s="13" t="inlineStr">
        <is>
          <t>BE 0999.000.307</t>
        </is>
      </c>
      <c r="G19" s="13" t="inlineStr">
        <is>
          <t>BE00 0000 0000 0307</t>
        </is>
      </c>
      <c r="H19" s="13" t="inlineStr">
        <is>
          <t>IT-bedrijf</t>
        </is>
      </c>
    </row>
    <row r="20">
      <c r="A20" s="13" t="inlineStr">
        <is>
          <t>VLIND</t>
        </is>
      </c>
      <c r="B20" s="13" t="inlineStr">
        <is>
          <t>Camping De Vlinder bv</t>
        </is>
      </c>
      <c r="C20" s="13" t="inlineStr">
        <is>
          <t>klant</t>
        </is>
      </c>
      <c r="D20" s="13" t="inlineStr">
        <is>
          <t>Kempenweg 2</t>
        </is>
      </c>
      <c r="E20" s="13" t="inlineStr">
        <is>
          <t>2400 Mol</t>
        </is>
      </c>
      <c r="F20" s="13" t="inlineStr">
        <is>
          <t>BE 0999.000.308</t>
        </is>
      </c>
      <c r="G20" s="13" t="inlineStr">
        <is>
          <t>BE00 0000 0000 0308</t>
        </is>
      </c>
      <c r="H20" s="13" t="inlineStr">
        <is>
          <t>camping met fietsverhuur</t>
        </is>
      </c>
    </row>
    <row r="21">
      <c r="A21" s="13" t="inlineStr">
        <is>
          <t>KOWAL</t>
        </is>
      </c>
      <c r="B21" s="13" t="inlineStr">
        <is>
          <t>Studio Kowalski bv</t>
        </is>
      </c>
      <c r="C21" s="13" t="inlineStr">
        <is>
          <t>klant</t>
        </is>
      </c>
      <c r="D21" s="13" t="inlineStr">
        <is>
          <t>Bondgenotenlaan 100</t>
        </is>
      </c>
      <c r="E21" s="13" t="inlineStr">
        <is>
          <t>3000 Leuven</t>
        </is>
      </c>
      <c r="F21" s="13" t="inlineStr">
        <is>
          <t>BE 0999.000.309</t>
        </is>
      </c>
      <c r="G21" s="13" t="inlineStr">
        <is>
          <t>BE00 0000 0000 0309</t>
        </is>
      </c>
      <c r="H21" s="13" t="inlineStr">
        <is>
          <t>ontwerpbureau (Piotr Kowalski)</t>
        </is>
      </c>
    </row>
    <row r="22">
      <c r="A22" s="13" t="inlineStr">
        <is>
          <t>ACKER</t>
        </is>
      </c>
      <c r="B22" s="13" t="inlineStr">
        <is>
          <t>Brouwerij Van Acker bv</t>
        </is>
      </c>
      <c r="C22" s="13" t="inlineStr">
        <is>
          <t>klant</t>
        </is>
      </c>
      <c r="D22" s="13" t="inlineStr">
        <is>
          <t>Brouwerijstraat 3</t>
        </is>
      </c>
      <c r="E22" s="13" t="inlineStr">
        <is>
          <t>3150 Haacht</t>
        </is>
      </c>
      <c r="F22" s="13" t="inlineStr">
        <is>
          <t>BE 0999.000.310</t>
        </is>
      </c>
      <c r="G22" s="13" t="inlineStr">
        <is>
          <t>BE00 0000 0000 0310</t>
        </is>
      </c>
      <c r="H22" s="13" t="inlineStr">
        <is>
          <t>brouwerij</t>
        </is>
      </c>
    </row>
    <row r="23">
      <c r="A23" s="13" t="inlineStr">
        <is>
          <t>ZONNE</t>
        </is>
      </c>
      <c r="B23" s="13" t="inlineStr">
        <is>
          <t>Woonzorgcentrum Zonnehof vzw</t>
        </is>
      </c>
      <c r="C23" s="13" t="inlineStr">
        <is>
          <t>klant</t>
        </is>
      </c>
      <c r="D23" s="13" t="inlineStr">
        <is>
          <t>Kloosterweg 3</t>
        </is>
      </c>
      <c r="E23" s="13" t="inlineStr">
        <is>
          <t>3020 Herent</t>
        </is>
      </c>
      <c r="F23" s="13" t="inlineStr">
        <is>
          <t>BE 0999.000.311</t>
        </is>
      </c>
      <c r="G23" s="13" t="inlineStr">
        <is>
          <t>BE00 0000 0000 0311</t>
        </is>
      </c>
      <c r="H23" s="13" t="inlineStr">
        <is>
          <t>woonzorgcentrum</t>
        </is>
      </c>
    </row>
    <row r="24">
      <c r="A24" s="13" t="inlineStr">
        <is>
          <t>BANK</t>
        </is>
      </c>
      <c r="B24" s="13" t="inlineStr">
        <is>
          <t>Banco Leuven</t>
        </is>
      </c>
      <c r="C24" s="13" t="inlineStr">
        <is>
          <t>bank</t>
        </is>
      </c>
      <c r="D24" s="13" t="inlineStr">
        <is>
          <t>Ladeuzeplein 1</t>
        </is>
      </c>
      <c r="E24" s="13" t="inlineStr">
        <is>
          <t>3000 Leuven</t>
        </is>
      </c>
      <c r="F24" s="13" t="n"/>
      <c r="G24" s="13" t="n"/>
      <c r="H24" s="13" t="inlineStr">
        <is>
          <t>bank van Noor, ook kredietgever</t>
        </is>
      </c>
    </row>
    <row r="25">
      <c r="A25" t="inlineStr">
        <is>
          <t>LOONW</t>
        </is>
      </c>
      <c r="B25" t="inlineStr">
        <is>
          <t>Loonwijs vzw</t>
        </is>
      </c>
      <c r="C25" t="inlineStr">
        <is>
          <t>leverancier</t>
        </is>
      </c>
      <c r="D25" t="inlineStr">
        <is>
          <t>Brusselsesteenweg 61</t>
        </is>
      </c>
      <c r="E25" t="inlineStr">
        <is>
          <t>3000 Leuven</t>
        </is>
      </c>
      <c r="F25" t="inlineStr">
        <is>
          <t>BE 0999.000.211</t>
        </is>
      </c>
      <c r="G25" t="inlineStr">
        <is>
          <t>BE00 0000 0000 0211</t>
        </is>
      </c>
      <c r="H25" t="inlineStr">
        <is>
          <t>sociaal secretariaat (vanaf jaar 3)</t>
        </is>
      </c>
    </row>
    <row r="26">
      <c r="A26" t="inlineStr">
        <is>
          <t>GERZO</t>
        </is>
      </c>
      <c r="B26" t="inlineStr">
        <is>
          <t>Gerzo Verzekeringen nv</t>
        </is>
      </c>
      <c r="C26" t="inlineStr">
        <is>
          <t>leverancier</t>
        </is>
      </c>
      <c r="D26" t="inlineStr">
        <is>
          <t>Martelarenplein 9</t>
        </is>
      </c>
      <c r="E26" t="inlineStr">
        <is>
          <t>3000 Leuven</t>
        </is>
      </c>
      <c r="F26" t="inlineStr">
        <is>
          <t>BE 0999.000.212</t>
        </is>
      </c>
      <c r="G26" t="inlineStr">
        <is>
          <t>BE00 0000 0000 0212</t>
        </is>
      </c>
      <c r="H26" t="inlineStr">
        <is>
          <t>verzekeraar (bestelwagen, arbeidsongevallen) (vanaf jaar 3)</t>
        </is>
      </c>
    </row>
    <row r="27">
      <c r="A27" t="inlineStr">
        <is>
          <t>VAART</t>
        </is>
      </c>
      <c r="B27" t="inlineStr">
        <is>
          <t>Immo Vaartkom bv</t>
        </is>
      </c>
      <c r="C27" t="inlineStr">
        <is>
          <t>leverancier</t>
        </is>
      </c>
      <c r="D27" t="inlineStr">
        <is>
          <t>Vaartkom 30</t>
        </is>
      </c>
      <c r="E27" t="inlineStr">
        <is>
          <t>3000 Leuven</t>
        </is>
      </c>
      <c r="F27" t="inlineStr">
        <is>
          <t>BE 0999.000.213</t>
        </is>
      </c>
      <c r="G27" t="inlineStr">
        <is>
          <t>BE00 0000 0000 0213</t>
        </is>
      </c>
      <c r="H27" t="inlineStr">
        <is>
          <t>verhuurt de opslagruimte naast de winkel (vanaf jaar 3)</t>
        </is>
      </c>
    </row>
    <row r="28">
      <c r="A28" t="inlineStr">
        <is>
          <t>PREV</t>
        </is>
      </c>
      <c r="B28" t="inlineStr">
        <is>
          <t>Preventa vzw</t>
        </is>
      </c>
      <c r="C28" t="inlineStr">
        <is>
          <t>leverancier</t>
        </is>
      </c>
      <c r="D28" t="inlineStr">
        <is>
          <t>Diestsevest 14</t>
        </is>
      </c>
      <c r="E28" t="inlineStr">
        <is>
          <t>3000 Leuven</t>
        </is>
      </c>
      <c r="F28" t="inlineStr">
        <is>
          <t>BE 0999.000.214</t>
        </is>
      </c>
      <c r="G28" t="inlineStr">
        <is>
          <t>BE00 0000 0000 0214</t>
        </is>
      </c>
      <c r="H28" t="inlineStr">
        <is>
          <t>externe dienst voor preventie en bescherming op het werk (vanaf jaar 3)</t>
        </is>
      </c>
    </row>
  </sheetData>
  <autoFilter ref="A1:H24"/>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G14"/>
  <sheetViews>
    <sheetView zoomScaleNormal="100" workbookViewId="0">
      <pane ySplit="1" topLeftCell="A2" activePane="bottomLeft" state="frozen"/>
      <selection pane="bottomLeft" activeCell="A1" sqref="A1"/>
    </sheetView>
  </sheetViews>
  <sheetFormatPr baseColWidth="8" defaultColWidth="8.6328125" defaultRowHeight="14.5"/>
  <cols>
    <col width="9" customWidth="1" min="1" max="1"/>
    <col width="32" customWidth="1" min="2" max="2"/>
    <col width="18" customWidth="1" min="3" max="3"/>
    <col width="14" customWidth="1" min="4" max="5"/>
    <col width="8" customWidth="1" min="6" max="6"/>
    <col width="16" customWidth="1" min="7" max="7"/>
  </cols>
  <sheetData>
    <row r="1" ht="30" customHeight="1">
      <c r="A1" s="1" t="inlineStr">
        <is>
          <t>Code</t>
        </is>
      </c>
      <c r="B1" s="1" t="inlineStr">
        <is>
          <t>Omschrijving</t>
        </is>
      </c>
      <c r="C1" s="1" t="inlineStr">
        <is>
          <t>Leverancier</t>
        </is>
      </c>
      <c r="D1" s="1" t="inlineStr">
        <is>
          <t>Aankoopprijs excl. btw</t>
        </is>
      </c>
      <c r="E1" s="1" t="inlineStr">
        <is>
          <t>Verkoopprijs excl. btw</t>
        </is>
      </c>
      <c r="F1" s="1" t="inlineStr">
        <is>
          <t>Btw</t>
        </is>
      </c>
      <c r="G1" s="1" t="inlineStr">
        <is>
          <t>Verkoopprijs incl. btw (particulier)</t>
        </is>
      </c>
    </row>
    <row r="2">
      <c r="A2" s="13" t="inlineStr">
        <is>
          <t>STAD</t>
        </is>
      </c>
      <c r="B2" s="13" t="inlineStr">
        <is>
          <t>Stadsfiets City, 7 versnellingen</t>
        </is>
      </c>
      <c r="C2" s="13" t="inlineStr">
        <is>
          <t>Velomax bv</t>
        </is>
      </c>
      <c r="D2" s="14" t="n">
        <v>400</v>
      </c>
      <c r="E2" s="14" t="n">
        <v>600</v>
      </c>
      <c r="F2" s="15" t="n">
        <v>0.21</v>
      </c>
      <c r="G2" s="14">
        <f>E2*(1+F2)</f>
        <v/>
      </c>
    </row>
    <row r="3">
      <c r="A3" s="13" t="inlineStr">
        <is>
          <t>EBIKE</t>
        </is>
      </c>
      <c r="B3" s="13" t="inlineStr">
        <is>
          <t>E-bike Comfort, 500 Wh</t>
        </is>
      </c>
      <c r="C3" s="13" t="inlineStr">
        <is>
          <t>Velomax bv</t>
        </is>
      </c>
      <c r="D3" s="14" t="n">
        <v>1400</v>
      </c>
      <c r="E3" s="14" t="n">
        <v>2000</v>
      </c>
      <c r="F3" s="15" t="n">
        <v>0.21</v>
      </c>
      <c r="G3" s="14">
        <f>E3*(1+F3)</f>
        <v/>
      </c>
    </row>
    <row r="4">
      <c r="A4" s="13" t="inlineStr">
        <is>
          <t>BAK</t>
        </is>
      </c>
      <c r="B4" s="13" t="inlineStr">
        <is>
          <t>Bakfiets Cargo, 2 wielen</t>
        </is>
      </c>
      <c r="C4" s="13" t="inlineStr">
        <is>
          <t>Velomax bv</t>
        </is>
      </c>
      <c r="D4" s="14" t="n">
        <v>1800</v>
      </c>
      <c r="E4" s="14" t="n">
        <v>2600</v>
      </c>
      <c r="F4" s="15" t="n">
        <v>0.21</v>
      </c>
      <c r="G4" s="14">
        <f>E4*(1+F4)</f>
        <v/>
      </c>
    </row>
    <row r="5">
      <c r="A5" s="13" t="inlineStr">
        <is>
          <t>KIND</t>
        </is>
      </c>
      <c r="B5" s="13" t="inlineStr">
        <is>
          <t>Kinderfiets 20 inch</t>
        </is>
      </c>
      <c r="C5" s="13" t="inlineStr">
        <is>
          <t>Velomax bv</t>
        </is>
      </c>
      <c r="D5" s="14" t="n">
        <v>150</v>
      </c>
      <c r="E5" s="14" t="n">
        <v>250</v>
      </c>
      <c r="F5" s="15" t="n">
        <v>0.21</v>
      </c>
      <c r="G5" s="14">
        <f>E5*(1+F5)</f>
        <v/>
      </c>
    </row>
    <row r="6">
      <c r="A6" s="13" t="inlineStr">
        <is>
          <t>HELM</t>
        </is>
      </c>
      <c r="B6" s="13" t="inlineStr">
        <is>
          <t>Fietshelm Urban</t>
        </is>
      </c>
      <c r="C6" s="13" t="inlineStr">
        <is>
          <t>HelmHuis bv</t>
        </is>
      </c>
      <c r="D6" s="14" t="n">
        <v>30</v>
      </c>
      <c r="E6" s="14" t="n">
        <v>50</v>
      </c>
      <c r="F6" s="15" t="n">
        <v>0.21</v>
      </c>
      <c r="G6" s="14">
        <f>E6*(1+F6)</f>
        <v/>
      </c>
    </row>
    <row r="7">
      <c r="A7" s="13" t="inlineStr">
        <is>
          <t>SLOT</t>
        </is>
      </c>
      <c r="B7" s="13" t="inlineStr">
        <is>
          <t>Plooislot</t>
        </is>
      </c>
      <c r="C7" s="13" t="inlineStr">
        <is>
          <t>HelmHuis bv</t>
        </is>
      </c>
      <c r="D7" s="14" t="n">
        <v>20</v>
      </c>
      <c r="E7" s="14" t="n">
        <v>35</v>
      </c>
      <c r="F7" s="15" t="n">
        <v>0.21</v>
      </c>
      <c r="G7" s="14">
        <f>E7*(1+F7)</f>
        <v/>
      </c>
    </row>
    <row r="8">
      <c r="A8" s="13" t="inlineStr">
        <is>
          <t>BAND</t>
        </is>
      </c>
      <c r="B8" s="13" t="inlineStr">
        <is>
          <t>Buitenband 28 inch</t>
        </is>
      </c>
      <c r="C8" s="13" t="inlineStr">
        <is>
          <t>Spaakwerk bv</t>
        </is>
      </c>
      <c r="D8" s="14" t="n">
        <v>15</v>
      </c>
      <c r="E8" s="14" t="n">
        <v>25</v>
      </c>
      <c r="F8" s="15" t="n">
        <v>0.21</v>
      </c>
      <c r="G8" s="14">
        <f>E8*(1+F8)</f>
        <v/>
      </c>
    </row>
    <row r="9">
      <c r="A9" s="13" t="inlineStr">
        <is>
          <t>KET</t>
        </is>
      </c>
      <c r="B9" s="13" t="inlineStr">
        <is>
          <t>Fietsketting 8 speed</t>
        </is>
      </c>
      <c r="C9" s="13" t="inlineStr">
        <is>
          <t>Spaakwerk bv</t>
        </is>
      </c>
      <c r="D9" s="14" t="n">
        <v>10</v>
      </c>
      <c r="E9" s="14" t="n">
        <v>20</v>
      </c>
      <c r="F9" s="15" t="n">
        <v>0.21</v>
      </c>
      <c r="G9" s="14">
        <f>E9*(1+F9)</f>
        <v/>
      </c>
    </row>
    <row r="10">
      <c r="A10" s="13" t="inlineStr">
        <is>
          <t>LAMP</t>
        </is>
      </c>
      <c r="B10" s="13" t="inlineStr">
        <is>
          <t>Verlichtingsset LED</t>
        </is>
      </c>
      <c r="C10" s="13" t="inlineStr">
        <is>
          <t>Spaakwerk bv</t>
        </is>
      </c>
      <c r="D10" s="14" t="n">
        <v>25</v>
      </c>
      <c r="E10" s="14" t="n">
        <v>40</v>
      </c>
      <c r="F10" s="15" t="n">
        <v>0.21</v>
      </c>
      <c r="G10" s="14">
        <f>E10*(1+F10)</f>
        <v/>
      </c>
    </row>
    <row r="12">
      <c r="A12" s="2" t="inlineStr">
        <is>
          <t>Diensten</t>
        </is>
      </c>
    </row>
    <row r="13">
      <c r="A13" s="13" t="inlineStr">
        <is>
          <t>HERST</t>
        </is>
      </c>
      <c r="B13" s="13" t="inlineStr">
        <is>
          <t>Herstelling (arbeid, per stuk)</t>
        </is>
      </c>
      <c r="E13" s="14" t="n">
        <v>50</v>
      </c>
      <c r="F13" s="15" t="n">
        <v>0.06</v>
      </c>
      <c r="G13" s="14">
        <f>E13*(1+F13)</f>
        <v/>
      </c>
    </row>
    <row r="14">
      <c r="A14" s="13" t="inlineStr">
        <is>
          <t>ONDH</t>
        </is>
      </c>
      <c r="B14" s="13" t="inlineStr">
        <is>
          <t>Onderhoudsbeurt (arbeid, per fiets)</t>
        </is>
      </c>
      <c r="E14" s="14" t="n">
        <v>60</v>
      </c>
      <c r="F14" s="15" t="n">
        <v>0.06</v>
      </c>
      <c r="G14" s="14">
        <f>E14*(1+F14)</f>
        <v/>
      </c>
    </row>
  </sheetData>
  <autoFilter ref="A1:G14"/>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H60"/>
  <sheetViews>
    <sheetView zoomScaleNormal="100" workbookViewId="0">
      <pane ySplit="1" topLeftCell="A2" activePane="bottomLeft" state="frozen"/>
      <selection pane="bottomLeft" activeCell="A1" sqref="A1"/>
    </sheetView>
  </sheetViews>
  <sheetFormatPr baseColWidth="8" defaultColWidth="8.6328125" defaultRowHeight="14.5"/>
  <cols>
    <col width="11" customWidth="1" min="1" max="1"/>
    <col width="48" customWidth="1" min="2" max="2"/>
    <col width="9" customWidth="1" min="3" max="3"/>
    <col width="8" customWidth="1" min="4" max="4"/>
    <col width="34" customWidth="1" min="5" max="5"/>
    <col width="8" customWidth="1" min="6" max="6"/>
    <col width="36" customWidth="1" min="7" max="7"/>
    <col width="18" customWidth="1" min="8" max="8"/>
  </cols>
  <sheetData>
    <row r="1" ht="30" customHeight="1">
      <c r="A1" s="1" t="inlineStr">
        <is>
          <t>Rekening</t>
        </is>
      </c>
      <c r="B1" s="1" t="inlineStr">
        <is>
          <t>Naam</t>
        </is>
      </c>
      <c r="C1" s="1" t="inlineStr">
        <is>
          <t>A/P/K/O</t>
        </is>
      </c>
      <c r="D1" s="1" t="inlineStr">
        <is>
          <t>Klasse</t>
        </is>
      </c>
      <c r="E1" s="1" t="inlineStr">
        <is>
          <t>Klasse omschrijving</t>
        </is>
      </c>
      <c r="F1" s="1" t="inlineStr">
        <is>
          <t>Rubriek</t>
        </is>
      </c>
      <c r="G1" s="1" t="inlineStr">
        <is>
          <t>Rubriek omschrijving</t>
        </is>
      </c>
      <c r="H1" s="1" t="inlineStr">
        <is>
          <t>Gebruikt in de case</t>
        </is>
      </c>
    </row>
    <row r="2">
      <c r="A2" s="13" t="n">
        <v>100000</v>
      </c>
      <c r="B2" s="13" t="inlineStr">
        <is>
          <t>Geplaatst kapitaal</t>
        </is>
      </c>
      <c r="C2" s="13" t="inlineStr">
        <is>
          <t>P</t>
        </is>
      </c>
      <c r="D2" s="13" t="n">
        <v>1</v>
      </c>
      <c r="E2" s="13" t="inlineStr">
        <is>
          <t>Eigen vermogen</t>
        </is>
      </c>
      <c r="F2" s="13" t="n">
        <v>10</v>
      </c>
      <c r="G2" s="13" t="inlineStr">
        <is>
          <t>Kapitaal</t>
        </is>
      </c>
      <c r="H2" s="13" t="inlineStr">
        <is>
          <t>openingsbalans</t>
        </is>
      </c>
    </row>
    <row r="3">
      <c r="A3" s="13" t="n">
        <v>140000</v>
      </c>
      <c r="B3" s="13" t="inlineStr">
        <is>
          <t>Overgedragen winst</t>
        </is>
      </c>
      <c r="C3" s="13" t="inlineStr">
        <is>
          <t>P</t>
        </is>
      </c>
      <c r="D3" s="13" t="n">
        <v>1</v>
      </c>
      <c r="E3" s="13" t="inlineStr">
        <is>
          <t>Eigen vermogen</t>
        </is>
      </c>
      <c r="F3" s="13" t="n">
        <v>14</v>
      </c>
      <c r="G3" s="13" t="inlineStr">
        <is>
          <t>Overgedragen resultaat</t>
        </is>
      </c>
      <c r="H3" s="13" t="inlineStr">
        <is>
          <t>jaar 1 + jaar 2</t>
        </is>
      </c>
    </row>
    <row r="4">
      <c r="A4" s="13" t="n">
        <v>141000</v>
      </c>
      <c r="B4" s="13" t="inlineStr">
        <is>
          <t>Overgedragen verlies (-)</t>
        </is>
      </c>
      <c r="C4" s="13" t="inlineStr">
        <is>
          <t>P</t>
        </is>
      </c>
      <c r="D4" s="13" t="n">
        <v>1</v>
      </c>
      <c r="E4" s="13" t="inlineStr">
        <is>
          <t>Eigen vermogen</t>
        </is>
      </c>
      <c r="F4" s="13" t="n">
        <v>14</v>
      </c>
      <c r="G4" s="13" t="inlineStr">
        <is>
          <t>Overgedragen resultaat</t>
        </is>
      </c>
      <c r="H4" s="13" t="n"/>
    </row>
    <row r="5">
      <c r="A5" s="13" t="n">
        <v>173000</v>
      </c>
      <c r="B5" s="13" t="inlineStr">
        <is>
          <t>Schulden aan kredietinstellingen</t>
        </is>
      </c>
      <c r="C5" s="13" t="inlineStr">
        <is>
          <t>P</t>
        </is>
      </c>
      <c r="D5" s="13" t="n">
        <v>1</v>
      </c>
      <c r="E5" s="13" t="inlineStr">
        <is>
          <t>Eigen vermogen</t>
        </is>
      </c>
      <c r="F5" s="13" t="n">
        <v>17</v>
      </c>
      <c r="G5" s="13" t="inlineStr">
        <is>
          <t>Schulden op meer dan 1 jaar</t>
        </is>
      </c>
      <c r="H5" s="13" t="inlineStr">
        <is>
          <t>jaar 2</t>
        </is>
      </c>
    </row>
    <row r="6">
      <c r="A6" s="13" t="n">
        <v>221000</v>
      </c>
      <c r="B6" s="13" t="inlineStr">
        <is>
          <t>Gebouwen</t>
        </is>
      </c>
      <c r="C6" s="13" t="inlineStr">
        <is>
          <t>A</t>
        </is>
      </c>
      <c r="D6" s="13" t="n">
        <v>2</v>
      </c>
      <c r="E6" s="13" t="inlineStr">
        <is>
          <t>Vaste activa</t>
        </is>
      </c>
      <c r="F6" s="13" t="n">
        <v>22</v>
      </c>
      <c r="G6" s="13" t="inlineStr">
        <is>
          <t>Terreinen &amp; gebouwen</t>
        </is>
      </c>
      <c r="H6" s="13" t="n"/>
    </row>
    <row r="7">
      <c r="A7" s="13" t="n">
        <v>221009</v>
      </c>
      <c r="B7" s="13" t="inlineStr">
        <is>
          <t>Afschrijvingen op gebouwen (-)</t>
        </is>
      </c>
      <c r="C7" s="13" t="inlineStr">
        <is>
          <t>A</t>
        </is>
      </c>
      <c r="D7" s="13" t="n">
        <v>2</v>
      </c>
      <c r="E7" s="13" t="inlineStr">
        <is>
          <t>Vaste activa</t>
        </is>
      </c>
      <c r="F7" s="13" t="n">
        <v>22</v>
      </c>
      <c r="G7" s="13" t="inlineStr">
        <is>
          <t>Terreinen &amp; gebouwen</t>
        </is>
      </c>
      <c r="H7" s="13" t="n"/>
    </row>
    <row r="8">
      <c r="A8" s="13" t="n">
        <v>230000</v>
      </c>
      <c r="B8" s="13" t="inlineStr">
        <is>
          <t>Installaties</t>
        </is>
      </c>
      <c r="C8" s="13" t="inlineStr">
        <is>
          <t>A</t>
        </is>
      </c>
      <c r="D8" s="13" t="n">
        <v>2</v>
      </c>
      <c r="E8" s="13" t="inlineStr">
        <is>
          <t>Vaste activa</t>
        </is>
      </c>
      <c r="F8" s="13" t="n">
        <v>23</v>
      </c>
      <c r="G8" s="13" t="inlineStr">
        <is>
          <t>Installaties, machines &amp; uitrusting</t>
        </is>
      </c>
      <c r="H8" s="13" t="inlineStr">
        <is>
          <t>jaar 1</t>
        </is>
      </c>
    </row>
    <row r="9">
      <c r="A9" s="13" t="n">
        <v>230009</v>
      </c>
      <c r="B9" s="13" t="inlineStr">
        <is>
          <t>Afschrijvingen op installaties (-)</t>
        </is>
      </c>
      <c r="C9" s="13" t="inlineStr">
        <is>
          <t>A</t>
        </is>
      </c>
      <c r="D9" s="13" t="n">
        <v>2</v>
      </c>
      <c r="E9" s="13" t="inlineStr">
        <is>
          <t>Vaste activa</t>
        </is>
      </c>
      <c r="F9" s="13" t="n">
        <v>23</v>
      </c>
      <c r="G9" s="13" t="inlineStr">
        <is>
          <t>Installaties, machines &amp; uitrusting</t>
        </is>
      </c>
      <c r="H9" s="13" t="inlineStr">
        <is>
          <t>jaar 1 + jaar 2</t>
        </is>
      </c>
    </row>
    <row r="10">
      <c r="A10" s="13" t="n">
        <v>232000</v>
      </c>
      <c r="B10" s="13" t="inlineStr">
        <is>
          <t>Uitrusting</t>
        </is>
      </c>
      <c r="C10" s="13" t="inlineStr">
        <is>
          <t>A</t>
        </is>
      </c>
      <c r="D10" s="13" t="n">
        <v>2</v>
      </c>
      <c r="E10" s="13" t="inlineStr">
        <is>
          <t>Vaste activa</t>
        </is>
      </c>
      <c r="F10" s="13" t="n">
        <v>23</v>
      </c>
      <c r="G10" s="13" t="inlineStr">
        <is>
          <t>Installaties, machines &amp; uitrusting</t>
        </is>
      </c>
      <c r="H10" s="13" t="inlineStr">
        <is>
          <t>jaar 1</t>
        </is>
      </c>
    </row>
    <row r="11">
      <c r="A11" s="13" t="n">
        <v>232009</v>
      </c>
      <c r="B11" s="13" t="inlineStr">
        <is>
          <t>Afschrijvingen op uitrusting (-)</t>
        </is>
      </c>
      <c r="C11" s="13" t="inlineStr">
        <is>
          <t>A</t>
        </is>
      </c>
      <c r="D11" s="13" t="n">
        <v>2</v>
      </c>
      <c r="E11" s="13" t="inlineStr">
        <is>
          <t>Vaste activa</t>
        </is>
      </c>
      <c r="F11" s="13" t="n">
        <v>23</v>
      </c>
      <c r="G11" s="13" t="inlineStr">
        <is>
          <t>Installaties, machines &amp; uitrusting</t>
        </is>
      </c>
      <c r="H11" s="13" t="inlineStr">
        <is>
          <t>jaar 1 + jaar 2</t>
        </is>
      </c>
    </row>
    <row r="12">
      <c r="A12" s="13" t="n">
        <v>240000</v>
      </c>
      <c r="B12" s="13" t="inlineStr">
        <is>
          <t>Meubilair</t>
        </is>
      </c>
      <c r="C12" s="13" t="inlineStr">
        <is>
          <t>A</t>
        </is>
      </c>
      <c r="D12" s="13" t="n">
        <v>2</v>
      </c>
      <c r="E12" s="13" t="inlineStr">
        <is>
          <t>Vaste activa</t>
        </is>
      </c>
      <c r="F12" s="13" t="n">
        <v>24</v>
      </c>
      <c r="G12" s="13" t="inlineStr">
        <is>
          <t>Meubilair &amp; rollend materieel</t>
        </is>
      </c>
      <c r="H12" s="13" t="n"/>
    </row>
    <row r="13">
      <c r="A13" s="13" t="n">
        <v>240009</v>
      </c>
      <c r="B13" s="13" t="inlineStr">
        <is>
          <t>Afschrijvingen op meubilair (-)</t>
        </is>
      </c>
      <c r="C13" s="13" t="inlineStr">
        <is>
          <t>A</t>
        </is>
      </c>
      <c r="D13" s="13" t="n">
        <v>2</v>
      </c>
      <c r="E13" s="13" t="inlineStr">
        <is>
          <t>Vaste activa</t>
        </is>
      </c>
      <c r="F13" s="13" t="n">
        <v>24</v>
      </c>
      <c r="G13" s="13" t="inlineStr">
        <is>
          <t>Meubilair &amp; rollend materieel</t>
        </is>
      </c>
      <c r="H13" s="13" t="n"/>
    </row>
    <row r="14">
      <c r="A14" s="13" t="n">
        <v>240200</v>
      </c>
      <c r="B14" s="13" t="inlineStr">
        <is>
          <t>Computers</t>
        </is>
      </c>
      <c r="C14" s="13" t="inlineStr">
        <is>
          <t>A</t>
        </is>
      </c>
      <c r="D14" s="13" t="n">
        <v>2</v>
      </c>
      <c r="E14" s="13" t="inlineStr">
        <is>
          <t>Vaste activa</t>
        </is>
      </c>
      <c r="F14" s="13" t="n">
        <v>24</v>
      </c>
      <c r="G14" s="13" t="inlineStr">
        <is>
          <t>Meubilair &amp; rollend materieel</t>
        </is>
      </c>
      <c r="H14" s="13" t="inlineStr">
        <is>
          <t>jaar 1</t>
        </is>
      </c>
    </row>
    <row r="15">
      <c r="A15" s="13" t="n">
        <v>240209</v>
      </c>
      <c r="B15" s="13" t="inlineStr">
        <is>
          <t>Afschrijvingen op computers (-)</t>
        </is>
      </c>
      <c r="C15" s="13" t="inlineStr">
        <is>
          <t>A</t>
        </is>
      </c>
      <c r="D15" s="13" t="n">
        <v>2</v>
      </c>
      <c r="E15" s="13" t="inlineStr">
        <is>
          <t>Vaste activa</t>
        </is>
      </c>
      <c r="F15" s="13" t="n">
        <v>24</v>
      </c>
      <c r="G15" s="13" t="inlineStr">
        <is>
          <t>Meubilair &amp; rollend materieel</t>
        </is>
      </c>
      <c r="H15" s="13" t="inlineStr">
        <is>
          <t>jaar 1 + jaar 2</t>
        </is>
      </c>
    </row>
    <row r="16">
      <c r="A16" s="13" t="n">
        <v>241000</v>
      </c>
      <c r="B16" s="13" t="inlineStr">
        <is>
          <t>Rollend materieel</t>
        </is>
      </c>
      <c r="C16" s="13" t="inlineStr">
        <is>
          <t>A</t>
        </is>
      </c>
      <c r="D16" s="13" t="n">
        <v>2</v>
      </c>
      <c r="E16" s="13" t="inlineStr">
        <is>
          <t>Vaste activa</t>
        </is>
      </c>
      <c r="F16" s="13" t="n">
        <v>24</v>
      </c>
      <c r="G16" s="13" t="inlineStr">
        <is>
          <t>Meubilair &amp; rollend materieel</t>
        </is>
      </c>
      <c r="H16" s="13" t="inlineStr">
        <is>
          <t>jaar 2</t>
        </is>
      </c>
    </row>
    <row r="17">
      <c r="A17" s="13" t="n">
        <v>241009</v>
      </c>
      <c r="B17" s="13" t="inlineStr">
        <is>
          <t>Afschrijvingen op rollend materieel (-)</t>
        </is>
      </c>
      <c r="C17" s="13" t="inlineStr">
        <is>
          <t>A</t>
        </is>
      </c>
      <c r="D17" s="13" t="n">
        <v>2</v>
      </c>
      <c r="E17" s="13" t="inlineStr">
        <is>
          <t>Vaste activa</t>
        </is>
      </c>
      <c r="F17" s="13" t="n">
        <v>24</v>
      </c>
      <c r="G17" s="13" t="inlineStr">
        <is>
          <t>Meubilair &amp; rollend materieel</t>
        </is>
      </c>
      <c r="H17" s="13" t="inlineStr">
        <is>
          <t>jaar 1 + jaar 2</t>
        </is>
      </c>
    </row>
    <row r="18">
      <c r="A18" s="13" t="n">
        <v>340000</v>
      </c>
      <c r="B18" s="13" t="inlineStr">
        <is>
          <t>Voorraad handelsgoederen</t>
        </is>
      </c>
      <c r="C18" s="13" t="inlineStr">
        <is>
          <t>A</t>
        </is>
      </c>
      <c r="D18" s="13" t="n">
        <v>3</v>
      </c>
      <c r="E18" s="13" t="inlineStr">
        <is>
          <t>Voorraden</t>
        </is>
      </c>
      <c r="F18" s="13" t="n">
        <v>34</v>
      </c>
      <c r="G18" s="13" t="inlineStr">
        <is>
          <t>Voorraden</t>
        </is>
      </c>
      <c r="H18" s="13" t="inlineStr">
        <is>
          <t>jaar 1 + jaar 2</t>
        </is>
      </c>
    </row>
    <row r="19">
      <c r="A19" s="13" t="n">
        <v>400000</v>
      </c>
      <c r="B19" s="13" t="inlineStr">
        <is>
          <t>Handelsdebiteuren</t>
        </is>
      </c>
      <c r="C19" s="13" t="inlineStr">
        <is>
          <t>A</t>
        </is>
      </c>
      <c r="D19" s="13" t="n">
        <v>4</v>
      </c>
      <c r="E19" s="13" t="inlineStr">
        <is>
          <t>Vorderingen en schulden op ten hoogste 1 jaar</t>
        </is>
      </c>
      <c r="F19" s="13" t="n">
        <v>40</v>
      </c>
      <c r="G19" s="13" t="inlineStr">
        <is>
          <t>Handelsvorderingen</t>
        </is>
      </c>
      <c r="H19" s="13" t="inlineStr">
        <is>
          <t>jaar 1 + jaar 2</t>
        </is>
      </c>
    </row>
    <row r="20">
      <c r="A20" s="13" t="n">
        <v>411000</v>
      </c>
      <c r="B20" s="13" t="inlineStr">
        <is>
          <t>Terug te vorderen btw-saldo</t>
        </is>
      </c>
      <c r="C20" s="13" t="inlineStr">
        <is>
          <t>A</t>
        </is>
      </c>
      <c r="D20" s="13" t="n">
        <v>4</v>
      </c>
      <c r="E20" s="13" t="inlineStr">
        <is>
          <t>Vorderingen en schulden op ten hoogste 1 jaar</t>
        </is>
      </c>
      <c r="F20" s="13" t="n">
        <v>41</v>
      </c>
      <c r="G20" s="13" t="inlineStr">
        <is>
          <t>Overige vorderingen</t>
        </is>
      </c>
      <c r="H20" s="13" t="inlineStr">
        <is>
          <t>jaar 2</t>
        </is>
      </c>
    </row>
    <row r="21">
      <c r="A21" s="13" t="n">
        <v>411100</v>
      </c>
      <c r="B21" s="13" t="inlineStr">
        <is>
          <t>Aftrekbare btw</t>
        </is>
      </c>
      <c r="C21" s="13" t="inlineStr">
        <is>
          <t>A</t>
        </is>
      </c>
      <c r="D21" s="13" t="n">
        <v>4</v>
      </c>
      <c r="E21" s="13" t="inlineStr">
        <is>
          <t>Vorderingen en schulden op ten hoogste 1 jaar</t>
        </is>
      </c>
      <c r="F21" s="13" t="n">
        <v>41</v>
      </c>
      <c r="G21" s="13" t="inlineStr">
        <is>
          <t>Overige vorderingen</t>
        </is>
      </c>
      <c r="H21" s="13" t="inlineStr">
        <is>
          <t>jaar 1 + jaar 2</t>
        </is>
      </c>
    </row>
    <row r="22">
      <c r="A22" s="13" t="n">
        <v>411200</v>
      </c>
      <c r="B22" s="13" t="inlineStr">
        <is>
          <t>Aftrekbare btw op uitgaande creditnota’s</t>
        </is>
      </c>
      <c r="C22" s="13" t="inlineStr">
        <is>
          <t>A</t>
        </is>
      </c>
      <c r="D22" s="13" t="n">
        <v>4</v>
      </c>
      <c r="E22" s="13" t="inlineStr">
        <is>
          <t>Vorderingen en schulden op ten hoogste 1 jaar</t>
        </is>
      </c>
      <c r="F22" s="13" t="n">
        <v>41</v>
      </c>
      <c r="G22" s="13" t="inlineStr">
        <is>
          <t>Overige vorderingen</t>
        </is>
      </c>
      <c r="H22" s="13" t="inlineStr">
        <is>
          <t>jaar 1 + jaar 2</t>
        </is>
      </c>
    </row>
    <row r="23">
      <c r="A23" s="13" t="n">
        <v>418000</v>
      </c>
      <c r="B23" s="13" t="inlineStr">
        <is>
          <t>Terug te vorderen verpakking</t>
        </is>
      </c>
      <c r="C23" s="13" t="inlineStr">
        <is>
          <t>A</t>
        </is>
      </c>
      <c r="D23" s="13" t="n">
        <v>4</v>
      </c>
      <c r="E23" s="13" t="inlineStr">
        <is>
          <t>Vorderingen en schulden op ten hoogste 1 jaar</t>
        </is>
      </c>
      <c r="F23" s="13" t="n">
        <v>41</v>
      </c>
      <c r="G23" s="13" t="inlineStr">
        <is>
          <t>Overige vorderingen</t>
        </is>
      </c>
      <c r="H23" s="13" t="inlineStr">
        <is>
          <t>jaar 2</t>
        </is>
      </c>
    </row>
    <row r="24">
      <c r="A24" s="13" t="n">
        <v>423000</v>
      </c>
      <c r="B24" s="13" t="inlineStr">
        <is>
          <t>Binnen het jaar vervallende schulden aan kredietinstellingen</t>
        </is>
      </c>
      <c r="C24" s="13" t="inlineStr">
        <is>
          <t>P</t>
        </is>
      </c>
      <c r="D24" s="13" t="n">
        <v>4</v>
      </c>
      <c r="E24" s="13" t="inlineStr">
        <is>
          <t>Vorderingen en schulden op ten hoogste 1 jaar</t>
        </is>
      </c>
      <c r="F24" s="13" t="n">
        <v>42</v>
      </c>
      <c r="G24" s="13" t="inlineStr">
        <is>
          <t>Schulden op maar dan 1 jaar die binnen het jaar vervallen</t>
        </is>
      </c>
      <c r="H24" s="13" t="n"/>
    </row>
    <row r="25">
      <c r="A25" s="13" t="n">
        <v>440000</v>
      </c>
      <c r="B25" s="13" t="inlineStr">
        <is>
          <t>Leveranciers</t>
        </is>
      </c>
      <c r="C25" s="13" t="inlineStr">
        <is>
          <t>P</t>
        </is>
      </c>
      <c r="D25" s="13" t="n">
        <v>4</v>
      </c>
      <c r="E25" s="13" t="inlineStr">
        <is>
          <t>Vorderingen en schulden op ten hoogste 1 jaar</t>
        </is>
      </c>
      <c r="F25" s="13" t="n">
        <v>44</v>
      </c>
      <c r="G25" s="13" t="inlineStr">
        <is>
          <t>Handelsschulden</t>
        </is>
      </c>
      <c r="H25" s="13" t="inlineStr">
        <is>
          <t>jaar 1 + jaar 2</t>
        </is>
      </c>
    </row>
    <row r="26">
      <c r="A26" s="13" t="n">
        <v>451000</v>
      </c>
      <c r="B26" s="13" t="inlineStr">
        <is>
          <t>Te betalen btw-saldo</t>
        </is>
      </c>
      <c r="C26" s="13" t="inlineStr">
        <is>
          <t>P</t>
        </is>
      </c>
      <c r="D26" s="13" t="n">
        <v>4</v>
      </c>
      <c r="E26" s="13" t="inlineStr">
        <is>
          <t>Vorderingen en schulden op ten hoogste 1 jaar</t>
        </is>
      </c>
      <c r="F26" s="13" t="n">
        <v>45</v>
      </c>
      <c r="G26" s="13" t="inlineStr">
        <is>
          <t>Schulden mbt belastingen, ...</t>
        </is>
      </c>
      <c r="H26" s="13" t="inlineStr">
        <is>
          <t>jaar 1 + jaar 2</t>
        </is>
      </c>
    </row>
    <row r="27">
      <c r="A27" s="13" t="n">
        <v>451100</v>
      </c>
      <c r="B27" s="13" t="inlineStr">
        <is>
          <t>Verschuldigde btw</t>
        </is>
      </c>
      <c r="C27" s="13" t="inlineStr">
        <is>
          <t>P</t>
        </is>
      </c>
      <c r="D27" s="13" t="n">
        <v>4</v>
      </c>
      <c r="E27" s="13" t="inlineStr">
        <is>
          <t>Vorderingen en schulden op ten hoogste 1 jaar</t>
        </is>
      </c>
      <c r="F27" s="13" t="n">
        <v>45</v>
      </c>
      <c r="G27" s="13" t="inlineStr">
        <is>
          <t>Schulden mbt belastingen, ...</t>
        </is>
      </c>
      <c r="H27" s="13" t="inlineStr">
        <is>
          <t>jaar 1 + jaar 2</t>
        </is>
      </c>
    </row>
    <row r="28">
      <c r="A28" s="13" t="n">
        <v>451200</v>
      </c>
      <c r="B28" s="13" t="inlineStr">
        <is>
          <t>Verschuldigde btw op inkomende creditnota’s</t>
        </is>
      </c>
      <c r="C28" s="13" t="inlineStr">
        <is>
          <t>P</t>
        </is>
      </c>
      <c r="D28" s="13" t="n">
        <v>4</v>
      </c>
      <c r="E28" s="13" t="inlineStr">
        <is>
          <t>Vorderingen en schulden op ten hoogste 1 jaar</t>
        </is>
      </c>
      <c r="F28" s="13" t="n">
        <v>45</v>
      </c>
      <c r="G28" s="13" t="inlineStr">
        <is>
          <t>Schulden mbt belastingen, ...</t>
        </is>
      </c>
      <c r="H28" s="13" t="inlineStr">
        <is>
          <t>jaar 1 + jaar 2</t>
        </is>
      </c>
    </row>
    <row r="29">
      <c r="A29" s="13" t="n">
        <v>488000</v>
      </c>
      <c r="B29" s="13" t="inlineStr">
        <is>
          <t>Terug te betalen verpakking</t>
        </is>
      </c>
      <c r="C29" s="13" t="inlineStr">
        <is>
          <t>P</t>
        </is>
      </c>
      <c r="D29" s="13" t="n">
        <v>4</v>
      </c>
      <c r="E29" s="13" t="inlineStr">
        <is>
          <t>Vorderingen en schulden op ten hoogste 1 jaar</t>
        </is>
      </c>
      <c r="F29" s="13" t="n">
        <v>48</v>
      </c>
      <c r="G29" s="13" t="inlineStr">
        <is>
          <t>Diverse schulden</t>
        </is>
      </c>
      <c r="H29" s="13" t="inlineStr">
        <is>
          <t>jaar 2</t>
        </is>
      </c>
    </row>
    <row r="30">
      <c r="A30" s="13" t="n">
        <v>550000</v>
      </c>
      <c r="B30" s="13" t="inlineStr">
        <is>
          <t>Bankrekening</t>
        </is>
      </c>
      <c r="C30" s="13" t="inlineStr">
        <is>
          <t>A</t>
        </is>
      </c>
      <c r="D30" s="13" t="n">
        <v>5</v>
      </c>
      <c r="E30" s="13" t="inlineStr">
        <is>
          <t>Liquide middelen</t>
        </is>
      </c>
      <c r="F30" s="13" t="n">
        <v>55</v>
      </c>
      <c r="G30" s="13" t="inlineStr">
        <is>
          <t>Bank</t>
        </is>
      </c>
      <c r="H30" s="13" t="inlineStr">
        <is>
          <t>jaar 1 + jaar 2</t>
        </is>
      </c>
    </row>
    <row r="31">
      <c r="A31" s="13" t="n">
        <v>570000</v>
      </c>
      <c r="B31" s="13" t="inlineStr">
        <is>
          <t>Kas</t>
        </is>
      </c>
      <c r="C31" s="13" t="inlineStr">
        <is>
          <t>A</t>
        </is>
      </c>
      <c r="D31" s="13" t="n">
        <v>5</v>
      </c>
      <c r="E31" s="13" t="inlineStr">
        <is>
          <t>Liquide middelen</t>
        </is>
      </c>
      <c r="F31" s="13" t="n">
        <v>57</v>
      </c>
      <c r="G31" s="13" t="inlineStr">
        <is>
          <t>Kas</t>
        </is>
      </c>
      <c r="H31" s="13" t="inlineStr">
        <is>
          <t>jaar 1 + jaar 2</t>
        </is>
      </c>
    </row>
    <row r="32">
      <c r="A32" s="13" t="n">
        <v>580000</v>
      </c>
      <c r="B32" s="13" t="inlineStr">
        <is>
          <t>Interne overboekingen</t>
        </is>
      </c>
      <c r="C32" s="13" t="inlineStr">
        <is>
          <t>A</t>
        </is>
      </c>
      <c r="D32" s="13" t="n">
        <v>5</v>
      </c>
      <c r="E32" s="13" t="inlineStr">
        <is>
          <t>Liquide middelen</t>
        </is>
      </c>
      <c r="F32" s="13" t="n">
        <v>58</v>
      </c>
      <c r="G32" s="13" t="inlineStr">
        <is>
          <t>Interne overboekingen</t>
        </is>
      </c>
      <c r="H32" s="13" t="inlineStr">
        <is>
          <t>jaar 2</t>
        </is>
      </c>
    </row>
    <row r="33">
      <c r="A33" s="7" t="n">
        <v>600000</v>
      </c>
      <c r="B33" s="7" t="inlineStr">
        <is>
          <t>Aankopen grondstoffen</t>
        </is>
      </c>
      <c r="C33" s="7" t="inlineStr">
        <is>
          <t>K</t>
        </is>
      </c>
      <c r="D33" s="7" t="n">
        <v>6</v>
      </c>
      <c r="E33" s="7" t="inlineStr">
        <is>
          <t>Kosten</t>
        </is>
      </c>
      <c r="F33" s="7" t="n">
        <v>60</v>
      </c>
      <c r="G33" s="7" t="inlineStr">
        <is>
          <t>Handelsgoederen, grond- en hulpstoffen</t>
        </is>
      </c>
      <c r="H33" s="13" t="n"/>
    </row>
    <row r="34">
      <c r="A34" s="13" t="n">
        <v>604000</v>
      </c>
      <c r="B34" s="13" t="inlineStr">
        <is>
          <t>Aankopen handelsgoederen</t>
        </is>
      </c>
      <c r="C34" s="13" t="inlineStr">
        <is>
          <t>K</t>
        </is>
      </c>
      <c r="D34" s="13" t="n">
        <v>6</v>
      </c>
      <c r="E34" s="13" t="inlineStr">
        <is>
          <t>Kosten</t>
        </is>
      </c>
      <c r="F34" s="13" t="n">
        <v>60</v>
      </c>
      <c r="G34" s="13" t="inlineStr">
        <is>
          <t>Handelsgoederen, grond- en hulpstoffen</t>
        </is>
      </c>
      <c r="H34" s="13" t="inlineStr">
        <is>
          <t>jaar 1 + jaar 2</t>
        </is>
      </c>
    </row>
    <row r="35">
      <c r="A35" s="13" t="n">
        <v>604010</v>
      </c>
      <c r="B35" s="13" t="inlineStr">
        <is>
          <t>Retours op aankopen (-)</t>
        </is>
      </c>
      <c r="C35" s="13" t="inlineStr">
        <is>
          <t>K</t>
        </is>
      </c>
      <c r="D35" s="13" t="n">
        <v>6</v>
      </c>
      <c r="E35" s="13" t="inlineStr">
        <is>
          <t>Kosten</t>
        </is>
      </c>
      <c r="F35" s="13" t="n">
        <v>60</v>
      </c>
      <c r="G35" s="13" t="inlineStr">
        <is>
          <t>Handelsgoederen, grond- en hulpstoffen</t>
        </is>
      </c>
      <c r="H35" s="13" t="inlineStr">
        <is>
          <t>jaar 1 + jaar 2</t>
        </is>
      </c>
    </row>
    <row r="36">
      <c r="A36" s="13" t="n">
        <v>604020</v>
      </c>
      <c r="B36" s="13" t="inlineStr">
        <is>
          <t>Handelskorting op aankopen (-)</t>
        </is>
      </c>
      <c r="C36" s="13" t="inlineStr">
        <is>
          <t>K</t>
        </is>
      </c>
      <c r="D36" s="13" t="n">
        <v>6</v>
      </c>
      <c r="E36" s="13" t="inlineStr">
        <is>
          <t>Kosten</t>
        </is>
      </c>
      <c r="F36" s="13" t="n">
        <v>60</v>
      </c>
      <c r="G36" s="13" t="inlineStr">
        <is>
          <t>Handelsgoederen, grond- en hulpstoffen</t>
        </is>
      </c>
      <c r="H36" s="13" t="inlineStr">
        <is>
          <t>jaar 2</t>
        </is>
      </c>
    </row>
    <row r="37">
      <c r="A37" s="13" t="n">
        <v>604030</v>
      </c>
      <c r="B37" s="13" t="inlineStr">
        <is>
          <t>Aankoopkosten</t>
        </is>
      </c>
      <c r="C37" s="13" t="inlineStr">
        <is>
          <t>K</t>
        </is>
      </c>
      <c r="D37" s="13" t="n">
        <v>6</v>
      </c>
      <c r="E37" s="13" t="inlineStr">
        <is>
          <t>Kosten</t>
        </is>
      </c>
      <c r="F37" s="13" t="n">
        <v>60</v>
      </c>
      <c r="G37" s="13" t="inlineStr">
        <is>
          <t>Handelsgoederen, grond- en hulpstoffen</t>
        </is>
      </c>
      <c r="H37" s="13" t="inlineStr">
        <is>
          <t>jaar 2</t>
        </is>
      </c>
    </row>
    <row r="38">
      <c r="A38" s="13" t="n">
        <v>609400</v>
      </c>
      <c r="B38" s="13" t="inlineStr">
        <is>
          <t>Voorraadwijzigingen handelsgoederen</t>
        </is>
      </c>
      <c r="C38" s="13" t="inlineStr">
        <is>
          <t>K</t>
        </is>
      </c>
      <c r="D38" s="13" t="n">
        <v>6</v>
      </c>
      <c r="E38" s="13" t="inlineStr">
        <is>
          <t>Kosten</t>
        </is>
      </c>
      <c r="F38" s="13" t="n">
        <v>60</v>
      </c>
      <c r="G38" s="13" t="inlineStr">
        <is>
          <t>Handelsgoederen, grond- en hulpstoffen</t>
        </is>
      </c>
      <c r="H38" s="13" t="inlineStr">
        <is>
          <t>jaar 1 + jaar 2</t>
        </is>
      </c>
    </row>
    <row r="39">
      <c r="A39" s="13" t="n">
        <v>611000</v>
      </c>
      <c r="B39" s="13" t="inlineStr">
        <is>
          <t>Huur en huurlasten</t>
        </is>
      </c>
      <c r="C39" s="13" t="inlineStr">
        <is>
          <t>K</t>
        </is>
      </c>
      <c r="D39" s="13" t="n">
        <v>6</v>
      </c>
      <c r="E39" s="13" t="inlineStr">
        <is>
          <t>Kosten</t>
        </is>
      </c>
      <c r="F39" s="13" t="n">
        <v>61</v>
      </c>
      <c r="G39" s="13" t="inlineStr">
        <is>
          <t>Diensten en diverse goederen</t>
        </is>
      </c>
      <c r="H39" s="13" t="n"/>
    </row>
    <row r="40">
      <c r="A40" s="13" t="n">
        <v>611800</v>
      </c>
      <c r="B40" s="13" t="inlineStr">
        <is>
          <t>Onderhoud en herstellingen rollend materieel</t>
        </is>
      </c>
      <c r="C40" s="13" t="inlineStr">
        <is>
          <t>K</t>
        </is>
      </c>
      <c r="D40" s="13" t="n">
        <v>6</v>
      </c>
      <c r="E40" s="13" t="inlineStr">
        <is>
          <t>Kosten</t>
        </is>
      </c>
      <c r="F40" s="13" t="n">
        <v>61</v>
      </c>
      <c r="G40" s="13" t="inlineStr">
        <is>
          <t>Diensten en diverse goederen</t>
        </is>
      </c>
      <c r="H40" s="13" t="n"/>
    </row>
    <row r="41">
      <c r="A41" s="13" t="n">
        <v>612000</v>
      </c>
      <c r="B41" s="13" t="inlineStr">
        <is>
          <t>Kantoorbenodigdheden en drukwerk</t>
        </is>
      </c>
      <c r="C41" s="13" t="inlineStr">
        <is>
          <t>K</t>
        </is>
      </c>
      <c r="D41" s="13" t="n">
        <v>6</v>
      </c>
      <c r="E41" s="13" t="inlineStr">
        <is>
          <t>Kosten</t>
        </is>
      </c>
      <c r="F41" s="13" t="n">
        <v>61</v>
      </c>
      <c r="G41" s="13" t="inlineStr">
        <is>
          <t>Diensten en diverse goederen</t>
        </is>
      </c>
      <c r="H41" s="13" t="n"/>
    </row>
    <row r="42">
      <c r="A42" s="13" t="n">
        <v>612700</v>
      </c>
      <c r="B42" s="13" t="inlineStr">
        <is>
          <t>Verbruik elektriciteit</t>
        </is>
      </c>
      <c r="C42" s="13" t="inlineStr">
        <is>
          <t>K</t>
        </is>
      </c>
      <c r="D42" s="13" t="n">
        <v>6</v>
      </c>
      <c r="E42" s="13" t="inlineStr">
        <is>
          <t>Kosten</t>
        </is>
      </c>
      <c r="F42" s="13" t="n">
        <v>61</v>
      </c>
      <c r="G42" s="13" t="inlineStr">
        <is>
          <t>Diensten en diverse goederen</t>
        </is>
      </c>
      <c r="H42" s="13" t="inlineStr">
        <is>
          <t>jaar 1 + jaar 2</t>
        </is>
      </c>
    </row>
    <row r="43">
      <c r="A43" s="13" t="n">
        <v>613200</v>
      </c>
      <c r="B43" s="13" t="inlineStr">
        <is>
          <t>Erelonen boekhouders</t>
        </is>
      </c>
      <c r="C43" s="13" t="inlineStr">
        <is>
          <t>K</t>
        </is>
      </c>
      <c r="D43" s="13" t="n">
        <v>6</v>
      </c>
      <c r="E43" s="13" t="inlineStr">
        <is>
          <t>Kosten</t>
        </is>
      </c>
      <c r="F43" s="13" t="n">
        <v>61</v>
      </c>
      <c r="G43" s="13" t="inlineStr">
        <is>
          <t>Diensten en diverse goederen</t>
        </is>
      </c>
      <c r="H43" s="13" t="inlineStr">
        <is>
          <t>jaar 1</t>
        </is>
      </c>
    </row>
    <row r="44">
      <c r="A44" s="13" t="n">
        <v>616200</v>
      </c>
      <c r="B44" s="13" t="inlineStr">
        <is>
          <t>Telefoon, gsm</t>
        </is>
      </c>
      <c r="C44" s="13" t="inlineStr">
        <is>
          <t>K</t>
        </is>
      </c>
      <c r="D44" s="13" t="n">
        <v>6</v>
      </c>
      <c r="E44" s="13" t="inlineStr">
        <is>
          <t>Kosten</t>
        </is>
      </c>
      <c r="F44" s="13" t="n">
        <v>61</v>
      </c>
      <c r="G44" s="13" t="inlineStr">
        <is>
          <t>Diensten en diverse goederen</t>
        </is>
      </c>
      <c r="H44" s="13" t="n"/>
    </row>
    <row r="45">
      <c r="A45" s="13" t="n">
        <v>616300</v>
      </c>
      <c r="B45" s="13" t="inlineStr">
        <is>
          <t>Internetkosten</t>
        </is>
      </c>
      <c r="C45" s="13" t="inlineStr">
        <is>
          <t>K</t>
        </is>
      </c>
      <c r="D45" s="13" t="n">
        <v>6</v>
      </c>
      <c r="E45" s="13" t="inlineStr">
        <is>
          <t>Kosten</t>
        </is>
      </c>
      <c r="F45" s="13" t="n">
        <v>61</v>
      </c>
      <c r="G45" s="13" t="inlineStr">
        <is>
          <t>Diensten en diverse goederen</t>
        </is>
      </c>
      <c r="H45" s="13" t="inlineStr">
        <is>
          <t>jaar 1 + jaar 2</t>
        </is>
      </c>
    </row>
    <row r="46">
      <c r="A46" s="13" t="n">
        <v>616520</v>
      </c>
      <c r="B46" s="13" t="inlineStr">
        <is>
          <t>Publiciteitskosten</t>
        </is>
      </c>
      <c r="C46" s="13" t="inlineStr">
        <is>
          <t>K</t>
        </is>
      </c>
      <c r="D46" s="13" t="n">
        <v>6</v>
      </c>
      <c r="E46" s="13" t="inlineStr">
        <is>
          <t>Kosten</t>
        </is>
      </c>
      <c r="F46" s="13" t="n">
        <v>61</v>
      </c>
      <c r="G46" s="13" t="inlineStr">
        <is>
          <t>Diensten en diverse goederen</t>
        </is>
      </c>
      <c r="H46" s="13" t="inlineStr">
        <is>
          <t>jaar 1</t>
        </is>
      </c>
    </row>
    <row r="47">
      <c r="A47" s="13" t="n">
        <v>630200</v>
      </c>
      <c r="B47" s="13" t="inlineStr">
        <is>
          <t>Afschrijvingen op materiële vaste activa</t>
        </is>
      </c>
      <c r="C47" s="13" t="inlineStr">
        <is>
          <t>K</t>
        </is>
      </c>
      <c r="D47" s="13" t="n">
        <v>6</v>
      </c>
      <c r="E47" s="13" t="inlineStr">
        <is>
          <t>Kosten</t>
        </is>
      </c>
      <c r="F47" s="13" t="n">
        <v>63</v>
      </c>
      <c r="G47" s="13" t="inlineStr">
        <is>
          <t>Afschrijvingen</t>
        </is>
      </c>
      <c r="H47" s="13" t="inlineStr">
        <is>
          <t>jaar 1 + jaar 2</t>
        </is>
      </c>
    </row>
    <row r="48">
      <c r="A48" s="13" t="n">
        <v>630300</v>
      </c>
      <c r="B48" s="13" t="inlineStr">
        <is>
          <t>Afschrijvingen op meubilair en rollend materieel</t>
        </is>
      </c>
      <c r="C48" s="13" t="inlineStr">
        <is>
          <t>K</t>
        </is>
      </c>
      <c r="D48" s="13" t="n">
        <v>6</v>
      </c>
      <c r="E48" s="13" t="inlineStr">
        <is>
          <t>Kosten</t>
        </is>
      </c>
      <c r="F48" s="13" t="n">
        <v>63</v>
      </c>
      <c r="G48" s="13" t="inlineStr">
        <is>
          <t>Afschrijvingen</t>
        </is>
      </c>
      <c r="H48" s="13" t="inlineStr">
        <is>
          <t>jaar 1 + jaar 2</t>
        </is>
      </c>
    </row>
    <row r="49">
      <c r="A49" s="13" t="n">
        <v>650000</v>
      </c>
      <c r="B49" s="13" t="inlineStr">
        <is>
          <t>Rente, commissies en kosten verbonden aan schulden</t>
        </is>
      </c>
      <c r="C49" s="13" t="inlineStr">
        <is>
          <t>K</t>
        </is>
      </c>
      <c r="D49" s="13" t="n">
        <v>6</v>
      </c>
      <c r="E49" s="13" t="inlineStr">
        <is>
          <t>Kosten</t>
        </is>
      </c>
      <c r="F49" s="13" t="n">
        <v>65</v>
      </c>
      <c r="G49" s="13" t="inlineStr">
        <is>
          <t>Financiële kosten</t>
        </is>
      </c>
      <c r="H49" s="13" t="inlineStr">
        <is>
          <t>jaar 2</t>
        </is>
      </c>
    </row>
    <row r="50">
      <c r="A50" s="13" t="n">
        <v>657000</v>
      </c>
      <c r="B50" s="13" t="inlineStr">
        <is>
          <t>Betalingskortingen aan klanten</t>
        </is>
      </c>
      <c r="C50" s="13" t="inlineStr">
        <is>
          <t>K</t>
        </is>
      </c>
      <c r="D50" s="13" t="n">
        <v>6</v>
      </c>
      <c r="E50" s="13" t="inlineStr">
        <is>
          <t>Kosten</t>
        </is>
      </c>
      <c r="F50" s="13" t="n">
        <v>65</v>
      </c>
      <c r="G50" s="13" t="inlineStr">
        <is>
          <t>Financiële kosten</t>
        </is>
      </c>
      <c r="H50" s="13" t="inlineStr">
        <is>
          <t>jaar 2</t>
        </is>
      </c>
    </row>
    <row r="51">
      <c r="A51" s="13" t="n">
        <v>693000</v>
      </c>
      <c r="B51" s="13" t="inlineStr">
        <is>
          <t>Over te dragen winst</t>
        </is>
      </c>
      <c r="C51" s="13" t="inlineStr">
        <is>
          <t>K</t>
        </is>
      </c>
      <c r="D51" s="13" t="n">
        <v>6</v>
      </c>
      <c r="E51" s="13" t="inlineStr">
        <is>
          <t>Kosten</t>
        </is>
      </c>
      <c r="F51" s="13" t="n">
        <v>69</v>
      </c>
      <c r="G51" s="13" t="inlineStr">
        <is>
          <t>Resultaatverwerking</t>
        </is>
      </c>
      <c r="H51" s="13" t="inlineStr">
        <is>
          <t>jaar 1 + jaar 2</t>
        </is>
      </c>
    </row>
    <row r="52">
      <c r="A52" s="7" t="n">
        <v>700000</v>
      </c>
      <c r="B52" s="7" t="inlineStr">
        <is>
          <t>Verkopen en dienstprestaties</t>
        </is>
      </c>
      <c r="C52" s="7" t="inlineStr">
        <is>
          <t>O</t>
        </is>
      </c>
      <c r="D52" s="7" t="n">
        <v>7</v>
      </c>
      <c r="E52" s="7" t="inlineStr">
        <is>
          <t>Opbrengsten</t>
        </is>
      </c>
      <c r="F52" s="7" t="n">
        <v>70</v>
      </c>
      <c r="G52" s="7" t="inlineStr">
        <is>
          <t>Omzet</t>
        </is>
      </c>
      <c r="H52" s="13" t="inlineStr">
        <is>
          <t>jaar 1 + jaar 2</t>
        </is>
      </c>
    </row>
    <row r="53">
      <c r="A53" s="13" t="n">
        <v>704000</v>
      </c>
      <c r="B53" s="13" t="inlineStr">
        <is>
          <t>Verkopen handelsgoederen</t>
        </is>
      </c>
      <c r="C53" s="13" t="inlineStr">
        <is>
          <t>O</t>
        </is>
      </c>
      <c r="D53" s="13" t="n">
        <v>7</v>
      </c>
      <c r="E53" s="13" t="inlineStr">
        <is>
          <t>Opbrengsten</t>
        </is>
      </c>
      <c r="F53" s="13" t="n">
        <v>70</v>
      </c>
      <c r="G53" s="13" t="inlineStr">
        <is>
          <t>Omzet</t>
        </is>
      </c>
      <c r="H53" s="13" t="inlineStr">
        <is>
          <t>jaar 1 + jaar 2</t>
        </is>
      </c>
    </row>
    <row r="54">
      <c r="A54" s="13" t="n">
        <v>704010</v>
      </c>
      <c r="B54" s="13" t="inlineStr">
        <is>
          <t>Retours op verkopen (-)</t>
        </is>
      </c>
      <c r="C54" s="13" t="inlineStr">
        <is>
          <t>O</t>
        </is>
      </c>
      <c r="D54" s="13" t="n">
        <v>7</v>
      </c>
      <c r="E54" s="13" t="inlineStr">
        <is>
          <t>Opbrengsten</t>
        </is>
      </c>
      <c r="F54" s="13" t="n">
        <v>70</v>
      </c>
      <c r="G54" s="13" t="inlineStr">
        <is>
          <t>Omzet</t>
        </is>
      </c>
      <c r="H54" s="13" t="inlineStr">
        <is>
          <t>jaar 1 + jaar 2</t>
        </is>
      </c>
    </row>
    <row r="55">
      <c r="A55" s="13" t="n">
        <v>704020</v>
      </c>
      <c r="B55" s="13" t="inlineStr">
        <is>
          <t>Handelskorting op verkopen (-)</t>
        </is>
      </c>
      <c r="C55" s="13" t="inlineStr">
        <is>
          <t>O</t>
        </is>
      </c>
      <c r="D55" s="13" t="n">
        <v>7</v>
      </c>
      <c r="E55" s="13" t="inlineStr">
        <is>
          <t>Opbrengsten</t>
        </is>
      </c>
      <c r="F55" s="13" t="n">
        <v>70</v>
      </c>
      <c r="G55" s="13" t="inlineStr">
        <is>
          <t>Omzet</t>
        </is>
      </c>
      <c r="H55" s="13" t="inlineStr">
        <is>
          <t>jaar 2</t>
        </is>
      </c>
    </row>
    <row r="56">
      <c r="A56" s="13" t="n">
        <v>746000</v>
      </c>
      <c r="B56" s="13" t="inlineStr">
        <is>
          <t>Doorgerekende kosten</t>
        </is>
      </c>
      <c r="C56" s="13" t="inlineStr">
        <is>
          <t>O</t>
        </is>
      </c>
      <c r="D56" s="13" t="n">
        <v>7</v>
      </c>
      <c r="E56" s="13" t="inlineStr">
        <is>
          <t>Opbrengsten</t>
        </is>
      </c>
      <c r="F56" s="13" t="n">
        <v>74</v>
      </c>
      <c r="G56" s="13" t="inlineStr">
        <is>
          <t>Andere bedrijfsopbrengsten</t>
        </is>
      </c>
      <c r="H56" s="13" t="inlineStr">
        <is>
          <t>jaar 2</t>
        </is>
      </c>
    </row>
    <row r="57">
      <c r="A57" s="13" t="n">
        <v>757000</v>
      </c>
      <c r="B57" s="13" t="inlineStr">
        <is>
          <t>Betalingskortingen van leveranciers</t>
        </is>
      </c>
      <c r="C57" s="13" t="inlineStr">
        <is>
          <t>O</t>
        </is>
      </c>
      <c r="D57" s="13" t="n">
        <v>7</v>
      </c>
      <c r="E57" s="13" t="inlineStr">
        <is>
          <t>Opbrengsten</t>
        </is>
      </c>
      <c r="F57" s="13" t="n">
        <v>75</v>
      </c>
      <c r="G57" s="13" t="inlineStr">
        <is>
          <t>Financiële opbrengsten</t>
        </is>
      </c>
      <c r="H57" s="13" t="inlineStr">
        <is>
          <t>jaar 2</t>
        </is>
      </c>
    </row>
    <row r="58">
      <c r="A58" s="13" t="n">
        <v>793000</v>
      </c>
      <c r="B58" s="13" t="inlineStr">
        <is>
          <t>Over te dragen verlies</t>
        </is>
      </c>
      <c r="C58" s="13" t="inlineStr">
        <is>
          <t>O</t>
        </is>
      </c>
      <c r="D58" s="13" t="n">
        <v>7</v>
      </c>
      <c r="E58" s="13" t="inlineStr">
        <is>
          <t>Opbrengsten</t>
        </is>
      </c>
      <c r="F58" s="13" t="n">
        <v>79</v>
      </c>
      <c r="G58" s="13" t="inlineStr">
        <is>
          <t>Resultaatverwerking</t>
        </is>
      </c>
      <c r="H58" s="13" t="n"/>
    </row>
    <row r="60">
      <c r="B60" s="7" t="inlineStr">
        <is>
          <t>Oranje = nieuw t.o.v. het MAR van de 3e graad (mar 3e graad.js)</t>
        </is>
      </c>
    </row>
  </sheetData>
  <autoFilter ref="A1:H58"/>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L97"/>
  <sheetViews>
    <sheetView zoomScaleNormal="100" workbookViewId="0">
      <pane ySplit="1" topLeftCell="A2" activePane="bottomLeft" state="frozen"/>
      <selection pane="bottomLeft" activeCell="A1" sqref="A1"/>
    </sheetView>
  </sheetViews>
  <sheetFormatPr baseColWidth="8" defaultColWidth="8.6328125" defaultRowHeight="14.5"/>
  <cols>
    <col width="9" customWidth="1" min="1" max="1"/>
    <col width="15" customWidth="1" min="2" max="2"/>
    <col width="8" customWidth="1" min="3" max="3"/>
    <col width="5" customWidth="1" min="4" max="4"/>
    <col width="12" customWidth="1" min="5" max="5"/>
    <col width="8" customWidth="1" min="6" max="6"/>
    <col width="46" customWidth="1" min="7" max="7"/>
    <col width="8" customWidth="1" min="8" max="8"/>
    <col width="12" customWidth="1" min="9" max="9"/>
    <col width="13" customWidth="1" min="10" max="10"/>
    <col width="7" customWidth="1" min="11" max="11"/>
    <col width="11" customWidth="1" min="12" max="12"/>
  </cols>
  <sheetData>
    <row r="1" ht="30" customHeight="1">
      <c r="A1" s="1" t="inlineStr">
        <is>
          <t>ID</t>
        </is>
      </c>
      <c r="B1" s="1" t="inlineStr">
        <is>
          <t>Documentnr</t>
        </is>
      </c>
      <c r="C1" s="1" t="inlineStr">
        <is>
          <t>Soort doc</t>
        </is>
      </c>
      <c r="D1" s="1" t="inlineStr">
        <is>
          <t>Lijn</t>
        </is>
      </c>
      <c r="E1" s="1" t="inlineStr">
        <is>
          <t>Soort lijn</t>
        </is>
      </c>
      <c r="F1" s="1" t="inlineStr">
        <is>
          <t>Artikel</t>
        </is>
      </c>
      <c r="G1" s="1" t="inlineStr">
        <is>
          <t>Omschrijving</t>
        </is>
      </c>
      <c r="H1" s="1" t="inlineStr">
        <is>
          <t>Aantal</t>
        </is>
      </c>
      <c r="I1" s="1" t="inlineStr">
        <is>
          <t>Eenheidsprijs</t>
        </is>
      </c>
      <c r="J1" s="1" t="inlineStr">
        <is>
          <t>Bedrag excl. btw</t>
        </is>
      </c>
      <c r="K1" s="1" t="inlineStr">
        <is>
          <t>Btw %</t>
        </is>
      </c>
      <c r="L1" s="1" t="inlineStr">
        <is>
          <t>Btw</t>
        </is>
      </c>
    </row>
    <row r="2">
      <c r="A2" s="13" t="inlineStr">
        <is>
          <t>C01</t>
        </is>
      </c>
      <c r="B2" s="13" t="inlineStr">
        <is>
          <t>2026-118</t>
        </is>
      </c>
      <c r="C2" s="13" t="inlineStr">
        <is>
          <t>AK</t>
        </is>
      </c>
      <c r="D2" s="13" t="n">
        <v>1</v>
      </c>
      <c r="E2" s="13" t="inlineStr">
        <is>
          <t>artikel</t>
        </is>
      </c>
      <c r="F2" s="13" t="inlineStr">
        <is>
          <t>STAD</t>
        </is>
      </c>
      <c r="G2" s="13" t="inlineStr">
        <is>
          <t>Stadsfiets City, 7 versnellingen</t>
        </is>
      </c>
      <c r="H2" s="12" t="n">
        <v>10</v>
      </c>
      <c r="I2" s="14" t="n">
        <v>400</v>
      </c>
      <c r="J2" s="14">
        <f>H2*I2</f>
        <v/>
      </c>
      <c r="K2" s="15" t="n">
        <v>0.21</v>
      </c>
      <c r="L2" s="14">
        <f>J2*K2</f>
        <v/>
      </c>
    </row>
    <row r="3">
      <c r="A3" s="13" t="inlineStr">
        <is>
          <t>C02</t>
        </is>
      </c>
      <c r="B3" s="13" t="inlineStr">
        <is>
          <t>SK-26-0457</t>
        </is>
      </c>
      <c r="C3" s="13" t="inlineStr">
        <is>
          <t>AK</t>
        </is>
      </c>
      <c r="D3" s="13" t="n">
        <v>1</v>
      </c>
      <c r="E3" s="13" t="inlineStr">
        <is>
          <t>dienst</t>
        </is>
      </c>
      <c r="F3" s="13" t="n"/>
      <c r="G3" s="13" t="inlineStr">
        <is>
          <t>Elektriciteit januari 2026 (voorschot)</t>
        </is>
      </c>
      <c r="H3" s="12" t="n">
        <v>1</v>
      </c>
      <c r="I3" s="14" t="n">
        <v>200</v>
      </c>
      <c r="J3" s="14">
        <f>H3*I3</f>
        <v/>
      </c>
      <c r="K3" s="15" t="n">
        <v>0.21</v>
      </c>
      <c r="L3" s="14">
        <f>J3*K3</f>
        <v/>
      </c>
    </row>
    <row r="4">
      <c r="A4" s="13" t="inlineStr">
        <is>
          <t>C03</t>
        </is>
      </c>
      <c r="B4" s="13" t="inlineStr">
        <is>
          <t>DW-2026-012</t>
        </is>
      </c>
      <c r="C4" s="13" t="inlineStr">
        <is>
          <t>AK</t>
        </is>
      </c>
      <c r="D4" s="13" t="n">
        <v>1</v>
      </c>
      <c r="E4" s="13" t="inlineStr">
        <is>
          <t>vast actief</t>
        </is>
      </c>
      <c r="F4" s="13" t="n"/>
      <c r="G4" s="13" t="inlineStr">
        <is>
          <t>Werkbank met bankschroef en gereedschapswand</t>
        </is>
      </c>
      <c r="H4" s="12" t="n">
        <v>1</v>
      </c>
      <c r="I4" s="14" t="n">
        <v>1500</v>
      </c>
      <c r="J4" s="14">
        <f>H4*I4</f>
        <v/>
      </c>
      <c r="K4" s="15" t="n">
        <v>0.21</v>
      </c>
      <c r="L4" s="14">
        <f>J4*K4</f>
        <v/>
      </c>
    </row>
    <row r="5">
      <c r="A5" s="13" t="inlineStr">
        <is>
          <t>C04</t>
        </is>
      </c>
      <c r="B5" s="13" t="inlineStr">
        <is>
          <t>2026-001</t>
        </is>
      </c>
      <c r="C5" s="13" t="inlineStr">
        <is>
          <t>VK</t>
        </is>
      </c>
      <c r="D5" s="13" t="n">
        <v>1</v>
      </c>
      <c r="E5" s="13" t="inlineStr">
        <is>
          <t>artikel</t>
        </is>
      </c>
      <c r="F5" s="13" t="inlineStr">
        <is>
          <t>STAD</t>
        </is>
      </c>
      <c r="G5" s="13" t="inlineStr">
        <is>
          <t>Stadsfiets City, 7 versnellingen</t>
        </is>
      </c>
      <c r="H5" s="12" t="n">
        <v>10</v>
      </c>
      <c r="I5" s="14" t="n">
        <v>600</v>
      </c>
      <c r="J5" s="14">
        <f>H5*I5</f>
        <v/>
      </c>
      <c r="K5" s="15" t="n">
        <v>0.21</v>
      </c>
      <c r="L5" s="14">
        <f>J5*K5</f>
        <v/>
      </c>
    </row>
    <row r="6">
      <c r="A6" s="13" t="inlineStr">
        <is>
          <t>C05</t>
        </is>
      </c>
      <c r="B6" s="13" t="inlineStr">
        <is>
          <t>2026-002</t>
        </is>
      </c>
      <c r="C6" s="13" t="inlineStr">
        <is>
          <t>VK</t>
        </is>
      </c>
      <c r="D6" s="13" t="n">
        <v>1</v>
      </c>
      <c r="E6" s="13" t="inlineStr">
        <is>
          <t>artikel</t>
        </is>
      </c>
      <c r="F6" s="13" t="inlineStr">
        <is>
          <t>STAD</t>
        </is>
      </c>
      <c r="G6" s="13" t="inlineStr">
        <is>
          <t>Stadsfiets City, 7 versnellingen</t>
        </is>
      </c>
      <c r="H6" s="12" t="n">
        <v>4</v>
      </c>
      <c r="I6" s="14" t="n">
        <v>600</v>
      </c>
      <c r="J6" s="14">
        <f>H6*I6</f>
        <v/>
      </c>
      <c r="K6" s="15" t="n">
        <v>0.21</v>
      </c>
      <c r="L6" s="14">
        <f>J6*K6</f>
        <v/>
      </c>
    </row>
    <row r="7">
      <c r="A7" s="13" t="inlineStr">
        <is>
          <t>C06</t>
        </is>
      </c>
      <c r="B7" s="13" t="inlineStr">
        <is>
          <t>CN-2026-001</t>
        </is>
      </c>
      <c r="C7" s="13" t="inlineStr">
        <is>
          <t>CN-VK</t>
        </is>
      </c>
      <c r="D7" s="13" t="n">
        <v>1</v>
      </c>
      <c r="E7" s="13" t="inlineStr">
        <is>
          <t>artikel</t>
        </is>
      </c>
      <c r="F7" s="13" t="inlineStr">
        <is>
          <t>STAD</t>
        </is>
      </c>
      <c r="G7" s="13" t="inlineStr">
        <is>
          <t>Stadsfiets City, 7 versnellingen</t>
        </is>
      </c>
      <c r="H7" s="12" t="n">
        <v>1</v>
      </c>
      <c r="I7" s="14" t="n">
        <v>600</v>
      </c>
      <c r="J7" s="14">
        <f>H7*I7</f>
        <v/>
      </c>
      <c r="K7" s="15" t="n">
        <v>0.21</v>
      </c>
      <c r="L7" s="14">
        <f>J7*K7</f>
        <v/>
      </c>
    </row>
    <row r="8">
      <c r="A8" s="13" t="inlineStr">
        <is>
          <t>C07</t>
        </is>
      </c>
      <c r="B8" s="13" t="inlineStr">
        <is>
          <t>CN-2026-007</t>
        </is>
      </c>
      <c r="C8" s="13" t="inlineStr">
        <is>
          <t>CN-AK</t>
        </is>
      </c>
      <c r="D8" s="13" t="n">
        <v>1</v>
      </c>
      <c r="E8" s="13" t="inlineStr">
        <is>
          <t>artikel</t>
        </is>
      </c>
      <c r="F8" s="13" t="inlineStr">
        <is>
          <t>STAD</t>
        </is>
      </c>
      <c r="G8" s="13" t="inlineStr">
        <is>
          <t>Stadsfiets City, 7 versnellingen</t>
        </is>
      </c>
      <c r="H8" s="12" t="n">
        <v>1</v>
      </c>
      <c r="I8" s="14" t="n">
        <v>400</v>
      </c>
      <c r="J8" s="14">
        <f>H8*I8</f>
        <v/>
      </c>
      <c r="K8" s="15" t="n">
        <v>0.21</v>
      </c>
      <c r="L8" s="14">
        <f>J8*K8</f>
        <v/>
      </c>
    </row>
    <row r="9">
      <c r="A9" s="13" t="inlineStr">
        <is>
          <t>C08</t>
        </is>
      </c>
      <c r="B9" s="13" t="inlineStr">
        <is>
          <t>DO-2026-01</t>
        </is>
      </c>
      <c r="C9" s="13" t="inlineStr">
        <is>
          <t>DO</t>
        </is>
      </c>
      <c r="D9" s="13" t="n">
        <v>1</v>
      </c>
      <c r="E9" s="13" t="inlineStr">
        <is>
          <t>artikel</t>
        </is>
      </c>
      <c r="F9" s="13" t="inlineStr">
        <is>
          <t>STAD</t>
        </is>
      </c>
      <c r="G9" s="13" t="inlineStr">
        <is>
          <t>Stadsfiets City, 7 versnellingen</t>
        </is>
      </c>
      <c r="H9" s="12" t="n">
        <v>1</v>
      </c>
      <c r="I9" s="14" t="n">
        <v>600</v>
      </c>
      <c r="J9" s="14">
        <f>H9*I9</f>
        <v/>
      </c>
      <c r="K9" s="15" t="n">
        <v>0.21</v>
      </c>
      <c r="L9" s="14">
        <f>J9*K9</f>
        <v/>
      </c>
    </row>
    <row r="10">
      <c r="A10" s="13" t="inlineStr">
        <is>
          <t>C08</t>
        </is>
      </c>
      <c r="B10" s="13" t="inlineStr">
        <is>
          <t>DO-2026-01</t>
        </is>
      </c>
      <c r="C10" s="13" t="inlineStr">
        <is>
          <t>DO</t>
        </is>
      </c>
      <c r="D10" s="13" t="n">
        <v>2</v>
      </c>
      <c r="E10" s="13" t="inlineStr">
        <is>
          <t>artikel</t>
        </is>
      </c>
      <c r="F10" s="13" t="inlineStr">
        <is>
          <t>HELM</t>
        </is>
      </c>
      <c r="G10" s="13" t="inlineStr">
        <is>
          <t>Fietshelm Urban</t>
        </is>
      </c>
      <c r="H10" s="12" t="n">
        <v>6</v>
      </c>
      <c r="I10" s="14" t="n">
        <v>50</v>
      </c>
      <c r="J10" s="14">
        <f>H10*I10</f>
        <v/>
      </c>
      <c r="K10" s="15" t="n">
        <v>0.21</v>
      </c>
      <c r="L10" s="14">
        <f>J10*K10</f>
        <v/>
      </c>
    </row>
    <row r="11">
      <c r="A11" s="13" t="inlineStr">
        <is>
          <t>C08</t>
        </is>
      </c>
      <c r="B11" s="13" t="inlineStr">
        <is>
          <t>DO-2026-01</t>
        </is>
      </c>
      <c r="C11" s="13" t="inlineStr">
        <is>
          <t>DO</t>
        </is>
      </c>
      <c r="D11" s="13" t="n">
        <v>3</v>
      </c>
      <c r="E11" s="13" t="inlineStr">
        <is>
          <t>artikel</t>
        </is>
      </c>
      <c r="F11" s="13" t="inlineStr">
        <is>
          <t>BAND</t>
        </is>
      </c>
      <c r="G11" s="13" t="inlineStr">
        <is>
          <t>Buitenband 28 inch</t>
        </is>
      </c>
      <c r="H11" s="12" t="n">
        <v>4</v>
      </c>
      <c r="I11" s="14" t="n">
        <v>25</v>
      </c>
      <c r="J11" s="14">
        <f>H11*I11</f>
        <v/>
      </c>
      <c r="K11" s="15" t="n">
        <v>0.21</v>
      </c>
      <c r="L11" s="14">
        <f>J11*K11</f>
        <v/>
      </c>
    </row>
    <row r="12">
      <c r="A12" s="13" t="inlineStr">
        <is>
          <t>C08</t>
        </is>
      </c>
      <c r="B12" s="13" t="inlineStr">
        <is>
          <t>DO-2026-01</t>
        </is>
      </c>
      <c r="C12" s="13" t="inlineStr">
        <is>
          <t>DO</t>
        </is>
      </c>
      <c r="D12" s="13" t="n">
        <v>4</v>
      </c>
      <c r="E12" s="13" t="inlineStr">
        <is>
          <t>dienst</t>
        </is>
      </c>
      <c r="F12" s="13" t="n"/>
      <c r="G12" s="13" t="inlineStr">
        <is>
          <t>Herstelling fiets (arbeid)</t>
        </is>
      </c>
      <c r="H12" s="12" t="n">
        <v>4</v>
      </c>
      <c r="I12" s="14" t="n">
        <v>50</v>
      </c>
      <c r="J12" s="14">
        <f>H12*I12</f>
        <v/>
      </c>
      <c r="K12" s="15" t="n">
        <v>0.06</v>
      </c>
      <c r="L12" s="14">
        <f>J12*K12</f>
        <v/>
      </c>
    </row>
    <row r="13">
      <c r="A13" s="13" t="inlineStr">
        <is>
          <t>A1</t>
        </is>
      </c>
      <c r="B13" s="13" t="inlineStr">
        <is>
          <t>2026-205</t>
        </is>
      </c>
      <c r="C13" s="13" t="inlineStr">
        <is>
          <t>AK</t>
        </is>
      </c>
      <c r="D13" s="13" t="n">
        <v>1</v>
      </c>
      <c r="E13" s="13" t="inlineStr">
        <is>
          <t>artikel</t>
        </is>
      </c>
      <c r="F13" s="13" t="inlineStr">
        <is>
          <t>STAD</t>
        </is>
      </c>
      <c r="G13" s="13" t="inlineStr">
        <is>
          <t>Stadsfiets City, 7 versnellingen</t>
        </is>
      </c>
      <c r="H13" s="12" t="n">
        <v>12</v>
      </c>
      <c r="I13" s="14" t="n">
        <v>400</v>
      </c>
      <c r="J13" s="14">
        <f>H13*I13</f>
        <v/>
      </c>
      <c r="K13" s="15" t="n">
        <v>0.21</v>
      </c>
      <c r="L13" s="14">
        <f>J13*K13</f>
        <v/>
      </c>
    </row>
    <row r="14">
      <c r="A14" s="13" t="inlineStr">
        <is>
          <t>A1</t>
        </is>
      </c>
      <c r="B14" s="13" t="inlineStr">
        <is>
          <t>2026-205</t>
        </is>
      </c>
      <c r="C14" s="13" t="inlineStr">
        <is>
          <t>AK</t>
        </is>
      </c>
      <c r="D14" s="13" t="n">
        <v>2</v>
      </c>
      <c r="E14" s="13" t="inlineStr">
        <is>
          <t>artikel</t>
        </is>
      </c>
      <c r="F14" s="13" t="inlineStr">
        <is>
          <t>EBIKE</t>
        </is>
      </c>
      <c r="G14" s="13" t="inlineStr">
        <is>
          <t>E-bike Comfort, 500 Wh</t>
        </is>
      </c>
      <c r="H14" s="12" t="n">
        <v>5</v>
      </c>
      <c r="I14" s="14" t="n">
        <v>1400</v>
      </c>
      <c r="J14" s="14">
        <f>H14*I14</f>
        <v/>
      </c>
      <c r="K14" s="15" t="n">
        <v>0.21</v>
      </c>
      <c r="L14" s="14">
        <f>J14*K14</f>
        <v/>
      </c>
    </row>
    <row r="15">
      <c r="A15" s="13" t="inlineStr">
        <is>
          <t>A1</t>
        </is>
      </c>
      <c r="B15" s="13" t="inlineStr">
        <is>
          <t>2026-205</t>
        </is>
      </c>
      <c r="C15" s="13" t="inlineStr">
        <is>
          <t>AK</t>
        </is>
      </c>
      <c r="D15" s="13" t="n">
        <v>3</v>
      </c>
      <c r="E15" s="13" t="inlineStr">
        <is>
          <t>artikel</t>
        </is>
      </c>
      <c r="F15" s="13" t="inlineStr">
        <is>
          <t>BAK</t>
        </is>
      </c>
      <c r="G15" s="13" t="inlineStr">
        <is>
          <t>Bakfiets Cargo, 2 wielen</t>
        </is>
      </c>
      <c r="H15" s="12" t="n">
        <v>2</v>
      </c>
      <c r="I15" s="14" t="n">
        <v>1800</v>
      </c>
      <c r="J15" s="14">
        <f>H15*I15</f>
        <v/>
      </c>
      <c r="K15" s="15" t="n">
        <v>0.21</v>
      </c>
      <c r="L15" s="14">
        <f>J15*K15</f>
        <v/>
      </c>
    </row>
    <row r="16">
      <c r="A16" s="13" t="inlineStr">
        <is>
          <t>A2</t>
        </is>
      </c>
      <c r="B16" s="13" t="inlineStr">
        <is>
          <t>SW-1032</t>
        </is>
      </c>
      <c r="C16" s="13" t="inlineStr">
        <is>
          <t>AK</t>
        </is>
      </c>
      <c r="D16" s="13" t="n">
        <v>1</v>
      </c>
      <c r="E16" s="13" t="inlineStr">
        <is>
          <t>artikel</t>
        </is>
      </c>
      <c r="F16" s="13" t="inlineStr">
        <is>
          <t>BAND</t>
        </is>
      </c>
      <c r="G16" s="13" t="inlineStr">
        <is>
          <t>Buitenband 28 inch</t>
        </is>
      </c>
      <c r="H16" s="12" t="n">
        <v>20</v>
      </c>
      <c r="I16" s="14" t="n">
        <v>15</v>
      </c>
      <c r="J16" s="14">
        <f>H16*I16</f>
        <v/>
      </c>
      <c r="K16" s="15" t="n">
        <v>0.21</v>
      </c>
      <c r="L16" s="14">
        <f>J16*K16</f>
        <v/>
      </c>
    </row>
    <row r="17">
      <c r="A17" s="13" t="inlineStr">
        <is>
          <t>A2</t>
        </is>
      </c>
      <c r="B17" s="13" t="inlineStr">
        <is>
          <t>SW-1032</t>
        </is>
      </c>
      <c r="C17" s="13" t="inlineStr">
        <is>
          <t>AK</t>
        </is>
      </c>
      <c r="D17" s="13" t="n">
        <v>2</v>
      </c>
      <c r="E17" s="13" t="inlineStr">
        <is>
          <t>artikel</t>
        </is>
      </c>
      <c r="F17" s="13" t="inlineStr">
        <is>
          <t>KET</t>
        </is>
      </c>
      <c r="G17" s="13" t="inlineStr">
        <is>
          <t>Fietsketting 8 speed</t>
        </is>
      </c>
      <c r="H17" s="12" t="n">
        <v>10</v>
      </c>
      <c r="I17" s="14" t="n">
        <v>10</v>
      </c>
      <c r="J17" s="14">
        <f>H17*I17</f>
        <v/>
      </c>
      <c r="K17" s="15" t="n">
        <v>0.21</v>
      </c>
      <c r="L17" s="14">
        <f>J17*K17</f>
        <v/>
      </c>
    </row>
    <row r="18">
      <c r="A18" s="13" t="inlineStr">
        <is>
          <t>A3</t>
        </is>
      </c>
      <c r="B18" s="13" t="inlineStr">
        <is>
          <t>HH-26-077</t>
        </is>
      </c>
      <c r="C18" s="13" t="inlineStr">
        <is>
          <t>AK</t>
        </is>
      </c>
      <c r="D18" s="13" t="n">
        <v>1</v>
      </c>
      <c r="E18" s="13" t="inlineStr">
        <is>
          <t>artikel</t>
        </is>
      </c>
      <c r="F18" s="13" t="inlineStr">
        <is>
          <t>HELM</t>
        </is>
      </c>
      <c r="G18" s="13" t="inlineStr">
        <is>
          <t>Fietshelm Urban</t>
        </is>
      </c>
      <c r="H18" s="12" t="n">
        <v>20</v>
      </c>
      <c r="I18" s="14" t="n">
        <v>30</v>
      </c>
      <c r="J18" s="14">
        <f>H18*I18</f>
        <v/>
      </c>
      <c r="K18" s="15" t="n">
        <v>0.21</v>
      </c>
      <c r="L18" s="14">
        <f>J18*K18</f>
        <v/>
      </c>
    </row>
    <row r="19">
      <c r="A19" s="13" t="inlineStr">
        <is>
          <t>A3</t>
        </is>
      </c>
      <c r="B19" s="13" t="inlineStr">
        <is>
          <t>HH-26-077</t>
        </is>
      </c>
      <c r="C19" s="13" t="inlineStr">
        <is>
          <t>AK</t>
        </is>
      </c>
      <c r="D19" s="13" t="n">
        <v>2</v>
      </c>
      <c r="E19" s="13" t="inlineStr">
        <is>
          <t>artikel</t>
        </is>
      </c>
      <c r="F19" s="13" t="inlineStr">
        <is>
          <t>SLOT</t>
        </is>
      </c>
      <c r="G19" s="13" t="inlineStr">
        <is>
          <t>Plooislot</t>
        </is>
      </c>
      <c r="H19" s="12" t="n">
        <v>20</v>
      </c>
      <c r="I19" s="14" t="n">
        <v>20</v>
      </c>
      <c r="J19" s="14">
        <f>H19*I19</f>
        <v/>
      </c>
      <c r="K19" s="15" t="n">
        <v>0.21</v>
      </c>
      <c r="L19" s="14">
        <f>J19*K19</f>
        <v/>
      </c>
    </row>
    <row r="20">
      <c r="A20" s="13" t="inlineStr">
        <is>
          <t>A4</t>
        </is>
      </c>
      <c r="B20" s="13" t="inlineStr">
        <is>
          <t>DP-2026-031</t>
        </is>
      </c>
      <c r="C20" s="13" t="inlineStr">
        <is>
          <t>AK</t>
        </is>
      </c>
      <c r="D20" s="13" t="n">
        <v>1</v>
      </c>
      <c r="E20" s="13" t="inlineStr">
        <is>
          <t>dienst</t>
        </is>
      </c>
      <c r="F20" s="13" t="n"/>
      <c r="G20" s="13" t="inlineStr">
        <is>
          <t>2.000 flyers en 20 affiches opening voorjaar</t>
        </is>
      </c>
      <c r="H20" s="12" t="n">
        <v>1</v>
      </c>
      <c r="I20" s="14" t="n">
        <v>500</v>
      </c>
      <c r="J20" s="14">
        <f>H20*I20</f>
        <v/>
      </c>
      <c r="K20" s="15" t="n">
        <v>0.21</v>
      </c>
      <c r="L20" s="14">
        <f>J20*K20</f>
        <v/>
      </c>
    </row>
    <row r="21">
      <c r="A21" s="13" t="inlineStr">
        <is>
          <t>A5</t>
        </is>
      </c>
      <c r="B21" s="13" t="inlineStr">
        <is>
          <t>KT-0458</t>
        </is>
      </c>
      <c r="C21" s="13" t="inlineStr">
        <is>
          <t>AK</t>
        </is>
      </c>
      <c r="D21" s="13" t="n">
        <v>1</v>
      </c>
      <c r="E21" s="13" t="inlineStr">
        <is>
          <t>vast actief</t>
        </is>
      </c>
      <c r="F21" s="13" t="n"/>
      <c r="G21" s="13" t="inlineStr">
        <is>
          <t>Kassasysteem met touchscreen, bonprinter en kassalade</t>
        </is>
      </c>
      <c r="H21" s="12" t="n">
        <v>1</v>
      </c>
      <c r="I21" s="14" t="n">
        <v>1200</v>
      </c>
      <c r="J21" s="14">
        <f>H21*I21</f>
        <v/>
      </c>
      <c r="K21" s="15" t="n">
        <v>0.21</v>
      </c>
      <c r="L21" s="14">
        <f>J21*K21</f>
        <v/>
      </c>
    </row>
    <row r="22">
      <c r="A22" s="13" t="inlineStr">
        <is>
          <t>CA1</t>
        </is>
      </c>
      <c r="B22" s="13" t="inlineStr">
        <is>
          <t>CN-2026-015</t>
        </is>
      </c>
      <c r="C22" s="13" t="inlineStr">
        <is>
          <t>CN-AK</t>
        </is>
      </c>
      <c r="D22" s="13" t="n">
        <v>1</v>
      </c>
      <c r="E22" s="13" t="inlineStr">
        <is>
          <t>artikel</t>
        </is>
      </c>
      <c r="F22" s="13" t="inlineStr">
        <is>
          <t>EBIKE</t>
        </is>
      </c>
      <c r="G22" s="13" t="inlineStr">
        <is>
          <t>E-bike Comfort, 500 Wh</t>
        </is>
      </c>
      <c r="H22" s="12" t="n">
        <v>1</v>
      </c>
      <c r="I22" s="14" t="n">
        <v>1400</v>
      </c>
      <c r="J22" s="14">
        <f>H22*I22</f>
        <v/>
      </c>
      <c r="K22" s="15" t="n">
        <v>0.21</v>
      </c>
      <c r="L22" s="14">
        <f>J22*K22</f>
        <v/>
      </c>
    </row>
    <row r="23">
      <c r="A23" s="13" t="inlineStr">
        <is>
          <t>CA2</t>
        </is>
      </c>
      <c r="B23" s="13" t="inlineStr">
        <is>
          <t>HH-CN-26-004</t>
        </is>
      </c>
      <c r="C23" s="13" t="inlineStr">
        <is>
          <t>CN-AK</t>
        </is>
      </c>
      <c r="D23" s="13" t="n">
        <v>1</v>
      </c>
      <c r="E23" s="13" t="inlineStr">
        <is>
          <t>artikel</t>
        </is>
      </c>
      <c r="F23" s="13" t="inlineStr">
        <is>
          <t>SLOT</t>
        </is>
      </c>
      <c r="G23" s="13" t="inlineStr">
        <is>
          <t>Plooislot</t>
        </is>
      </c>
      <c r="H23" s="12" t="n">
        <v>10</v>
      </c>
      <c r="I23" s="14" t="n">
        <v>20</v>
      </c>
      <c r="J23" s="14">
        <f>H23*I23</f>
        <v/>
      </c>
      <c r="K23" s="15" t="n">
        <v>0.21</v>
      </c>
      <c r="L23" s="14">
        <f>J23*K23</f>
        <v/>
      </c>
    </row>
    <row r="24">
      <c r="A24" s="13" t="inlineStr">
        <is>
          <t>CA3</t>
        </is>
      </c>
      <c r="B24" s="13" t="inlineStr">
        <is>
          <t>SW-CN-118</t>
        </is>
      </c>
      <c r="C24" s="13" t="inlineStr">
        <is>
          <t>CN-AK</t>
        </is>
      </c>
      <c r="D24" s="13" t="n">
        <v>1</v>
      </c>
      <c r="E24" s="13" t="inlineStr">
        <is>
          <t>artikel</t>
        </is>
      </c>
      <c r="F24" s="13" t="inlineStr">
        <is>
          <t>KET</t>
        </is>
      </c>
      <c r="G24" s="13" t="inlineStr">
        <is>
          <t>Fietsketting 8 speed</t>
        </is>
      </c>
      <c r="H24" s="12" t="n">
        <v>10</v>
      </c>
      <c r="I24" s="14" t="n">
        <v>10</v>
      </c>
      <c r="J24" s="14">
        <f>H24*I24</f>
        <v/>
      </c>
      <c r="K24" s="15" t="n">
        <v>0.21</v>
      </c>
      <c r="L24" s="14">
        <f>J24*K24</f>
        <v/>
      </c>
    </row>
    <row r="25">
      <c r="A25" s="13" t="inlineStr">
        <is>
          <t>V1</t>
        </is>
      </c>
      <c r="B25" s="13" t="inlineStr">
        <is>
          <t>2026-003</t>
        </is>
      </c>
      <c r="C25" s="13" t="inlineStr">
        <is>
          <t>VK</t>
        </is>
      </c>
      <c r="D25" s="13" t="n">
        <v>1</v>
      </c>
      <c r="E25" s="13" t="inlineStr">
        <is>
          <t>artikel</t>
        </is>
      </c>
      <c r="F25" s="13" t="inlineStr">
        <is>
          <t>STAD</t>
        </is>
      </c>
      <c r="G25" s="13" t="inlineStr">
        <is>
          <t>Stadsfiets City, 7 versnellingen</t>
        </is>
      </c>
      <c r="H25" s="12" t="n">
        <v>8</v>
      </c>
      <c r="I25" s="14" t="n">
        <v>600</v>
      </c>
      <c r="J25" s="14">
        <f>H25*I25</f>
        <v/>
      </c>
      <c r="K25" s="15" t="n">
        <v>0.21</v>
      </c>
      <c r="L25" s="14">
        <f>J25*K25</f>
        <v/>
      </c>
    </row>
    <row r="26">
      <c r="A26" s="13" t="inlineStr">
        <is>
          <t>V2</t>
        </is>
      </c>
      <c r="B26" s="13" t="inlineStr">
        <is>
          <t>2026-004</t>
        </is>
      </c>
      <c r="C26" s="13" t="inlineStr">
        <is>
          <t>VK</t>
        </is>
      </c>
      <c r="D26" s="13" t="n">
        <v>1</v>
      </c>
      <c r="E26" s="13" t="inlineStr">
        <is>
          <t>artikel</t>
        </is>
      </c>
      <c r="F26" s="13" t="inlineStr">
        <is>
          <t>BAK</t>
        </is>
      </c>
      <c r="G26" s="13" t="inlineStr">
        <is>
          <t>Bakfiets Cargo, 2 wielen</t>
        </is>
      </c>
      <c r="H26" s="12" t="n">
        <v>2</v>
      </c>
      <c r="I26" s="14" t="n">
        <v>2600</v>
      </c>
      <c r="J26" s="14">
        <f>H26*I26</f>
        <v/>
      </c>
      <c r="K26" s="15" t="n">
        <v>0.21</v>
      </c>
      <c r="L26" s="14">
        <f>J26*K26</f>
        <v/>
      </c>
    </row>
    <row r="27">
      <c r="A27" s="13" t="inlineStr">
        <is>
          <t>V3</t>
        </is>
      </c>
      <c r="B27" s="13" t="inlineStr">
        <is>
          <t>2026-005</t>
        </is>
      </c>
      <c r="C27" s="13" t="inlineStr">
        <is>
          <t>VK</t>
        </is>
      </c>
      <c r="D27" s="13" t="n">
        <v>1</v>
      </c>
      <c r="E27" s="13" t="inlineStr">
        <is>
          <t>artikel</t>
        </is>
      </c>
      <c r="F27" s="13" t="inlineStr">
        <is>
          <t>EBIKE</t>
        </is>
      </c>
      <c r="G27" s="13" t="inlineStr">
        <is>
          <t>E-bike Comfort, 500 Wh</t>
        </is>
      </c>
      <c r="H27" s="12" t="n">
        <v>3</v>
      </c>
      <c r="I27" s="14" t="n">
        <v>2000</v>
      </c>
      <c r="J27" s="14">
        <f>H27*I27</f>
        <v/>
      </c>
      <c r="K27" s="15" t="n">
        <v>0.21</v>
      </c>
      <c r="L27" s="14">
        <f>J27*K27</f>
        <v/>
      </c>
    </row>
    <row r="28">
      <c r="A28" s="13" t="inlineStr">
        <is>
          <t>V4</t>
        </is>
      </c>
      <c r="B28" s="13" t="inlineStr">
        <is>
          <t>2026-006</t>
        </is>
      </c>
      <c r="C28" s="13" t="inlineStr">
        <is>
          <t>VK</t>
        </is>
      </c>
      <c r="D28" s="13" t="n">
        <v>1</v>
      </c>
      <c r="E28" s="13" t="inlineStr">
        <is>
          <t>dienst</t>
        </is>
      </c>
      <c r="F28" s="13" t="n"/>
      <c r="G28" s="13" t="inlineStr">
        <is>
          <t>Onderhoudsbeurt fiets (arbeid)</t>
        </is>
      </c>
      <c r="H28" s="12" t="n">
        <v>10</v>
      </c>
      <c r="I28" s="14" t="n">
        <v>60</v>
      </c>
      <c r="J28" s="14">
        <f>H28*I28</f>
        <v/>
      </c>
      <c r="K28" s="15" t="n">
        <v>0.06</v>
      </c>
      <c r="L28" s="14">
        <f>J28*K28</f>
        <v/>
      </c>
    </row>
    <row r="29">
      <c r="A29" s="13" t="inlineStr">
        <is>
          <t>V5</t>
        </is>
      </c>
      <c r="B29" s="13" t="inlineStr">
        <is>
          <t>2026-007</t>
        </is>
      </c>
      <c r="C29" s="13" t="inlineStr">
        <is>
          <t>VK</t>
        </is>
      </c>
      <c r="D29" s="13" t="n">
        <v>1</v>
      </c>
      <c r="E29" s="13" t="inlineStr">
        <is>
          <t>artikel</t>
        </is>
      </c>
      <c r="F29" s="13" t="inlineStr">
        <is>
          <t>STAD</t>
        </is>
      </c>
      <c r="G29" s="13" t="inlineStr">
        <is>
          <t>Stadsfiets City, 7 versnellingen</t>
        </is>
      </c>
      <c r="H29" s="12" t="n">
        <v>2</v>
      </c>
      <c r="I29" s="14" t="n">
        <v>600</v>
      </c>
      <c r="J29" s="14">
        <f>H29*I29</f>
        <v/>
      </c>
      <c r="K29" s="15" t="n">
        <v>0.21</v>
      </c>
      <c r="L29" s="14">
        <f>J29*K29</f>
        <v/>
      </c>
    </row>
    <row r="30">
      <c r="A30" s="13" t="inlineStr">
        <is>
          <t>V5</t>
        </is>
      </c>
      <c r="B30" s="13" t="inlineStr">
        <is>
          <t>2026-007</t>
        </is>
      </c>
      <c r="C30" s="13" t="inlineStr">
        <is>
          <t>VK</t>
        </is>
      </c>
      <c r="D30" s="13" t="n">
        <v>2</v>
      </c>
      <c r="E30" s="13" t="inlineStr">
        <is>
          <t>artikel</t>
        </is>
      </c>
      <c r="F30" s="13" t="inlineStr">
        <is>
          <t>HELM</t>
        </is>
      </c>
      <c r="G30" s="13" t="inlineStr">
        <is>
          <t>Fietshelm Urban</t>
        </is>
      </c>
      <c r="H30" s="12" t="n">
        <v>4</v>
      </c>
      <c r="I30" s="14" t="n">
        <v>50</v>
      </c>
      <c r="J30" s="14">
        <f>H30*I30</f>
        <v/>
      </c>
      <c r="K30" s="15" t="n">
        <v>0.21</v>
      </c>
      <c r="L30" s="14">
        <f>J30*K30</f>
        <v/>
      </c>
    </row>
    <row r="31">
      <c r="A31" s="13" t="inlineStr">
        <is>
          <t>CV1</t>
        </is>
      </c>
      <c r="B31" s="13" t="inlineStr">
        <is>
          <t>CN-2026-002</t>
        </is>
      </c>
      <c r="C31" s="13" t="inlineStr">
        <is>
          <t>CN-VK</t>
        </is>
      </c>
      <c r="D31" s="13" t="n">
        <v>1</v>
      </c>
      <c r="E31" s="13" t="inlineStr">
        <is>
          <t>artikel</t>
        </is>
      </c>
      <c r="F31" s="13" t="inlineStr">
        <is>
          <t>STAD</t>
        </is>
      </c>
      <c r="G31" s="13" t="inlineStr">
        <is>
          <t>Stadsfiets City, 7 versnellingen</t>
        </is>
      </c>
      <c r="H31" s="12" t="n">
        <v>1</v>
      </c>
      <c r="I31" s="14" t="n">
        <v>600</v>
      </c>
      <c r="J31" s="14">
        <f>H31*I31</f>
        <v/>
      </c>
      <c r="K31" s="15" t="n">
        <v>0.21</v>
      </c>
      <c r="L31" s="14">
        <f>J31*K31</f>
        <v/>
      </c>
    </row>
    <row r="32">
      <c r="A32" s="13" t="inlineStr">
        <is>
          <t>CV2</t>
        </is>
      </c>
      <c r="B32" s="13" t="inlineStr">
        <is>
          <t>CN-2026-003</t>
        </is>
      </c>
      <c r="C32" s="13" t="inlineStr">
        <is>
          <t>CN-VK</t>
        </is>
      </c>
      <c r="D32" s="13" t="n">
        <v>1</v>
      </c>
      <c r="E32" s="13" t="inlineStr">
        <is>
          <t>artikel</t>
        </is>
      </c>
      <c r="F32" s="13" t="inlineStr">
        <is>
          <t>HELM</t>
        </is>
      </c>
      <c r="G32" s="13" t="inlineStr">
        <is>
          <t>Fietshelm Urban</t>
        </is>
      </c>
      <c r="H32" s="12" t="n">
        <v>2</v>
      </c>
      <c r="I32" s="14" t="n">
        <v>50</v>
      </c>
      <c r="J32" s="14">
        <f>H32*I32</f>
        <v/>
      </c>
      <c r="K32" s="15" t="n">
        <v>0.21</v>
      </c>
      <c r="L32" s="14">
        <f>J32*K32</f>
        <v/>
      </c>
    </row>
    <row r="33">
      <c r="A33" s="13" t="inlineStr">
        <is>
          <t>CV3</t>
        </is>
      </c>
      <c r="B33" s="13" t="inlineStr">
        <is>
          <t>CN-2026-004</t>
        </is>
      </c>
      <c r="C33" s="13" t="inlineStr">
        <is>
          <t>CN-VK</t>
        </is>
      </c>
      <c r="D33" s="13" t="n">
        <v>1</v>
      </c>
      <c r="E33" s="13" t="inlineStr">
        <is>
          <t>artikel</t>
        </is>
      </c>
      <c r="F33" s="13" t="inlineStr">
        <is>
          <t>EBIKE</t>
        </is>
      </c>
      <c r="G33" s="13" t="inlineStr">
        <is>
          <t>E-bike Comfort, 500 Wh</t>
        </is>
      </c>
      <c r="H33" s="12" t="n">
        <v>1</v>
      </c>
      <c r="I33" s="14" t="n">
        <v>2000</v>
      </c>
      <c r="J33" s="14">
        <f>H33*I33</f>
        <v/>
      </c>
      <c r="K33" s="15" t="n">
        <v>0.21</v>
      </c>
      <c r="L33" s="14">
        <f>J33*K33</f>
        <v/>
      </c>
    </row>
    <row r="34">
      <c r="A34" s="13" t="inlineStr">
        <is>
          <t>D1</t>
        </is>
      </c>
      <c r="B34" s="13" t="inlineStr">
        <is>
          <t>DO-2026-02</t>
        </is>
      </c>
      <c r="C34" s="13" t="inlineStr">
        <is>
          <t>DO</t>
        </is>
      </c>
      <c r="D34" s="13" t="n">
        <v>1</v>
      </c>
      <c r="E34" s="13" t="inlineStr">
        <is>
          <t>artikel</t>
        </is>
      </c>
      <c r="F34" s="13" t="inlineStr">
        <is>
          <t>STAD</t>
        </is>
      </c>
      <c r="G34" s="13" t="inlineStr">
        <is>
          <t>Stadsfiets City, 7 versnellingen</t>
        </is>
      </c>
      <c r="H34" s="12" t="n">
        <v>2</v>
      </c>
      <c r="I34" s="14" t="n">
        <v>600</v>
      </c>
      <c r="J34" s="14">
        <f>H34*I34</f>
        <v/>
      </c>
      <c r="K34" s="15" t="n">
        <v>0.21</v>
      </c>
      <c r="L34" s="14">
        <f>J34*K34</f>
        <v/>
      </c>
    </row>
    <row r="35">
      <c r="A35" s="13" t="inlineStr">
        <is>
          <t>D1</t>
        </is>
      </c>
      <c r="B35" s="13" t="inlineStr">
        <is>
          <t>DO-2026-02</t>
        </is>
      </c>
      <c r="C35" s="13" t="inlineStr">
        <is>
          <t>DO</t>
        </is>
      </c>
      <c r="D35" s="13" t="n">
        <v>2</v>
      </c>
      <c r="E35" s="13" t="inlineStr">
        <is>
          <t>artikel</t>
        </is>
      </c>
      <c r="F35" s="13" t="inlineStr">
        <is>
          <t>HELM</t>
        </is>
      </c>
      <c r="G35" s="13" t="inlineStr">
        <is>
          <t>Fietshelm Urban</t>
        </is>
      </c>
      <c r="H35" s="12" t="n">
        <v>6</v>
      </c>
      <c r="I35" s="14" t="n">
        <v>50</v>
      </c>
      <c r="J35" s="14">
        <f>H35*I35</f>
        <v/>
      </c>
      <c r="K35" s="15" t="n">
        <v>0.21</v>
      </c>
      <c r="L35" s="14">
        <f>J35*K35</f>
        <v/>
      </c>
    </row>
    <row r="36">
      <c r="A36" s="13" t="inlineStr">
        <is>
          <t>D1</t>
        </is>
      </c>
      <c r="B36" s="13" t="inlineStr">
        <is>
          <t>DO-2026-02</t>
        </is>
      </c>
      <c r="C36" s="13" t="inlineStr">
        <is>
          <t>DO</t>
        </is>
      </c>
      <c r="D36" s="13" t="n">
        <v>3</v>
      </c>
      <c r="E36" s="13" t="inlineStr">
        <is>
          <t>dienst</t>
        </is>
      </c>
      <c r="F36" s="13" t="n"/>
      <c r="G36" s="13" t="inlineStr">
        <is>
          <t>Herstelling fiets (arbeid)</t>
        </is>
      </c>
      <c r="H36" s="12" t="n">
        <v>6</v>
      </c>
      <c r="I36" s="14" t="n">
        <v>50</v>
      </c>
      <c r="J36" s="14">
        <f>H36*I36</f>
        <v/>
      </c>
      <c r="K36" s="15" t="n">
        <v>0.06</v>
      </c>
      <c r="L36" s="14">
        <f>J36*K36</f>
        <v/>
      </c>
    </row>
    <row r="37">
      <c r="A37" s="13" t="inlineStr">
        <is>
          <t>D2</t>
        </is>
      </c>
      <c r="B37" s="13" t="inlineStr">
        <is>
          <t>DO-2026-03</t>
        </is>
      </c>
      <c r="C37" s="13" t="inlineStr">
        <is>
          <t>DO</t>
        </is>
      </c>
      <c r="D37" s="13" t="n">
        <v>1</v>
      </c>
      <c r="E37" s="13" t="inlineStr">
        <is>
          <t>artikel</t>
        </is>
      </c>
      <c r="F37" s="13" t="inlineStr">
        <is>
          <t>EBIKE</t>
        </is>
      </c>
      <c r="G37" s="13" t="inlineStr">
        <is>
          <t>E-bike Comfort, 500 Wh</t>
        </is>
      </c>
      <c r="H37" s="12" t="n">
        <v>1</v>
      </c>
      <c r="I37" s="14" t="n">
        <v>2000</v>
      </c>
      <c r="J37" s="14">
        <f>H37*I37</f>
        <v/>
      </c>
      <c r="K37" s="15" t="n">
        <v>0.21</v>
      </c>
      <c r="L37" s="14">
        <f>J37*K37</f>
        <v/>
      </c>
    </row>
    <row r="38">
      <c r="A38" s="13" t="inlineStr">
        <is>
          <t>D2</t>
        </is>
      </c>
      <c r="B38" s="13" t="inlineStr">
        <is>
          <t>DO-2026-03</t>
        </is>
      </c>
      <c r="C38" s="13" t="inlineStr">
        <is>
          <t>DO</t>
        </is>
      </c>
      <c r="D38" s="13" t="n">
        <v>2</v>
      </c>
      <c r="E38" s="13" t="inlineStr">
        <is>
          <t>dienst</t>
        </is>
      </c>
      <c r="F38" s="13" t="n"/>
      <c r="G38" s="13" t="inlineStr">
        <is>
          <t>Herstelling fiets (arbeid)</t>
        </is>
      </c>
      <c r="H38" s="12" t="n">
        <v>8</v>
      </c>
      <c r="I38" s="14" t="n">
        <v>50</v>
      </c>
      <c r="J38" s="14">
        <f>H38*I38</f>
        <v/>
      </c>
      <c r="K38" s="15" t="n">
        <v>0.06</v>
      </c>
      <c r="L38" s="14">
        <f>J38*K38</f>
        <v/>
      </c>
    </row>
    <row r="39">
      <c r="A39" s="13" t="inlineStr">
        <is>
          <t>D3</t>
        </is>
      </c>
      <c r="B39" s="13" t="inlineStr">
        <is>
          <t>DO-2026-04</t>
        </is>
      </c>
      <c r="C39" s="13" t="inlineStr">
        <is>
          <t>DO</t>
        </is>
      </c>
      <c r="D39" s="13" t="n">
        <v>1</v>
      </c>
      <c r="E39" s="13" t="inlineStr">
        <is>
          <t>artikel</t>
        </is>
      </c>
      <c r="F39" s="13" t="inlineStr">
        <is>
          <t>BAND</t>
        </is>
      </c>
      <c r="G39" s="13" t="inlineStr">
        <is>
          <t>Buitenband 28 inch</t>
        </is>
      </c>
      <c r="H39" s="12" t="n">
        <v>20</v>
      </c>
      <c r="I39" s="14" t="n">
        <v>25</v>
      </c>
      <c r="J39" s="14">
        <f>H39*I39</f>
        <v/>
      </c>
      <c r="K39" s="15" t="n">
        <v>0.21</v>
      </c>
      <c r="L39" s="14">
        <f>J39*K39</f>
        <v/>
      </c>
    </row>
    <row r="40">
      <c r="A40" s="13" t="inlineStr">
        <is>
          <t>D3</t>
        </is>
      </c>
      <c r="B40" s="13" t="inlineStr">
        <is>
          <t>DO-2026-04</t>
        </is>
      </c>
      <c r="C40" s="13" t="inlineStr">
        <is>
          <t>DO</t>
        </is>
      </c>
      <c r="D40" s="13" t="n">
        <v>2</v>
      </c>
      <c r="E40" s="13" t="inlineStr">
        <is>
          <t>artikel</t>
        </is>
      </c>
      <c r="F40" s="13" t="inlineStr">
        <is>
          <t>HELM</t>
        </is>
      </c>
      <c r="G40" s="13" t="inlineStr">
        <is>
          <t>Fietshelm Urban</t>
        </is>
      </c>
      <c r="H40" s="12" t="n">
        <v>8</v>
      </c>
      <c r="I40" s="14" t="n">
        <v>50</v>
      </c>
      <c r="J40" s="14">
        <f>H40*I40</f>
        <v/>
      </c>
      <c r="K40" s="15" t="n">
        <v>0.21</v>
      </c>
      <c r="L40" s="14">
        <f>J40*K40</f>
        <v/>
      </c>
    </row>
    <row r="41">
      <c r="A41" s="13" t="inlineStr">
        <is>
          <t>D3</t>
        </is>
      </c>
      <c r="B41" s="13" t="inlineStr">
        <is>
          <t>DO-2026-04</t>
        </is>
      </c>
      <c r="C41" s="13" t="inlineStr">
        <is>
          <t>DO</t>
        </is>
      </c>
      <c r="D41" s="13" t="n">
        <v>3</v>
      </c>
      <c r="E41" s="13" t="inlineStr">
        <is>
          <t>dienst</t>
        </is>
      </c>
      <c r="F41" s="13" t="n"/>
      <c r="G41" s="13" t="inlineStr">
        <is>
          <t>Herstelling fiets (arbeid)</t>
        </is>
      </c>
      <c r="H41" s="12" t="n">
        <v>5</v>
      </c>
      <c r="I41" s="14" t="n">
        <v>50</v>
      </c>
      <c r="J41" s="14">
        <f>H41*I41</f>
        <v/>
      </c>
      <c r="K41" s="15" t="n">
        <v>0.06</v>
      </c>
      <c r="L41" s="14">
        <f>J41*K41</f>
        <v/>
      </c>
    </row>
    <row r="42">
      <c r="A42" s="13" t="inlineStr">
        <is>
          <t>Q2A1</t>
        </is>
      </c>
      <c r="B42" s="13" t="inlineStr">
        <is>
          <t>2026-411</t>
        </is>
      </c>
      <c r="C42" s="13" t="inlineStr">
        <is>
          <t>AK</t>
        </is>
      </c>
      <c r="D42" s="13" t="n">
        <v>1</v>
      </c>
      <c r="E42" s="13" t="inlineStr">
        <is>
          <t>artikel</t>
        </is>
      </c>
      <c r="F42" s="13" t="inlineStr">
        <is>
          <t>STAD</t>
        </is>
      </c>
      <c r="G42" s="13" t="inlineStr">
        <is>
          <t>Stadsfiets City, 7 versnellingen</t>
        </is>
      </c>
      <c r="H42" s="12" t="n">
        <v>10</v>
      </c>
      <c r="I42" s="14" t="n">
        <v>400</v>
      </c>
      <c r="J42" s="14">
        <f>H42*I42</f>
        <v/>
      </c>
      <c r="K42" s="15" t="n">
        <v>0.21</v>
      </c>
      <c r="L42" s="14">
        <f>J42*K42</f>
        <v/>
      </c>
    </row>
    <row r="43">
      <c r="A43" s="13" t="inlineStr">
        <is>
          <t>Q2A1</t>
        </is>
      </c>
      <c r="B43" s="13" t="inlineStr">
        <is>
          <t>2026-411</t>
        </is>
      </c>
      <c r="C43" s="13" t="inlineStr">
        <is>
          <t>AK</t>
        </is>
      </c>
      <c r="D43" s="13" t="n">
        <v>2</v>
      </c>
      <c r="E43" s="13" t="inlineStr">
        <is>
          <t>artikel</t>
        </is>
      </c>
      <c r="F43" s="13" t="inlineStr">
        <is>
          <t>EBIKE</t>
        </is>
      </c>
      <c r="G43" s="13" t="inlineStr">
        <is>
          <t>E-bike Comfort, 500 Wh</t>
        </is>
      </c>
      <c r="H43" s="12" t="n">
        <v>4</v>
      </c>
      <c r="I43" s="14" t="n">
        <v>1400</v>
      </c>
      <c r="J43" s="14">
        <f>H43*I43</f>
        <v/>
      </c>
      <c r="K43" s="15" t="n">
        <v>0.21</v>
      </c>
      <c r="L43" s="14">
        <f>J43*K43</f>
        <v/>
      </c>
    </row>
    <row r="44">
      <c r="A44" s="13" t="inlineStr">
        <is>
          <t>Q2A1</t>
        </is>
      </c>
      <c r="B44" s="13" t="inlineStr">
        <is>
          <t>2026-411</t>
        </is>
      </c>
      <c r="C44" s="13" t="inlineStr">
        <is>
          <t>AK</t>
        </is>
      </c>
      <c r="D44" s="13" t="n">
        <v>3</v>
      </c>
      <c r="E44" s="13" t="inlineStr">
        <is>
          <t>artikel</t>
        </is>
      </c>
      <c r="F44" s="13" t="inlineStr">
        <is>
          <t>KIND</t>
        </is>
      </c>
      <c r="G44" s="13" t="inlineStr">
        <is>
          <t>Kinderfiets 20 inch</t>
        </is>
      </c>
      <c r="H44" s="12" t="n">
        <v>4</v>
      </c>
      <c r="I44" s="14" t="n">
        <v>150</v>
      </c>
      <c r="J44" s="14">
        <f>H44*I44</f>
        <v/>
      </c>
      <c r="K44" s="15" t="n">
        <v>0.21</v>
      </c>
      <c r="L44" s="14">
        <f>J44*K44</f>
        <v/>
      </c>
    </row>
    <row r="45">
      <c r="A45" s="13" t="inlineStr">
        <is>
          <t>Q2A2</t>
        </is>
      </c>
      <c r="B45" s="13" t="inlineStr">
        <is>
          <t>SK-26-1290</t>
        </is>
      </c>
      <c r="C45" s="13" t="inlineStr">
        <is>
          <t>AK</t>
        </is>
      </c>
      <c r="D45" s="13" t="n">
        <v>1</v>
      </c>
      <c r="E45" s="13" t="inlineStr">
        <is>
          <t>dienst</t>
        </is>
      </c>
      <c r="F45" s="13" t="n"/>
      <c r="G45" s="13" t="inlineStr">
        <is>
          <t>Elektriciteit februari-maart 2026</t>
        </is>
      </c>
      <c r="H45" s="12" t="n">
        <v>1</v>
      </c>
      <c r="I45" s="14" t="n">
        <v>400</v>
      </c>
      <c r="J45" s="14">
        <f>H45*I45</f>
        <v/>
      </c>
      <c r="K45" s="15" t="n">
        <v>0.21</v>
      </c>
      <c r="L45" s="14">
        <f>J45*K45</f>
        <v/>
      </c>
    </row>
    <row r="46">
      <c r="A46" s="13" t="inlineStr">
        <is>
          <t>Q2V1</t>
        </is>
      </c>
      <c r="B46" s="13" t="inlineStr">
        <is>
          <t>2026-008</t>
        </is>
      </c>
      <c r="C46" s="13" t="inlineStr">
        <is>
          <t>VK</t>
        </is>
      </c>
      <c r="D46" s="13" t="n">
        <v>1</v>
      </c>
      <c r="E46" s="13" t="inlineStr">
        <is>
          <t>artikel</t>
        </is>
      </c>
      <c r="F46" s="13" t="inlineStr">
        <is>
          <t>STAD</t>
        </is>
      </c>
      <c r="G46" s="13" t="inlineStr">
        <is>
          <t>Stadsfiets City, 7 versnellingen</t>
        </is>
      </c>
      <c r="H46" s="12" t="n">
        <v>6</v>
      </c>
      <c r="I46" s="14" t="n">
        <v>600</v>
      </c>
      <c r="J46" s="14">
        <f>H46*I46</f>
        <v/>
      </c>
      <c r="K46" s="15" t="n">
        <v>0.21</v>
      </c>
      <c r="L46" s="14">
        <f>J46*K46</f>
        <v/>
      </c>
    </row>
    <row r="47">
      <c r="A47" s="13" t="inlineStr">
        <is>
          <t>Q2V1</t>
        </is>
      </c>
      <c r="B47" s="13" t="inlineStr">
        <is>
          <t>2026-008</t>
        </is>
      </c>
      <c r="C47" s="13" t="inlineStr">
        <is>
          <t>VK</t>
        </is>
      </c>
      <c r="D47" s="13" t="n">
        <v>2</v>
      </c>
      <c r="E47" s="13" t="inlineStr">
        <is>
          <t>artikel</t>
        </is>
      </c>
      <c r="F47" s="13" t="inlineStr">
        <is>
          <t>HELM</t>
        </is>
      </c>
      <c r="G47" s="13" t="inlineStr">
        <is>
          <t>Fietshelm Urban</t>
        </is>
      </c>
      <c r="H47" s="12" t="n">
        <v>8</v>
      </c>
      <c r="I47" s="14" t="n">
        <v>50</v>
      </c>
      <c r="J47" s="14">
        <f>H47*I47</f>
        <v/>
      </c>
      <c r="K47" s="15" t="n">
        <v>0.21</v>
      </c>
      <c r="L47" s="14">
        <f>J47*K47</f>
        <v/>
      </c>
    </row>
    <row r="48">
      <c r="A48" s="13" t="inlineStr">
        <is>
          <t>Q2V1</t>
        </is>
      </c>
      <c r="B48" s="13" t="inlineStr">
        <is>
          <t>2026-008</t>
        </is>
      </c>
      <c r="C48" s="13" t="inlineStr">
        <is>
          <t>VK</t>
        </is>
      </c>
      <c r="D48" s="13" t="n">
        <v>3</v>
      </c>
      <c r="E48" s="13" t="inlineStr">
        <is>
          <t>artikel</t>
        </is>
      </c>
      <c r="F48" s="13" t="inlineStr">
        <is>
          <t>SLOT</t>
        </is>
      </c>
      <c r="G48" s="13" t="inlineStr">
        <is>
          <t>Plooislot</t>
        </is>
      </c>
      <c r="H48" s="12" t="n">
        <v>20</v>
      </c>
      <c r="I48" s="14" t="n">
        <v>35</v>
      </c>
      <c r="J48" s="14">
        <f>H48*I48</f>
        <v/>
      </c>
      <c r="K48" s="15" t="n">
        <v>0.21</v>
      </c>
      <c r="L48" s="14">
        <f>J48*K48</f>
        <v/>
      </c>
    </row>
    <row r="49">
      <c r="A49" s="13" t="inlineStr">
        <is>
          <t>Q2CA1</t>
        </is>
      </c>
      <c r="B49" s="13" t="inlineStr">
        <is>
          <t>CN-2026-029</t>
        </is>
      </c>
      <c r="C49" s="13" t="inlineStr">
        <is>
          <t>CN-AK</t>
        </is>
      </c>
      <c r="D49" s="13" t="n">
        <v>1</v>
      </c>
      <c r="E49" s="13" t="inlineStr">
        <is>
          <t>artikel</t>
        </is>
      </c>
      <c r="F49" s="13" t="inlineStr">
        <is>
          <t>KIND</t>
        </is>
      </c>
      <c r="G49" s="13" t="inlineStr">
        <is>
          <t>Kinderfiets 20 inch</t>
        </is>
      </c>
      <c r="H49" s="12" t="n">
        <v>2</v>
      </c>
      <c r="I49" s="14" t="n">
        <v>150</v>
      </c>
      <c r="J49" s="14">
        <f>H49*I49</f>
        <v/>
      </c>
      <c r="K49" s="15" t="n">
        <v>0.21</v>
      </c>
      <c r="L49" s="14">
        <f>J49*K49</f>
        <v/>
      </c>
    </row>
    <row r="50">
      <c r="A50" s="13" t="inlineStr">
        <is>
          <t>Q2CV1</t>
        </is>
      </c>
      <c r="B50" s="13" t="inlineStr">
        <is>
          <t>CN-2026-005</t>
        </is>
      </c>
      <c r="C50" s="13" t="inlineStr">
        <is>
          <t>CN-VK</t>
        </is>
      </c>
      <c r="D50" s="13" t="n">
        <v>1</v>
      </c>
      <c r="E50" s="13" t="inlineStr">
        <is>
          <t>artikel</t>
        </is>
      </c>
      <c r="F50" s="13" t="inlineStr">
        <is>
          <t>HELM</t>
        </is>
      </c>
      <c r="G50" s="13" t="inlineStr">
        <is>
          <t>Fietshelm Urban</t>
        </is>
      </c>
      <c r="H50" s="12" t="n">
        <v>2</v>
      </c>
      <c r="I50" s="14" t="n">
        <v>50</v>
      </c>
      <c r="J50" s="14">
        <f>H50*I50</f>
        <v/>
      </c>
      <c r="K50" s="15" t="n">
        <v>0.21</v>
      </c>
      <c r="L50" s="14">
        <f>J50*K50</f>
        <v/>
      </c>
    </row>
    <row r="51">
      <c r="A51" s="13" t="inlineStr">
        <is>
          <t>Q2A3</t>
        </is>
      </c>
      <c r="B51" s="13" t="inlineStr">
        <is>
          <t>DW-2026-087</t>
        </is>
      </c>
      <c r="C51" s="13" t="inlineStr">
        <is>
          <t>AK</t>
        </is>
      </c>
      <c r="D51" s="13" t="n">
        <v>1</v>
      </c>
      <c r="E51" s="13" t="inlineStr">
        <is>
          <t>vast actief</t>
        </is>
      </c>
      <c r="F51" s="13" t="n"/>
      <c r="G51" s="13" t="inlineStr">
        <is>
          <t>Montagestandaard voor fietsen, professioneel</t>
        </is>
      </c>
      <c r="H51" s="12" t="n">
        <v>1</v>
      </c>
      <c r="I51" s="14" t="n">
        <v>500</v>
      </c>
      <c r="J51" s="14">
        <f>H51*I51</f>
        <v/>
      </c>
      <c r="K51" s="15" t="n">
        <v>0.21</v>
      </c>
      <c r="L51" s="14">
        <f>J51*K51</f>
        <v/>
      </c>
    </row>
    <row r="52">
      <c r="A52" s="13" t="inlineStr">
        <is>
          <t>Q2V2</t>
        </is>
      </c>
      <c r="B52" s="13" t="inlineStr">
        <is>
          <t>2026-009</t>
        </is>
      </c>
      <c r="C52" s="13" t="inlineStr">
        <is>
          <t>VK</t>
        </is>
      </c>
      <c r="D52" s="13" t="n">
        <v>1</v>
      </c>
      <c r="E52" s="13" t="inlineStr">
        <is>
          <t>artikel</t>
        </is>
      </c>
      <c r="F52" s="13" t="inlineStr">
        <is>
          <t>EBIKE</t>
        </is>
      </c>
      <c r="G52" s="13" t="inlineStr">
        <is>
          <t>E-bike Comfort, 500 Wh</t>
        </is>
      </c>
      <c r="H52" s="12" t="n">
        <v>2</v>
      </c>
      <c r="I52" s="14" t="n">
        <v>2000</v>
      </c>
      <c r="J52" s="14">
        <f>H52*I52</f>
        <v/>
      </c>
      <c r="K52" s="15" t="n">
        <v>0.21</v>
      </c>
      <c r="L52" s="14">
        <f>J52*K52</f>
        <v/>
      </c>
    </row>
    <row r="53">
      <c r="A53" s="13" t="inlineStr">
        <is>
          <t>Q2V2</t>
        </is>
      </c>
      <c r="B53" s="13" t="inlineStr">
        <is>
          <t>2026-009</t>
        </is>
      </c>
      <c r="C53" s="13" t="inlineStr">
        <is>
          <t>VK</t>
        </is>
      </c>
      <c r="D53" s="13" t="n">
        <v>2</v>
      </c>
      <c r="E53" s="13" t="inlineStr">
        <is>
          <t>artikel</t>
        </is>
      </c>
      <c r="F53" s="13" t="inlineStr">
        <is>
          <t>HELM</t>
        </is>
      </c>
      <c r="G53" s="13" t="inlineStr">
        <is>
          <t>Fietshelm Urban</t>
        </is>
      </c>
      <c r="H53" s="12" t="n">
        <v>2</v>
      </c>
      <c r="I53" s="14" t="n">
        <v>50</v>
      </c>
      <c r="J53" s="14">
        <f>H53*I53</f>
        <v/>
      </c>
      <c r="K53" s="15" t="n">
        <v>0.21</v>
      </c>
      <c r="L53" s="14">
        <f>J53*K53</f>
        <v/>
      </c>
    </row>
    <row r="54">
      <c r="A54" s="13" t="inlineStr">
        <is>
          <t>Q2A4</t>
        </is>
      </c>
      <c r="B54" s="13" t="inlineStr">
        <is>
          <t>SW-1290</t>
        </is>
      </c>
      <c r="C54" s="13" t="inlineStr">
        <is>
          <t>AK</t>
        </is>
      </c>
      <c r="D54" s="13" t="n">
        <v>1</v>
      </c>
      <c r="E54" s="13" t="inlineStr">
        <is>
          <t>artikel</t>
        </is>
      </c>
      <c r="F54" s="13" t="inlineStr">
        <is>
          <t>LAMP</t>
        </is>
      </c>
      <c r="G54" s="13" t="inlineStr">
        <is>
          <t>Verlichtingsset LED</t>
        </is>
      </c>
      <c r="H54" s="12" t="n">
        <v>20</v>
      </c>
      <c r="I54" s="14" t="n">
        <v>25</v>
      </c>
      <c r="J54" s="14">
        <f>H54*I54</f>
        <v/>
      </c>
      <c r="K54" s="15" t="n">
        <v>0.21</v>
      </c>
      <c r="L54" s="14">
        <f>J54*K54</f>
        <v/>
      </c>
    </row>
    <row r="55">
      <c r="A55" s="13" t="inlineStr">
        <is>
          <t>Q2A4</t>
        </is>
      </c>
      <c r="B55" s="13" t="inlineStr">
        <is>
          <t>SW-1290</t>
        </is>
      </c>
      <c r="C55" s="13" t="inlineStr">
        <is>
          <t>AK</t>
        </is>
      </c>
      <c r="D55" s="13" t="n">
        <v>2</v>
      </c>
      <c r="E55" s="13" t="inlineStr">
        <is>
          <t>artikel</t>
        </is>
      </c>
      <c r="F55" s="13" t="inlineStr">
        <is>
          <t>BAND</t>
        </is>
      </c>
      <c r="G55" s="13" t="inlineStr">
        <is>
          <t>Buitenband 28 inch</t>
        </is>
      </c>
      <c r="H55" s="12" t="n">
        <v>20</v>
      </c>
      <c r="I55" s="14" t="n">
        <v>15</v>
      </c>
      <c r="J55" s="14">
        <f>H55*I55</f>
        <v/>
      </c>
      <c r="K55" s="15" t="n">
        <v>0.21</v>
      </c>
      <c r="L55" s="14">
        <f>J55*K55</f>
        <v/>
      </c>
    </row>
    <row r="56">
      <c r="A56" s="13" t="inlineStr">
        <is>
          <t>Q2A4</t>
        </is>
      </c>
      <c r="B56" s="13" t="inlineStr">
        <is>
          <t>SW-1290</t>
        </is>
      </c>
      <c r="C56" s="13" t="inlineStr">
        <is>
          <t>AK</t>
        </is>
      </c>
      <c r="D56" s="13" t="n">
        <v>3</v>
      </c>
      <c r="E56" s="13" t="inlineStr">
        <is>
          <t>artikel</t>
        </is>
      </c>
      <c r="F56" s="13" t="inlineStr">
        <is>
          <t>KET</t>
        </is>
      </c>
      <c r="G56" s="13" t="inlineStr">
        <is>
          <t>Fietsketting 8 speed</t>
        </is>
      </c>
      <c r="H56" s="12" t="n">
        <v>10</v>
      </c>
      <c r="I56" s="14" t="n">
        <v>10</v>
      </c>
      <c r="J56" s="14">
        <f>H56*I56</f>
        <v/>
      </c>
      <c r="K56" s="15" t="n">
        <v>0.21</v>
      </c>
      <c r="L56" s="14">
        <f>J56*K56</f>
        <v/>
      </c>
    </row>
    <row r="57">
      <c r="A57" s="13" t="inlineStr">
        <is>
          <t>Q2V3</t>
        </is>
      </c>
      <c r="B57" s="13" t="inlineStr">
        <is>
          <t>2026-010</t>
        </is>
      </c>
      <c r="C57" s="13" t="inlineStr">
        <is>
          <t>VK</t>
        </is>
      </c>
      <c r="D57" s="13" t="n">
        <v>1</v>
      </c>
      <c r="E57" s="13" t="inlineStr">
        <is>
          <t>dienst</t>
        </is>
      </c>
      <c r="F57" s="13" t="n"/>
      <c r="G57" s="13" t="inlineStr">
        <is>
          <t>Onderhoudsbeurt fiets (arbeid)</t>
        </is>
      </c>
      <c r="H57" s="12" t="n">
        <v>15</v>
      </c>
      <c r="I57" s="14" t="n">
        <v>60</v>
      </c>
      <c r="J57" s="14">
        <f>H57*I57</f>
        <v/>
      </c>
      <c r="K57" s="15" t="n">
        <v>0.06</v>
      </c>
      <c r="L57" s="14">
        <f>J57*K57</f>
        <v/>
      </c>
    </row>
    <row r="58">
      <c r="A58" s="13" t="inlineStr">
        <is>
          <t>Q2CA2</t>
        </is>
      </c>
      <c r="B58" s="13" t="inlineStr">
        <is>
          <t>SW-CN-171</t>
        </is>
      </c>
      <c r="C58" s="13" t="inlineStr">
        <is>
          <t>CN-AK</t>
        </is>
      </c>
      <c r="D58" s="13" t="n">
        <v>1</v>
      </c>
      <c r="E58" s="13" t="inlineStr">
        <is>
          <t>artikel</t>
        </is>
      </c>
      <c r="F58" s="13" t="inlineStr">
        <is>
          <t>LAMP</t>
        </is>
      </c>
      <c r="G58" s="13" t="inlineStr">
        <is>
          <t>Verlichtingsset LED</t>
        </is>
      </c>
      <c r="H58" s="12" t="n">
        <v>4</v>
      </c>
      <c r="I58" s="14" t="n">
        <v>25</v>
      </c>
      <c r="J58" s="14">
        <f>H58*I58</f>
        <v/>
      </c>
      <c r="K58" s="15" t="n">
        <v>0.21</v>
      </c>
      <c r="L58" s="14">
        <f>J58*K58</f>
        <v/>
      </c>
    </row>
    <row r="59">
      <c r="A59" s="13" t="inlineStr">
        <is>
          <t>Q2V4</t>
        </is>
      </c>
      <c r="B59" s="13" t="inlineStr">
        <is>
          <t>2026-011</t>
        </is>
      </c>
      <c r="C59" s="13" t="inlineStr">
        <is>
          <t>VK</t>
        </is>
      </c>
      <c r="D59" s="13" t="n">
        <v>1</v>
      </c>
      <c r="E59" s="13" t="inlineStr">
        <is>
          <t>artikel</t>
        </is>
      </c>
      <c r="F59" s="13" t="inlineStr">
        <is>
          <t>STAD</t>
        </is>
      </c>
      <c r="G59" s="13" t="inlineStr">
        <is>
          <t>Stadsfiets City, 7 versnellingen</t>
        </is>
      </c>
      <c r="H59" s="12" t="n">
        <v>2</v>
      </c>
      <c r="I59" s="14" t="n">
        <v>600</v>
      </c>
      <c r="J59" s="14">
        <f>H59*I59</f>
        <v/>
      </c>
      <c r="K59" s="15" t="n">
        <v>0.21</v>
      </c>
      <c r="L59" s="14">
        <f>J59*K59</f>
        <v/>
      </c>
    </row>
    <row r="60">
      <c r="A60" s="13" t="inlineStr">
        <is>
          <t>Q2V4</t>
        </is>
      </c>
      <c r="B60" s="13" t="inlineStr">
        <is>
          <t>2026-011</t>
        </is>
      </c>
      <c r="C60" s="13" t="inlineStr">
        <is>
          <t>VK</t>
        </is>
      </c>
      <c r="D60" s="13" t="n">
        <v>2</v>
      </c>
      <c r="E60" s="13" t="inlineStr">
        <is>
          <t>artikel</t>
        </is>
      </c>
      <c r="F60" s="13" t="inlineStr">
        <is>
          <t>KET</t>
        </is>
      </c>
      <c r="G60" s="13" t="inlineStr">
        <is>
          <t>Fietsketting 8 speed</t>
        </is>
      </c>
      <c r="H60" s="12" t="n">
        <v>5</v>
      </c>
      <c r="I60" s="14" t="n">
        <v>20</v>
      </c>
      <c r="J60" s="14">
        <f>H60*I60</f>
        <v/>
      </c>
      <c r="K60" s="15" t="n">
        <v>0.21</v>
      </c>
      <c r="L60" s="14">
        <f>J60*K60</f>
        <v/>
      </c>
    </row>
    <row r="61">
      <c r="A61" s="13" t="inlineStr">
        <is>
          <t>Q2CV2</t>
        </is>
      </c>
      <c r="B61" s="13" t="inlineStr">
        <is>
          <t>CN-2026-006</t>
        </is>
      </c>
      <c r="C61" s="13" t="inlineStr">
        <is>
          <t>CN-VK</t>
        </is>
      </c>
      <c r="D61" s="13" t="n">
        <v>1</v>
      </c>
      <c r="E61" s="13" t="inlineStr">
        <is>
          <t>artikel</t>
        </is>
      </c>
      <c r="F61" s="13" t="inlineStr">
        <is>
          <t>EBIKE</t>
        </is>
      </c>
      <c r="G61" s="13" t="inlineStr">
        <is>
          <t>E-bike Comfort, 500 Wh</t>
        </is>
      </c>
      <c r="H61" s="12" t="n">
        <v>1</v>
      </c>
      <c r="I61" s="14" t="n">
        <v>2000</v>
      </c>
      <c r="J61" s="14">
        <f>H61*I61</f>
        <v/>
      </c>
      <c r="K61" s="15" t="n">
        <v>0.21</v>
      </c>
      <c r="L61" s="14">
        <f>J61*K61</f>
        <v/>
      </c>
    </row>
    <row r="62">
      <c r="A62" s="13" t="inlineStr">
        <is>
          <t>Q2D1</t>
        </is>
      </c>
      <c r="B62" s="13" t="inlineStr">
        <is>
          <t>DO-2026-05</t>
        </is>
      </c>
      <c r="C62" s="13" t="inlineStr">
        <is>
          <t>DO</t>
        </is>
      </c>
      <c r="D62" s="13" t="n">
        <v>1</v>
      </c>
      <c r="E62" s="13" t="inlineStr">
        <is>
          <t>artikel</t>
        </is>
      </c>
      <c r="F62" s="13" t="inlineStr">
        <is>
          <t>STAD</t>
        </is>
      </c>
      <c r="G62" s="13" t="inlineStr">
        <is>
          <t>Stadsfiets City, 7 versnellingen</t>
        </is>
      </c>
      <c r="H62" s="12" t="n">
        <v>2</v>
      </c>
      <c r="I62" s="14" t="n">
        <v>600</v>
      </c>
      <c r="J62" s="14">
        <f>H62*I62</f>
        <v/>
      </c>
      <c r="K62" s="15" t="n">
        <v>0.21</v>
      </c>
      <c r="L62" s="14">
        <f>J62*K62</f>
        <v/>
      </c>
    </row>
    <row r="63">
      <c r="A63" s="13" t="inlineStr">
        <is>
          <t>Q2D1</t>
        </is>
      </c>
      <c r="B63" s="13" t="inlineStr">
        <is>
          <t>DO-2026-05</t>
        </is>
      </c>
      <c r="C63" s="13" t="inlineStr">
        <is>
          <t>DO</t>
        </is>
      </c>
      <c r="D63" s="13" t="n">
        <v>2</v>
      </c>
      <c r="E63" s="13" t="inlineStr">
        <is>
          <t>artikel</t>
        </is>
      </c>
      <c r="F63" s="13" t="inlineStr">
        <is>
          <t>LAMP</t>
        </is>
      </c>
      <c r="G63" s="13" t="inlineStr">
        <is>
          <t>Verlichtingsset LED</t>
        </is>
      </c>
      <c r="H63" s="12" t="n">
        <v>10</v>
      </c>
      <c r="I63" s="14" t="n">
        <v>40</v>
      </c>
      <c r="J63" s="14">
        <f>H63*I63</f>
        <v/>
      </c>
      <c r="K63" s="15" t="n">
        <v>0.21</v>
      </c>
      <c r="L63" s="14">
        <f>J63*K63</f>
        <v/>
      </c>
    </row>
    <row r="64">
      <c r="A64" s="13" t="inlineStr">
        <is>
          <t>Q2D1</t>
        </is>
      </c>
      <c r="B64" s="13" t="inlineStr">
        <is>
          <t>DO-2026-05</t>
        </is>
      </c>
      <c r="C64" s="13" t="inlineStr">
        <is>
          <t>DO</t>
        </is>
      </c>
      <c r="D64" s="13" t="n">
        <v>3</v>
      </c>
      <c r="E64" s="13" t="inlineStr">
        <is>
          <t>dienst</t>
        </is>
      </c>
      <c r="F64" s="13" t="n"/>
      <c r="G64" s="13" t="inlineStr">
        <is>
          <t>Herstelling fiets (arbeid)</t>
        </is>
      </c>
      <c r="H64" s="12" t="n">
        <v>10</v>
      </c>
      <c r="I64" s="14" t="n">
        <v>50</v>
      </c>
      <c r="J64" s="14">
        <f>H64*I64</f>
        <v/>
      </c>
      <c r="K64" s="15" t="n">
        <v>0.06</v>
      </c>
      <c r="L64" s="14">
        <f>J64*K64</f>
        <v/>
      </c>
    </row>
    <row r="65">
      <c r="A65" s="13" t="inlineStr">
        <is>
          <t>Q3A1</t>
        </is>
      </c>
      <c r="B65" s="13" t="inlineStr">
        <is>
          <t>2026-702</t>
        </is>
      </c>
      <c r="C65" s="13" t="inlineStr">
        <is>
          <t>AK</t>
        </is>
      </c>
      <c r="D65" s="13" t="n">
        <v>1</v>
      </c>
      <c r="E65" s="13" t="inlineStr">
        <is>
          <t>artikel</t>
        </is>
      </c>
      <c r="F65" s="13" t="inlineStr">
        <is>
          <t>STAD</t>
        </is>
      </c>
      <c r="G65" s="13" t="inlineStr">
        <is>
          <t>Stadsfiets City, 7 versnellingen</t>
        </is>
      </c>
      <c r="H65" s="12" t="n">
        <v>8</v>
      </c>
      <c r="I65" s="14" t="n">
        <v>400</v>
      </c>
      <c r="J65" s="14">
        <f>H65*I65</f>
        <v/>
      </c>
      <c r="K65" s="15" t="n">
        <v>0.21</v>
      </c>
      <c r="L65" s="14">
        <f>J65*K65</f>
        <v/>
      </c>
    </row>
    <row r="66">
      <c r="A66" s="13" t="inlineStr">
        <is>
          <t>Q3A1</t>
        </is>
      </c>
      <c r="B66" s="13" t="inlineStr">
        <is>
          <t>2026-702</t>
        </is>
      </c>
      <c r="C66" s="13" t="inlineStr">
        <is>
          <t>AK</t>
        </is>
      </c>
      <c r="D66" s="13" t="n">
        <v>2</v>
      </c>
      <c r="E66" s="13" t="inlineStr">
        <is>
          <t>artikel</t>
        </is>
      </c>
      <c r="F66" s="13" t="inlineStr">
        <is>
          <t>BAK</t>
        </is>
      </c>
      <c r="G66" s="13" t="inlineStr">
        <is>
          <t>Bakfiets Cargo, 2 wielen</t>
        </is>
      </c>
      <c r="H66" s="12" t="n">
        <v>2</v>
      </c>
      <c r="I66" s="14" t="n">
        <v>1800</v>
      </c>
      <c r="J66" s="14">
        <f>H66*I66</f>
        <v/>
      </c>
      <c r="K66" s="15" t="n">
        <v>0.21</v>
      </c>
      <c r="L66" s="14">
        <f>J66*K66</f>
        <v/>
      </c>
    </row>
    <row r="67">
      <c r="A67" s="13" t="inlineStr">
        <is>
          <t>Q3A1</t>
        </is>
      </c>
      <c r="B67" s="13" t="inlineStr">
        <is>
          <t>2026-702</t>
        </is>
      </c>
      <c r="C67" s="13" t="inlineStr">
        <is>
          <t>AK</t>
        </is>
      </c>
      <c r="D67" s="13" t="n">
        <v>3</v>
      </c>
      <c r="E67" s="13" t="inlineStr">
        <is>
          <t>artikel</t>
        </is>
      </c>
      <c r="F67" s="13" t="inlineStr">
        <is>
          <t>EBIKE</t>
        </is>
      </c>
      <c r="G67" s="13" t="inlineStr">
        <is>
          <t>E-bike Comfort, 500 Wh</t>
        </is>
      </c>
      <c r="H67" s="12" t="n">
        <v>2</v>
      </c>
      <c r="I67" s="14" t="n">
        <v>1400</v>
      </c>
      <c r="J67" s="14">
        <f>H67*I67</f>
        <v/>
      </c>
      <c r="K67" s="15" t="n">
        <v>0.21</v>
      </c>
      <c r="L67" s="14">
        <f>J67*K67</f>
        <v/>
      </c>
    </row>
    <row r="68">
      <c r="A68" s="13" t="inlineStr">
        <is>
          <t>Q3A3</t>
        </is>
      </c>
      <c r="B68" s="13" t="inlineStr">
        <is>
          <t>HH-26-311</t>
        </is>
      </c>
      <c r="C68" s="13" t="inlineStr">
        <is>
          <t>AK</t>
        </is>
      </c>
      <c r="D68" s="13" t="n">
        <v>1</v>
      </c>
      <c r="E68" s="13" t="inlineStr">
        <is>
          <t>artikel</t>
        </is>
      </c>
      <c r="F68" s="13" t="inlineStr">
        <is>
          <t>HELM</t>
        </is>
      </c>
      <c r="G68" s="13" t="inlineStr">
        <is>
          <t>Fietshelm Urban</t>
        </is>
      </c>
      <c r="H68" s="12" t="n">
        <v>20</v>
      </c>
      <c r="I68" s="14" t="n">
        <v>30</v>
      </c>
      <c r="J68" s="14">
        <f>H68*I68</f>
        <v/>
      </c>
      <c r="K68" s="15" t="n">
        <v>0.21</v>
      </c>
      <c r="L68" s="14">
        <f>J68*K68</f>
        <v/>
      </c>
    </row>
    <row r="69">
      <c r="A69" s="13" t="inlineStr">
        <is>
          <t>Q3A3</t>
        </is>
      </c>
      <c r="B69" s="13" t="inlineStr">
        <is>
          <t>HH-26-311</t>
        </is>
      </c>
      <c r="C69" s="13" t="inlineStr">
        <is>
          <t>AK</t>
        </is>
      </c>
      <c r="D69" s="13" t="n">
        <v>2</v>
      </c>
      <c r="E69" s="13" t="inlineStr">
        <is>
          <t>artikel</t>
        </is>
      </c>
      <c r="F69" s="13" t="inlineStr">
        <is>
          <t>SLOT</t>
        </is>
      </c>
      <c r="G69" s="13" t="inlineStr">
        <is>
          <t>Plooislot</t>
        </is>
      </c>
      <c r="H69" s="12" t="n">
        <v>20</v>
      </c>
      <c r="I69" s="14" t="n">
        <v>20</v>
      </c>
      <c r="J69" s="14">
        <f>H69*I69</f>
        <v/>
      </c>
      <c r="K69" s="15" t="n">
        <v>0.21</v>
      </c>
      <c r="L69" s="14">
        <f>J69*K69</f>
        <v/>
      </c>
    </row>
    <row r="70">
      <c r="A70" s="13" t="inlineStr">
        <is>
          <t>Q3CA1</t>
        </is>
      </c>
      <c r="B70" s="13" t="inlineStr">
        <is>
          <t>CN-2026-044</t>
        </is>
      </c>
      <c r="C70" s="13" t="inlineStr">
        <is>
          <t>CN-AK</t>
        </is>
      </c>
      <c r="D70" s="13" t="n">
        <v>1</v>
      </c>
      <c r="E70" s="13" t="inlineStr">
        <is>
          <t>artikel</t>
        </is>
      </c>
      <c r="F70" s="13" t="inlineStr">
        <is>
          <t>STAD</t>
        </is>
      </c>
      <c r="G70" s="13" t="inlineStr">
        <is>
          <t>Stadsfiets City, 7 versnellingen</t>
        </is>
      </c>
      <c r="H70" s="12" t="n">
        <v>1</v>
      </c>
      <c r="I70" s="14" t="n">
        <v>400</v>
      </c>
      <c r="J70" s="14">
        <f>H70*I70</f>
        <v/>
      </c>
      <c r="K70" s="15" t="n">
        <v>0.21</v>
      </c>
      <c r="L70" s="14">
        <f>J70*K70</f>
        <v/>
      </c>
    </row>
    <row r="71">
      <c r="A71" s="13" t="inlineStr">
        <is>
          <t>Q3A2</t>
        </is>
      </c>
      <c r="B71" s="13" t="inlineStr">
        <is>
          <t>BN-2026-061</t>
        </is>
      </c>
      <c r="C71" s="13" t="inlineStr">
        <is>
          <t>AK</t>
        </is>
      </c>
      <c r="D71" s="13" t="n">
        <v>1</v>
      </c>
      <c r="E71" s="13" t="inlineStr">
        <is>
          <t>dienst</t>
        </is>
      </c>
      <c r="F71" s="13" t="n"/>
      <c r="G71" s="13" t="inlineStr">
        <is>
          <t>Erelonen boekhouding eerste semester 2026</t>
        </is>
      </c>
      <c r="H71" s="12" t="n">
        <v>1</v>
      </c>
      <c r="I71" s="14" t="n">
        <v>800</v>
      </c>
      <c r="J71" s="14">
        <f>H71*I71</f>
        <v/>
      </c>
      <c r="K71" s="15" t="n">
        <v>0.21</v>
      </c>
      <c r="L71" s="14">
        <f>J71*K71</f>
        <v/>
      </c>
    </row>
    <row r="72">
      <c r="A72" s="13" t="inlineStr">
        <is>
          <t>Q3V1</t>
        </is>
      </c>
      <c r="B72" s="13" t="inlineStr">
        <is>
          <t>2026-012</t>
        </is>
      </c>
      <c r="C72" s="13" t="inlineStr">
        <is>
          <t>VK</t>
        </is>
      </c>
      <c r="D72" s="13" t="n">
        <v>1</v>
      </c>
      <c r="E72" s="13" t="inlineStr">
        <is>
          <t>artikel</t>
        </is>
      </c>
      <c r="F72" s="13" t="inlineStr">
        <is>
          <t>STAD</t>
        </is>
      </c>
      <c r="G72" s="13" t="inlineStr">
        <is>
          <t>Stadsfiets City, 7 versnellingen</t>
        </is>
      </c>
      <c r="H72" s="12" t="n">
        <v>4</v>
      </c>
      <c r="I72" s="14" t="n">
        <v>600</v>
      </c>
      <c r="J72" s="14">
        <f>H72*I72</f>
        <v/>
      </c>
      <c r="K72" s="15" t="n">
        <v>0.21</v>
      </c>
      <c r="L72" s="14">
        <f>J72*K72</f>
        <v/>
      </c>
    </row>
    <row r="73">
      <c r="A73" s="13" t="inlineStr">
        <is>
          <t>Q3V1</t>
        </is>
      </c>
      <c r="B73" s="13" t="inlineStr">
        <is>
          <t>2026-012</t>
        </is>
      </c>
      <c r="C73" s="13" t="inlineStr">
        <is>
          <t>VK</t>
        </is>
      </c>
      <c r="D73" s="13" t="n">
        <v>2</v>
      </c>
      <c r="E73" s="13" t="inlineStr">
        <is>
          <t>artikel</t>
        </is>
      </c>
      <c r="F73" s="13" t="inlineStr">
        <is>
          <t>HELM</t>
        </is>
      </c>
      <c r="G73" s="13" t="inlineStr">
        <is>
          <t>Fietshelm Urban</t>
        </is>
      </c>
      <c r="H73" s="12" t="n">
        <v>4</v>
      </c>
      <c r="I73" s="14" t="n">
        <v>50</v>
      </c>
      <c r="J73" s="14">
        <f>H73*I73</f>
        <v/>
      </c>
      <c r="K73" s="15" t="n">
        <v>0.21</v>
      </c>
      <c r="L73" s="14">
        <f>J73*K73</f>
        <v/>
      </c>
    </row>
    <row r="74">
      <c r="A74" s="13" t="inlineStr">
        <is>
          <t>Q3CV1</t>
        </is>
      </c>
      <c r="B74" s="13" t="inlineStr">
        <is>
          <t>CN-2026-007</t>
        </is>
      </c>
      <c r="C74" s="13" t="inlineStr">
        <is>
          <t>CN-VK</t>
        </is>
      </c>
      <c r="D74" s="13" t="n">
        <v>1</v>
      </c>
      <c r="E74" s="13" t="inlineStr">
        <is>
          <t>artikel</t>
        </is>
      </c>
      <c r="F74" s="13" t="inlineStr">
        <is>
          <t>STAD</t>
        </is>
      </c>
      <c r="G74" s="13" t="inlineStr">
        <is>
          <t>Stadsfiets City, 7 versnellingen</t>
        </is>
      </c>
      <c r="H74" s="12" t="n">
        <v>1</v>
      </c>
      <c r="I74" s="14" t="n">
        <v>600</v>
      </c>
      <c r="J74" s="14">
        <f>H74*I74</f>
        <v/>
      </c>
      <c r="K74" s="15" t="n">
        <v>0.21</v>
      </c>
      <c r="L74" s="14">
        <f>J74*K74</f>
        <v/>
      </c>
    </row>
    <row r="75">
      <c r="A75" s="13" t="inlineStr">
        <is>
          <t>Q3V2</t>
        </is>
      </c>
      <c r="B75" s="13" t="inlineStr">
        <is>
          <t>2026-013</t>
        </is>
      </c>
      <c r="C75" s="13" t="inlineStr">
        <is>
          <t>VK</t>
        </is>
      </c>
      <c r="D75" s="13" t="n">
        <v>1</v>
      </c>
      <c r="E75" s="13" t="inlineStr">
        <is>
          <t>artikel</t>
        </is>
      </c>
      <c r="F75" s="13" t="inlineStr">
        <is>
          <t>BAK</t>
        </is>
      </c>
      <c r="G75" s="13" t="inlineStr">
        <is>
          <t>Bakfiets Cargo, 2 wielen</t>
        </is>
      </c>
      <c r="H75" s="12" t="n">
        <v>1</v>
      </c>
      <c r="I75" s="14" t="n">
        <v>2600</v>
      </c>
      <c r="J75" s="14">
        <f>H75*I75</f>
        <v/>
      </c>
      <c r="K75" s="15" t="n">
        <v>0.21</v>
      </c>
      <c r="L75" s="14">
        <f>J75*K75</f>
        <v/>
      </c>
    </row>
    <row r="76">
      <c r="A76" s="13" t="inlineStr">
        <is>
          <t>Q3V2</t>
        </is>
      </c>
      <c r="B76" s="13" t="inlineStr">
        <is>
          <t>2026-013</t>
        </is>
      </c>
      <c r="C76" s="13" t="inlineStr">
        <is>
          <t>VK</t>
        </is>
      </c>
      <c r="D76" s="13" t="n">
        <v>2</v>
      </c>
      <c r="E76" s="13" t="inlineStr">
        <is>
          <t>artikel</t>
        </is>
      </c>
      <c r="F76" s="13" t="inlineStr">
        <is>
          <t>EBIKE</t>
        </is>
      </c>
      <c r="G76" s="13" t="inlineStr">
        <is>
          <t>E-bike Comfort, 500 Wh</t>
        </is>
      </c>
      <c r="H76" s="12" t="n">
        <v>2</v>
      </c>
      <c r="I76" s="14" t="n">
        <v>2000</v>
      </c>
      <c r="J76" s="14">
        <f>H76*I76</f>
        <v/>
      </c>
      <c r="K76" s="15" t="n">
        <v>0.21</v>
      </c>
      <c r="L76" s="14">
        <f>J76*K76</f>
        <v/>
      </c>
    </row>
    <row r="77">
      <c r="A77" s="13" t="inlineStr">
        <is>
          <t>Q3CA2</t>
        </is>
      </c>
      <c r="B77" s="13" t="inlineStr">
        <is>
          <t>HH-CN-26-019</t>
        </is>
      </c>
      <c r="C77" s="13" t="inlineStr">
        <is>
          <t>CN-AK</t>
        </is>
      </c>
      <c r="D77" s="13" t="n">
        <v>1</v>
      </c>
      <c r="E77" s="13" t="inlineStr">
        <is>
          <t>artikel</t>
        </is>
      </c>
      <c r="F77" s="13" t="inlineStr">
        <is>
          <t>HELM</t>
        </is>
      </c>
      <c r="G77" s="13" t="inlineStr">
        <is>
          <t>Fietshelm Urban</t>
        </is>
      </c>
      <c r="H77" s="12" t="n">
        <v>10</v>
      </c>
      <c r="I77" s="14" t="n">
        <v>30</v>
      </c>
      <c r="J77" s="14">
        <f>H77*I77</f>
        <v/>
      </c>
      <c r="K77" s="15" t="n">
        <v>0.21</v>
      </c>
      <c r="L77" s="14">
        <f>J77*K77</f>
        <v/>
      </c>
    </row>
    <row r="78">
      <c r="A78" s="13" t="inlineStr">
        <is>
          <t>Q3V3</t>
        </is>
      </c>
      <c r="B78" s="13" t="inlineStr">
        <is>
          <t>2026-014</t>
        </is>
      </c>
      <c r="C78" s="13" t="inlineStr">
        <is>
          <t>VK</t>
        </is>
      </c>
      <c r="D78" s="13" t="n">
        <v>1</v>
      </c>
      <c r="E78" s="13" t="inlineStr">
        <is>
          <t>dienst</t>
        </is>
      </c>
      <c r="F78" s="13" t="n"/>
      <c r="G78" s="13" t="inlineStr">
        <is>
          <t>Herstelling fiets (arbeid)</t>
        </is>
      </c>
      <c r="H78" s="12" t="n">
        <v>20</v>
      </c>
      <c r="I78" s="14" t="n">
        <v>50</v>
      </c>
      <c r="J78" s="14">
        <f>H78*I78</f>
        <v/>
      </c>
      <c r="K78" s="15" t="n">
        <v>0.06</v>
      </c>
      <c r="L78" s="14">
        <f>J78*K78</f>
        <v/>
      </c>
    </row>
    <row r="79">
      <c r="A79" s="13" t="inlineStr">
        <is>
          <t>Q4A1</t>
        </is>
      </c>
      <c r="B79" s="13" t="inlineStr">
        <is>
          <t>2026-1003</t>
        </is>
      </c>
      <c r="C79" s="13" t="inlineStr">
        <is>
          <t>AK</t>
        </is>
      </c>
      <c r="D79" s="13" t="n">
        <v>1</v>
      </c>
      <c r="E79" s="13" t="inlineStr">
        <is>
          <t>artikel</t>
        </is>
      </c>
      <c r="F79" s="13" t="inlineStr">
        <is>
          <t>STAD</t>
        </is>
      </c>
      <c r="G79" s="13" t="inlineStr">
        <is>
          <t>Stadsfiets City, 7 versnellingen</t>
        </is>
      </c>
      <c r="H79" s="12" t="n">
        <v>6</v>
      </c>
      <c r="I79" s="14" t="n">
        <v>400</v>
      </c>
      <c r="J79" s="14">
        <f>H79*I79</f>
        <v/>
      </c>
      <c r="K79" s="15" t="n">
        <v>0.21</v>
      </c>
      <c r="L79" s="14">
        <f>J79*K79</f>
        <v/>
      </c>
    </row>
    <row r="80">
      <c r="A80" s="13" t="inlineStr">
        <is>
          <t>Q4A1</t>
        </is>
      </c>
      <c r="B80" s="13" t="inlineStr">
        <is>
          <t>2026-1003</t>
        </is>
      </c>
      <c r="C80" s="13" t="inlineStr">
        <is>
          <t>AK</t>
        </is>
      </c>
      <c r="D80" s="13" t="n">
        <v>2</v>
      </c>
      <c r="E80" s="13" t="inlineStr">
        <is>
          <t>artikel</t>
        </is>
      </c>
      <c r="F80" s="13" t="inlineStr">
        <is>
          <t>EBIKE</t>
        </is>
      </c>
      <c r="G80" s="13" t="inlineStr">
        <is>
          <t>E-bike Comfort, 500 Wh</t>
        </is>
      </c>
      <c r="H80" s="12" t="n">
        <v>3</v>
      </c>
      <c r="I80" s="14" t="n">
        <v>1400</v>
      </c>
      <c r="J80" s="14">
        <f>H80*I80</f>
        <v/>
      </c>
      <c r="K80" s="15" t="n">
        <v>0.21</v>
      </c>
      <c r="L80" s="14">
        <f>J80*K80</f>
        <v/>
      </c>
    </row>
    <row r="81">
      <c r="A81" s="13" t="inlineStr">
        <is>
          <t>Q4A2</t>
        </is>
      </c>
      <c r="B81" s="13" t="inlineStr">
        <is>
          <t>KT-0981</t>
        </is>
      </c>
      <c r="C81" s="13" t="inlineStr">
        <is>
          <t>AK</t>
        </is>
      </c>
      <c r="D81" s="13" t="n">
        <v>1</v>
      </c>
      <c r="E81" s="13" t="inlineStr">
        <is>
          <t>vast actief</t>
        </is>
      </c>
      <c r="F81" s="13" t="n"/>
      <c r="G81" s="13" t="inlineStr">
        <is>
          <t>Laptop voor administratie en webshop</t>
        </is>
      </c>
      <c r="H81" s="12" t="n">
        <v>1</v>
      </c>
      <c r="I81" s="14" t="n">
        <v>900</v>
      </c>
      <c r="J81" s="14">
        <f>H81*I81</f>
        <v/>
      </c>
      <c r="K81" s="15" t="n">
        <v>0.21</v>
      </c>
      <c r="L81" s="14">
        <f>J81*K81</f>
        <v/>
      </c>
    </row>
    <row r="82">
      <c r="A82" s="13" t="inlineStr">
        <is>
          <t>Q4V1</t>
        </is>
      </c>
      <c r="B82" s="13" t="inlineStr">
        <is>
          <t>2026-015</t>
        </is>
      </c>
      <c r="C82" s="13" t="inlineStr">
        <is>
          <t>VK</t>
        </is>
      </c>
      <c r="D82" s="13" t="n">
        <v>1</v>
      </c>
      <c r="E82" s="13" t="inlineStr">
        <is>
          <t>artikel</t>
        </is>
      </c>
      <c r="F82" s="13" t="inlineStr">
        <is>
          <t>STAD</t>
        </is>
      </c>
      <c r="G82" s="13" t="inlineStr">
        <is>
          <t>Stadsfiets City, 7 versnellingen</t>
        </is>
      </c>
      <c r="H82" s="12" t="n">
        <v>6</v>
      </c>
      <c r="I82" s="14" t="n">
        <v>600</v>
      </c>
      <c r="J82" s="14">
        <f>H82*I82</f>
        <v/>
      </c>
      <c r="K82" s="15" t="n">
        <v>0.21</v>
      </c>
      <c r="L82" s="14">
        <f>J82*K82</f>
        <v/>
      </c>
    </row>
    <row r="83">
      <c r="A83" s="13" t="inlineStr">
        <is>
          <t>Q4V1</t>
        </is>
      </c>
      <c r="B83" s="13" t="inlineStr">
        <is>
          <t>2026-015</t>
        </is>
      </c>
      <c r="C83" s="13" t="inlineStr">
        <is>
          <t>VK</t>
        </is>
      </c>
      <c r="D83" s="13" t="n">
        <v>2</v>
      </c>
      <c r="E83" s="13" t="inlineStr">
        <is>
          <t>artikel</t>
        </is>
      </c>
      <c r="F83" s="13" t="inlineStr">
        <is>
          <t>SLOT</t>
        </is>
      </c>
      <c r="G83" s="13" t="inlineStr">
        <is>
          <t>Plooislot</t>
        </is>
      </c>
      <c r="H83" s="12" t="n">
        <v>20</v>
      </c>
      <c r="I83" s="14" t="n">
        <v>35</v>
      </c>
      <c r="J83" s="14">
        <f>H83*I83</f>
        <v/>
      </c>
      <c r="K83" s="15" t="n">
        <v>0.21</v>
      </c>
      <c r="L83" s="14">
        <f>J83*K83</f>
        <v/>
      </c>
    </row>
    <row r="84">
      <c r="A84" s="13" t="inlineStr">
        <is>
          <t>Q4CA1</t>
        </is>
      </c>
      <c r="B84" s="13" t="inlineStr">
        <is>
          <t>CN-2026-061</t>
        </is>
      </c>
      <c r="C84" s="13" t="inlineStr">
        <is>
          <t>CN-AK</t>
        </is>
      </c>
      <c r="D84" s="13" t="n">
        <v>1</v>
      </c>
      <c r="E84" s="13" t="inlineStr">
        <is>
          <t>artikel</t>
        </is>
      </c>
      <c r="F84" s="13" t="inlineStr">
        <is>
          <t>EBIKE</t>
        </is>
      </c>
      <c r="G84" s="13" t="inlineStr">
        <is>
          <t>E-bike Comfort, 500 Wh</t>
        </is>
      </c>
      <c r="H84" s="12" t="n">
        <v>1</v>
      </c>
      <c r="I84" s="14" t="n">
        <v>1400</v>
      </c>
      <c r="J84" s="14">
        <f>H84*I84</f>
        <v/>
      </c>
      <c r="K84" s="15" t="n">
        <v>0.21</v>
      </c>
      <c r="L84" s="14">
        <f>J84*K84</f>
        <v/>
      </c>
    </row>
    <row r="85">
      <c r="A85" s="13" t="inlineStr">
        <is>
          <t>Q4CV1</t>
        </is>
      </c>
      <c r="B85" s="13" t="inlineStr">
        <is>
          <t>CN-2026-008</t>
        </is>
      </c>
      <c r="C85" s="13" t="inlineStr">
        <is>
          <t>CN-VK</t>
        </is>
      </c>
      <c r="D85" s="13" t="n">
        <v>1</v>
      </c>
      <c r="E85" s="13" t="inlineStr">
        <is>
          <t>artikel</t>
        </is>
      </c>
      <c r="F85" s="13" t="inlineStr">
        <is>
          <t>STAD</t>
        </is>
      </c>
      <c r="G85" s="13" t="inlineStr">
        <is>
          <t>Stadsfiets City, 7 versnellingen</t>
        </is>
      </c>
      <c r="H85" s="12" t="n">
        <v>1</v>
      </c>
      <c r="I85" s="14" t="n">
        <v>600</v>
      </c>
      <c r="J85" s="14">
        <f>H85*I85</f>
        <v/>
      </c>
      <c r="K85" s="15" t="n">
        <v>0.21</v>
      </c>
      <c r="L85" s="14">
        <f>J85*K85</f>
        <v/>
      </c>
    </row>
    <row r="86">
      <c r="A86" s="13" t="inlineStr">
        <is>
          <t>Q4V2</t>
        </is>
      </c>
      <c r="B86" s="13" t="inlineStr">
        <is>
          <t>2026-016</t>
        </is>
      </c>
      <c r="C86" s="13" t="inlineStr">
        <is>
          <t>VK</t>
        </is>
      </c>
      <c r="D86" s="13" t="n">
        <v>1</v>
      </c>
      <c r="E86" s="13" t="inlineStr">
        <is>
          <t>artikel</t>
        </is>
      </c>
      <c r="F86" s="13" t="inlineStr">
        <is>
          <t>EBIKE</t>
        </is>
      </c>
      <c r="G86" s="13" t="inlineStr">
        <is>
          <t>E-bike Comfort, 500 Wh</t>
        </is>
      </c>
      <c r="H86" s="12" t="n">
        <v>2</v>
      </c>
      <c r="I86" s="14" t="n">
        <v>2000</v>
      </c>
      <c r="J86" s="14">
        <f>H86*I86</f>
        <v/>
      </c>
      <c r="K86" s="15" t="n">
        <v>0.21</v>
      </c>
      <c r="L86" s="14">
        <f>J86*K86</f>
        <v/>
      </c>
    </row>
    <row r="87">
      <c r="A87" s="13" t="inlineStr">
        <is>
          <t>Q4A3</t>
        </is>
      </c>
      <c r="B87" s="13" t="inlineStr">
        <is>
          <t>NL-26-11-2207</t>
        </is>
      </c>
      <c r="C87" s="13" t="inlineStr">
        <is>
          <t>AK</t>
        </is>
      </c>
      <c r="D87" s="13" t="n">
        <v>1</v>
      </c>
      <c r="E87" s="13" t="inlineStr">
        <is>
          <t>dienst</t>
        </is>
      </c>
      <c r="F87" s="13" t="n"/>
      <c r="G87" s="13" t="inlineStr">
        <is>
          <t>Internet en telefonie oktober-december 2026</t>
        </is>
      </c>
      <c r="H87" s="12" t="n">
        <v>1</v>
      </c>
      <c r="I87" s="14" t="n">
        <v>300</v>
      </c>
      <c r="J87" s="14">
        <f>H87*I87</f>
        <v/>
      </c>
      <c r="K87" s="15" t="n">
        <v>0.21</v>
      </c>
      <c r="L87" s="14">
        <f>J87*K87</f>
        <v/>
      </c>
    </row>
    <row r="88">
      <c r="A88" s="13" t="inlineStr">
        <is>
          <t>Q4V3</t>
        </is>
      </c>
      <c r="B88" s="13" t="inlineStr">
        <is>
          <t>2026-017</t>
        </is>
      </c>
      <c r="C88" s="13" t="inlineStr">
        <is>
          <t>VK</t>
        </is>
      </c>
      <c r="D88" s="13" t="n">
        <v>1</v>
      </c>
      <c r="E88" s="13" t="inlineStr">
        <is>
          <t>dienst</t>
        </is>
      </c>
      <c r="F88" s="13" t="n"/>
      <c r="G88" s="13" t="inlineStr">
        <is>
          <t>Onderhoudsbeurt fiets (arbeid)</t>
        </is>
      </c>
      <c r="H88" s="12" t="n">
        <v>20</v>
      </c>
      <c r="I88" s="14" t="n">
        <v>60</v>
      </c>
      <c r="J88" s="14">
        <f>H88*I88</f>
        <v/>
      </c>
      <c r="K88" s="15" t="n">
        <v>0.06</v>
      </c>
      <c r="L88" s="14">
        <f>J88*K88</f>
        <v/>
      </c>
    </row>
    <row r="89">
      <c r="A89" s="13" t="inlineStr">
        <is>
          <t>Q4CV2</t>
        </is>
      </c>
      <c r="B89" s="13" t="inlineStr">
        <is>
          <t>CN-2026-009</t>
        </is>
      </c>
      <c r="C89" s="13" t="inlineStr">
        <is>
          <t>CN-VK</t>
        </is>
      </c>
      <c r="D89" s="13" t="n">
        <v>1</v>
      </c>
      <c r="E89" s="13" t="inlineStr">
        <is>
          <t>artikel</t>
        </is>
      </c>
      <c r="F89" s="13" t="inlineStr">
        <is>
          <t>EBIKE</t>
        </is>
      </c>
      <c r="G89" s="13" t="inlineStr">
        <is>
          <t>E-bike Comfort, 500 Wh</t>
        </is>
      </c>
      <c r="H89" s="12" t="n">
        <v>1</v>
      </c>
      <c r="I89" s="14" t="n">
        <v>2000</v>
      </c>
      <c r="J89" s="14">
        <f>H89*I89</f>
        <v/>
      </c>
      <c r="K89" s="15" t="n">
        <v>0.21</v>
      </c>
      <c r="L89" s="14">
        <f>J89*K89</f>
        <v/>
      </c>
    </row>
    <row r="90">
      <c r="A90" s="13" t="inlineStr">
        <is>
          <t>Q4D1</t>
        </is>
      </c>
      <c r="B90" s="13" t="inlineStr">
        <is>
          <t>DO-2026-06</t>
        </is>
      </c>
      <c r="C90" s="13" t="inlineStr">
        <is>
          <t>DO</t>
        </is>
      </c>
      <c r="D90" s="13" t="n">
        <v>1</v>
      </c>
      <c r="E90" s="13" t="inlineStr">
        <is>
          <t>artikel</t>
        </is>
      </c>
      <c r="F90" s="13" t="inlineStr">
        <is>
          <t>EBIKE</t>
        </is>
      </c>
      <c r="G90" s="13" t="inlineStr">
        <is>
          <t>E-bike Comfort, 500 Wh</t>
        </is>
      </c>
      <c r="H90" s="12" t="n">
        <v>1</v>
      </c>
      <c r="I90" s="14" t="n">
        <v>2000</v>
      </c>
      <c r="J90" s="14">
        <f>H90*I90</f>
        <v/>
      </c>
      <c r="K90" s="15" t="n">
        <v>0.21</v>
      </c>
      <c r="L90" s="14">
        <f>J90*K90</f>
        <v/>
      </c>
    </row>
    <row r="91">
      <c r="A91" s="13" t="inlineStr">
        <is>
          <t>Q4D1</t>
        </is>
      </c>
      <c r="B91" s="13" t="inlineStr">
        <is>
          <t>DO-2026-06</t>
        </is>
      </c>
      <c r="C91" s="13" t="inlineStr">
        <is>
          <t>DO</t>
        </is>
      </c>
      <c r="D91" s="13" t="n">
        <v>2</v>
      </c>
      <c r="E91" s="13" t="inlineStr">
        <is>
          <t>artikel</t>
        </is>
      </c>
      <c r="F91" s="13" t="inlineStr">
        <is>
          <t>HELM</t>
        </is>
      </c>
      <c r="G91" s="13" t="inlineStr">
        <is>
          <t>Fietshelm Urban</t>
        </is>
      </c>
      <c r="H91" s="12" t="n">
        <v>6</v>
      </c>
      <c r="I91" s="14" t="n">
        <v>50</v>
      </c>
      <c r="J91" s="14">
        <f>H91*I91</f>
        <v/>
      </c>
      <c r="K91" s="15" t="n">
        <v>0.21</v>
      </c>
      <c r="L91" s="14">
        <f>J91*K91</f>
        <v/>
      </c>
    </row>
    <row r="92">
      <c r="A92" s="13" t="inlineStr">
        <is>
          <t>Q4D1</t>
        </is>
      </c>
      <c r="B92" s="13" t="inlineStr">
        <is>
          <t>DO-2026-06</t>
        </is>
      </c>
      <c r="C92" s="13" t="inlineStr">
        <is>
          <t>DO</t>
        </is>
      </c>
      <c r="D92" s="13" t="n">
        <v>3</v>
      </c>
      <c r="E92" s="13" t="inlineStr">
        <is>
          <t>artikel</t>
        </is>
      </c>
      <c r="F92" s="13" t="inlineStr">
        <is>
          <t>BAND</t>
        </is>
      </c>
      <c r="G92" s="13" t="inlineStr">
        <is>
          <t>Buitenband 28 inch</t>
        </is>
      </c>
      <c r="H92" s="12" t="n">
        <v>8</v>
      </c>
      <c r="I92" s="14" t="n">
        <v>25</v>
      </c>
      <c r="J92" s="14">
        <f>H92*I92</f>
        <v/>
      </c>
      <c r="K92" s="15" t="n">
        <v>0.21</v>
      </c>
      <c r="L92" s="14">
        <f>J92*K92</f>
        <v/>
      </c>
    </row>
    <row r="93">
      <c r="A93" s="13" t="inlineStr">
        <is>
          <t>Q4D1</t>
        </is>
      </c>
      <c r="B93" s="13" t="inlineStr">
        <is>
          <t>DO-2026-06</t>
        </is>
      </c>
      <c r="C93" s="13" t="inlineStr">
        <is>
          <t>DO</t>
        </is>
      </c>
      <c r="D93" s="13" t="n">
        <v>4</v>
      </c>
      <c r="E93" s="13" t="inlineStr">
        <is>
          <t>dienst</t>
        </is>
      </c>
      <c r="F93" s="13" t="n"/>
      <c r="G93" s="13" t="inlineStr">
        <is>
          <t>Herstelling fiets (arbeid)</t>
        </is>
      </c>
      <c r="H93" s="12" t="n">
        <v>12</v>
      </c>
      <c r="I93" s="14" t="n">
        <v>50</v>
      </c>
      <c r="J93" s="14">
        <f>H93*I93</f>
        <v/>
      </c>
      <c r="K93" s="15" t="n">
        <v>0.06</v>
      </c>
      <c r="L93" s="14">
        <f>J93*K93</f>
        <v/>
      </c>
    </row>
    <row r="94">
      <c r="A94" s="13" t="inlineStr">
        <is>
          <t>B1</t>
        </is>
      </c>
      <c r="B94" s="13" t="inlineStr">
        <is>
          <t>2026-1288</t>
        </is>
      </c>
      <c r="C94" s="13" t="inlineStr">
        <is>
          <t>AK</t>
        </is>
      </c>
      <c r="D94" s="13" t="n">
        <v>1</v>
      </c>
      <c r="E94" s="13" t="inlineStr">
        <is>
          <t>artikel</t>
        </is>
      </c>
      <c r="F94" s="13" t="inlineStr">
        <is>
          <t>STAD</t>
        </is>
      </c>
      <c r="G94" s="13" t="inlineStr">
        <is>
          <t>Stadsfiets City, 7 versnellingen</t>
        </is>
      </c>
      <c r="H94" s="12" t="n">
        <v>6</v>
      </c>
      <c r="I94" s="14" t="n">
        <v>400</v>
      </c>
      <c r="J94" s="14">
        <f>H94*I94</f>
        <v/>
      </c>
      <c r="K94" s="15" t="n">
        <v>0.21</v>
      </c>
      <c r="L94" s="14">
        <f>J94*K94</f>
        <v/>
      </c>
    </row>
    <row r="95">
      <c r="A95" s="13" t="inlineStr">
        <is>
          <t>B1</t>
        </is>
      </c>
      <c r="B95" s="13" t="inlineStr">
        <is>
          <t>2026-1288</t>
        </is>
      </c>
      <c r="C95" s="13" t="inlineStr">
        <is>
          <t>AK</t>
        </is>
      </c>
      <c r="D95" s="13" t="n">
        <v>2</v>
      </c>
      <c r="E95" s="13" t="inlineStr">
        <is>
          <t>artikel</t>
        </is>
      </c>
      <c r="F95" s="13" t="inlineStr">
        <is>
          <t>BAK</t>
        </is>
      </c>
      <c r="G95" s="13" t="inlineStr">
        <is>
          <t>Bakfiets Cargo, 2 wielen</t>
        </is>
      </c>
      <c r="H95" s="12" t="n">
        <v>2</v>
      </c>
      <c r="I95" s="14" t="n">
        <v>1800</v>
      </c>
      <c r="J95" s="14">
        <f>H95*I95</f>
        <v/>
      </c>
      <c r="K95" s="15" t="n">
        <v>0.21</v>
      </c>
      <c r="L95" s="14">
        <f>J95*K95</f>
        <v/>
      </c>
    </row>
    <row r="96">
      <c r="A96" s="13" t="inlineStr">
        <is>
          <t>B2</t>
        </is>
      </c>
      <c r="B96" s="13" t="inlineStr">
        <is>
          <t>2026-018</t>
        </is>
      </c>
      <c r="C96" s="13" t="inlineStr">
        <is>
          <t>VK</t>
        </is>
      </c>
      <c r="D96" s="13" t="n">
        <v>1</v>
      </c>
      <c r="E96" s="13" t="inlineStr">
        <is>
          <t>artikel</t>
        </is>
      </c>
      <c r="F96" s="13" t="inlineStr">
        <is>
          <t>STAD</t>
        </is>
      </c>
      <c r="G96" s="13" t="inlineStr">
        <is>
          <t>Stadsfiets City, 7 versnellingen</t>
        </is>
      </c>
      <c r="H96" s="12" t="n">
        <v>4</v>
      </c>
      <c r="I96" s="14" t="n">
        <v>600</v>
      </c>
      <c r="J96" s="14">
        <f>H96*I96</f>
        <v/>
      </c>
      <c r="K96" s="15" t="n">
        <v>0.21</v>
      </c>
      <c r="L96" s="14">
        <f>J96*K96</f>
        <v/>
      </c>
    </row>
    <row r="97">
      <c r="A97" s="13" t="inlineStr">
        <is>
          <t>B2</t>
        </is>
      </c>
      <c r="B97" s="13" t="inlineStr">
        <is>
          <t>2026-018</t>
        </is>
      </c>
      <c r="C97" s="13" t="inlineStr">
        <is>
          <t>VK</t>
        </is>
      </c>
      <c r="D97" s="13" t="n">
        <v>2</v>
      </c>
      <c r="E97" s="13" t="inlineStr">
        <is>
          <t>artikel</t>
        </is>
      </c>
      <c r="F97" s="13" t="inlineStr">
        <is>
          <t>BAK</t>
        </is>
      </c>
      <c r="G97" s="13" t="inlineStr">
        <is>
          <t>Bakfiets Cargo, 2 wielen</t>
        </is>
      </c>
      <c r="H97" s="12" t="n">
        <v>2</v>
      </c>
      <c r="I97" s="14" t="n">
        <v>2600</v>
      </c>
      <c r="J97" s="14">
        <f>H97*I97</f>
        <v/>
      </c>
      <c r="K97" s="15" t="n">
        <v>0.21</v>
      </c>
      <c r="L97" s="14">
        <f>J97*K97</f>
        <v/>
      </c>
    </row>
  </sheetData>
  <autoFilter ref="A1:L97"/>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Z72"/>
  <sheetViews>
    <sheetView zoomScaleNormal="100" workbookViewId="0">
      <pane ySplit="1" topLeftCell="A2" activePane="bottomLeft" state="frozen"/>
      <selection pane="bottomLeft" activeCell="E6" sqref="E6"/>
    </sheetView>
  </sheetViews>
  <sheetFormatPr baseColWidth="8" defaultColWidth="8.6328125" defaultRowHeight="14.5"/>
  <cols>
    <col width="8" customWidth="1" min="1" max="1"/>
    <col width="9" customWidth="1" min="2" max="2"/>
    <col width="13" customWidth="1" min="3" max="3"/>
    <col width="8" customWidth="1" min="4" max="5"/>
    <col width="24" customWidth="1" min="6" max="6"/>
    <col width="11" customWidth="1" min="7" max="8"/>
    <col width="15" customWidth="1" min="9" max="9"/>
    <col width="26" customWidth="1" min="10" max="11"/>
    <col width="14" customWidth="1" min="12" max="12"/>
    <col width="44" customWidth="1" min="13" max="13"/>
    <col width="11" customWidth="1" min="14" max="14"/>
    <col width="10" customWidth="1" min="15" max="16"/>
    <col width="9" customWidth="1" min="17" max="17"/>
    <col width="10" customWidth="1" min="18" max="18"/>
    <col width="11" customWidth="1" min="19" max="20"/>
    <col width="12" customWidth="1" min="21" max="21"/>
    <col width="10" customWidth="1" min="22" max="23"/>
    <col width="14" customWidth="1" min="24" max="24"/>
    <col width="9" customWidth="1" min="25" max="25"/>
    <col width="30" customWidth="1" min="26" max="26"/>
  </cols>
  <sheetData>
    <row r="1" ht="30" customHeight="1">
      <c r="A1" s="1" t="inlineStr">
        <is>
          <t>Volgorde in set</t>
        </is>
      </c>
      <c r="B1" s="1" t="inlineStr">
        <is>
          <t>ID</t>
        </is>
      </c>
      <c r="C1" s="1" t="inlineStr">
        <is>
          <t>Set</t>
        </is>
      </c>
      <c r="D1" s="1" t="inlineStr">
        <is>
          <t>Kwartaal</t>
        </is>
      </c>
      <c r="E1" s="1" t="inlineStr">
        <is>
          <t>Soort</t>
        </is>
      </c>
      <c r="F1" s="1" t="inlineStr">
        <is>
          <t>Subsoort</t>
        </is>
      </c>
      <c r="G1" s="1" t="inlineStr">
        <is>
          <t>Datum</t>
        </is>
      </c>
      <c r="H1" s="1" t="inlineStr">
        <is>
          <t>Vervaldag</t>
        </is>
      </c>
      <c r="I1" s="1" t="inlineStr">
        <is>
          <t>Documentnr</t>
        </is>
      </c>
      <c r="J1" s="1" t="inlineStr">
        <is>
          <t>Van</t>
        </is>
      </c>
      <c r="K1" s="1" t="inlineStr">
        <is>
          <t>Aan</t>
        </is>
      </c>
      <c r="L1" s="1" t="inlineStr">
        <is>
          <t>Verwijst naar</t>
        </is>
      </c>
      <c r="M1" s="1" t="inlineStr">
        <is>
          <t>Reden / omschrijving</t>
        </is>
      </c>
      <c r="N1" s="1" t="inlineStr">
        <is>
          <t>MvH 21%</t>
        </is>
      </c>
      <c r="O1" s="1" t="inlineStr">
        <is>
          <t>Btw 21%</t>
        </is>
      </c>
      <c r="P1" s="1" t="inlineStr">
        <is>
          <t>MvH 6%</t>
        </is>
      </c>
      <c r="Q1" s="1" t="inlineStr">
        <is>
          <t>Btw 6%</t>
        </is>
      </c>
      <c r="R1" s="1" t="inlineStr">
        <is>
          <t>Waarborg</t>
        </is>
      </c>
      <c r="S1" s="1" t="inlineStr">
        <is>
          <t>Fin. korting (niet afgetrokken)</t>
        </is>
      </c>
      <c r="T1" s="1" t="inlineStr">
        <is>
          <t>Totaal (te betalen)</t>
        </is>
      </c>
      <c r="U1" s="1" t="inlineStr">
        <is>
          <t>Te betalen binnen kortingstermijn</t>
        </is>
      </c>
      <c r="V1" s="1" t="inlineStr">
        <is>
          <t>Contant (kas)</t>
        </is>
      </c>
      <c r="W1" s="1" t="inlineStr">
        <is>
          <t>Bancontact</t>
        </is>
      </c>
      <c r="X1" s="1" t="inlineStr">
        <is>
          <t>Betaald via uittreksel</t>
        </is>
      </c>
      <c r="Y1" s="1" t="inlineStr">
        <is>
          <t>Controle D-C</t>
        </is>
      </c>
      <c r="Z1" s="1" t="inlineStr">
        <is>
          <t>Opmerking</t>
        </is>
      </c>
    </row>
    <row r="2">
      <c r="A2" s="12" t="n">
        <v>1</v>
      </c>
      <c r="B2" s="13" t="inlineStr">
        <is>
          <t>C01</t>
        </is>
      </c>
      <c r="C2" s="4" t="inlineStr">
        <is>
          <t>CURSUS</t>
        </is>
      </c>
      <c r="D2" s="13" t="inlineStr">
        <is>
          <t>K1</t>
        </is>
      </c>
      <c r="E2" s="13" t="inlineStr">
        <is>
          <t>AK</t>
        </is>
      </c>
      <c r="F2" s="13" t="inlineStr">
        <is>
          <t>handelsgoederen</t>
        </is>
      </c>
      <c r="G2" s="16" t="n">
        <v>46027</v>
      </c>
      <c r="H2" s="16">
        <f>G2+30</f>
        <v/>
      </c>
      <c r="I2" s="13" t="inlineStr">
        <is>
          <t>2026-118</t>
        </is>
      </c>
      <c r="J2" s="13" t="inlineStr">
        <is>
          <t>Velomax bv</t>
        </is>
      </c>
      <c r="K2" s="13" t="inlineStr">
        <is>
          <t>Fietsatelier Noor bv</t>
        </is>
      </c>
      <c r="M2" s="13" t="n"/>
      <c r="N2" s="14">
        <f>SUMIFS('J1 Lijnen'!$J:$J,'J1 Lijnen'!$A:$A,$B2,'J1 Lijnen'!$K:$K,0.21,'J1 Lijnen'!$E:$E,"&lt;&gt;verpakking")</f>
        <v/>
      </c>
      <c r="O2" s="14">
        <f>SUMIFS('J1 Lijnen'!$L:$L,'J1 Lijnen'!$A:$A,$B2,'J1 Lijnen'!$K:$K,0.21)</f>
        <v/>
      </c>
      <c r="P2" s="14">
        <f>SUMIFS('J1 Lijnen'!$J:$J,'J1 Lijnen'!$A:$A,$B2,'J1 Lijnen'!$K:$K,0.06)</f>
        <v/>
      </c>
      <c r="Q2" s="14">
        <f>SUMIFS('J1 Lijnen'!$L:$L,'J1 Lijnen'!$A:$A,$B2,'J1 Lijnen'!$K:$K,0.06)</f>
        <v/>
      </c>
      <c r="R2" s="14">
        <f>SUMIFS('J1 Lijnen'!$J:$J,'J1 Lijnen'!$A:$A,$B2,'J1 Lijnen'!$E:$E,"verpakking")</f>
        <v/>
      </c>
      <c r="S2" s="14">
        <f>-SUMIFS('J1 Lijnen'!$J:$J,'J1 Lijnen'!$A:$A,$B2,'J1 Lijnen'!$E:$E,"financiële korting")</f>
        <v/>
      </c>
      <c r="T2" s="17">
        <f>SUM(N2:S2)</f>
        <v/>
      </c>
      <c r="X2" s="13" t="inlineStr">
        <is>
          <t>U2026-01</t>
        </is>
      </c>
      <c r="Y2" s="14">
        <f>SUMIFS('J1 Journaal'!$K:$K,'J1 Journaal'!$E:$E,$B2)-SUMIFS('J1 Journaal'!$L:$L,'J1 Journaal'!$E:$E,$B2)</f>
        <v/>
      </c>
      <c r="Z2" s="13" t="n"/>
    </row>
    <row r="3">
      <c r="A3" s="12" t="n">
        <v>2</v>
      </c>
      <c r="B3" s="13" t="inlineStr">
        <is>
          <t>C02</t>
        </is>
      </c>
      <c r="C3" s="4" t="inlineStr">
        <is>
          <t>CURSUS</t>
        </is>
      </c>
      <c r="D3" s="13" t="inlineStr">
        <is>
          <t>K1</t>
        </is>
      </c>
      <c r="E3" s="13" t="inlineStr">
        <is>
          <t>AK</t>
        </is>
      </c>
      <c r="F3" s="13" t="inlineStr">
        <is>
          <t>diensten</t>
        </is>
      </c>
      <c r="G3" s="16" t="n">
        <v>46029</v>
      </c>
      <c r="H3" s="16">
        <f>G3+30</f>
        <v/>
      </c>
      <c r="I3" s="13" t="inlineStr">
        <is>
          <t>SK-26-0457</t>
        </is>
      </c>
      <c r="J3" s="13" t="inlineStr">
        <is>
          <t>Stroomkracht nv</t>
        </is>
      </c>
      <c r="K3" s="13" t="inlineStr">
        <is>
          <t>Fietsatelier Noor bv</t>
        </is>
      </c>
      <c r="M3" s="13" t="n"/>
      <c r="N3" s="14">
        <f>SUMIFS('J1 Lijnen'!$J:$J,'J1 Lijnen'!$A:$A,$B3,'J1 Lijnen'!$K:$K,0.21,'J1 Lijnen'!$E:$E,"&lt;&gt;verpakking")</f>
        <v/>
      </c>
      <c r="O3" s="14">
        <f>SUMIFS('J1 Lijnen'!$L:$L,'J1 Lijnen'!$A:$A,$B3,'J1 Lijnen'!$K:$K,0.21)</f>
        <v/>
      </c>
      <c r="P3" s="14">
        <f>SUMIFS('J1 Lijnen'!$J:$J,'J1 Lijnen'!$A:$A,$B3,'J1 Lijnen'!$K:$K,0.06)</f>
        <v/>
      </c>
      <c r="Q3" s="14">
        <f>SUMIFS('J1 Lijnen'!$L:$L,'J1 Lijnen'!$A:$A,$B3,'J1 Lijnen'!$K:$K,0.06)</f>
        <v/>
      </c>
      <c r="R3" s="14">
        <f>SUMIFS('J1 Lijnen'!$J:$J,'J1 Lijnen'!$A:$A,$B3,'J1 Lijnen'!$E:$E,"verpakking")</f>
        <v/>
      </c>
      <c r="S3" s="14">
        <f>-SUMIFS('J1 Lijnen'!$J:$J,'J1 Lijnen'!$A:$A,$B3,'J1 Lijnen'!$E:$E,"financiële korting")</f>
        <v/>
      </c>
      <c r="T3" s="17">
        <f>SUM(N3:S3)</f>
        <v/>
      </c>
      <c r="X3" s="13" t="inlineStr">
        <is>
          <t>U2026-01</t>
        </is>
      </c>
      <c r="Y3" s="14">
        <f>SUMIFS('J1 Journaal'!$K:$K,'J1 Journaal'!$E:$E,$B3)-SUMIFS('J1 Journaal'!$L:$L,'J1 Journaal'!$E:$E,$B3)</f>
        <v/>
      </c>
      <c r="Z3" s="13" t="n"/>
    </row>
    <row r="4">
      <c r="A4" s="12" t="n">
        <v>3</v>
      </c>
      <c r="B4" s="13" t="inlineStr">
        <is>
          <t>C03</t>
        </is>
      </c>
      <c r="C4" s="4" t="inlineStr">
        <is>
          <t>CURSUS</t>
        </is>
      </c>
      <c r="D4" s="13" t="inlineStr">
        <is>
          <t>K1</t>
        </is>
      </c>
      <c r="E4" s="13" t="inlineStr">
        <is>
          <t>AK</t>
        </is>
      </c>
      <c r="F4" s="13" t="inlineStr">
        <is>
          <t>vaste activa</t>
        </is>
      </c>
      <c r="G4" s="16" t="n">
        <v>46031</v>
      </c>
      <c r="H4" s="16">
        <f>G4+30</f>
        <v/>
      </c>
      <c r="I4" s="13" t="inlineStr">
        <is>
          <t>DW-2026-012</t>
        </is>
      </c>
      <c r="J4" s="13" t="inlineStr">
        <is>
          <t>Deprez Werkplaatsinrichting bv</t>
        </is>
      </c>
      <c r="K4" s="13" t="inlineStr">
        <is>
          <t>Fietsatelier Noor bv</t>
        </is>
      </c>
      <c r="M4" s="13" t="n"/>
      <c r="N4" s="14">
        <f>SUMIFS('J1 Lijnen'!$J:$J,'J1 Lijnen'!$A:$A,$B4,'J1 Lijnen'!$K:$K,0.21,'J1 Lijnen'!$E:$E,"&lt;&gt;verpakking")</f>
        <v/>
      </c>
      <c r="O4" s="14">
        <f>SUMIFS('J1 Lijnen'!$L:$L,'J1 Lijnen'!$A:$A,$B4,'J1 Lijnen'!$K:$K,0.21)</f>
        <v/>
      </c>
      <c r="P4" s="14">
        <f>SUMIFS('J1 Lijnen'!$J:$J,'J1 Lijnen'!$A:$A,$B4,'J1 Lijnen'!$K:$K,0.06)</f>
        <v/>
      </c>
      <c r="Q4" s="14">
        <f>SUMIFS('J1 Lijnen'!$L:$L,'J1 Lijnen'!$A:$A,$B4,'J1 Lijnen'!$K:$K,0.06)</f>
        <v/>
      </c>
      <c r="R4" s="14">
        <f>SUMIFS('J1 Lijnen'!$J:$J,'J1 Lijnen'!$A:$A,$B4,'J1 Lijnen'!$E:$E,"verpakking")</f>
        <v/>
      </c>
      <c r="S4" s="14">
        <f>-SUMIFS('J1 Lijnen'!$J:$J,'J1 Lijnen'!$A:$A,$B4,'J1 Lijnen'!$E:$E,"financiële korting")</f>
        <v/>
      </c>
      <c r="T4" s="17">
        <f>SUM(N4:S4)</f>
        <v/>
      </c>
      <c r="X4" s="13" t="inlineStr">
        <is>
          <t>U2026-01</t>
        </is>
      </c>
      <c r="Y4" s="14">
        <f>SUMIFS('J1 Journaal'!$K:$K,'J1 Journaal'!$E:$E,$B4)-SUMIFS('J1 Journaal'!$L:$L,'J1 Journaal'!$E:$E,$B4)</f>
        <v/>
      </c>
      <c r="Z4" s="13" t="n"/>
    </row>
    <row r="5">
      <c r="A5" s="12" t="n">
        <v>4</v>
      </c>
      <c r="B5" s="13" t="inlineStr">
        <is>
          <t>C04</t>
        </is>
      </c>
      <c r="C5" s="4" t="inlineStr">
        <is>
          <t>CURSUS</t>
        </is>
      </c>
      <c r="D5" s="13" t="inlineStr">
        <is>
          <t>K1</t>
        </is>
      </c>
      <c r="E5" s="13" t="inlineStr">
        <is>
          <t>VK</t>
        </is>
      </c>
      <c r="F5" s="13" t="inlineStr">
        <is>
          <t>handelsgoederen</t>
        </is>
      </c>
      <c r="G5" s="16" t="n">
        <v>46036</v>
      </c>
      <c r="H5" s="16">
        <f>G5+30</f>
        <v/>
      </c>
      <c r="I5" s="13" t="inlineStr">
        <is>
          <t>2026-001</t>
        </is>
      </c>
      <c r="J5" s="13" t="inlineStr">
        <is>
          <t>Fietsatelier Noor bv</t>
        </is>
      </c>
      <c r="K5" s="13" t="inlineStr">
        <is>
          <t>Snelpost bv</t>
        </is>
      </c>
      <c r="M5" s="13" t="n"/>
      <c r="N5" s="14">
        <f>SUMIFS('J1 Lijnen'!$J:$J,'J1 Lijnen'!$A:$A,$B5,'J1 Lijnen'!$K:$K,0.21,'J1 Lijnen'!$E:$E,"&lt;&gt;verpakking")</f>
        <v/>
      </c>
      <c r="O5" s="14">
        <f>SUMIFS('J1 Lijnen'!$L:$L,'J1 Lijnen'!$A:$A,$B5,'J1 Lijnen'!$K:$K,0.21)</f>
        <v/>
      </c>
      <c r="P5" s="14">
        <f>SUMIFS('J1 Lijnen'!$J:$J,'J1 Lijnen'!$A:$A,$B5,'J1 Lijnen'!$K:$K,0.06)</f>
        <v/>
      </c>
      <c r="Q5" s="14">
        <f>SUMIFS('J1 Lijnen'!$L:$L,'J1 Lijnen'!$A:$A,$B5,'J1 Lijnen'!$K:$K,0.06)</f>
        <v/>
      </c>
      <c r="R5" s="14">
        <f>SUMIFS('J1 Lijnen'!$J:$J,'J1 Lijnen'!$A:$A,$B5,'J1 Lijnen'!$E:$E,"verpakking")</f>
        <v/>
      </c>
      <c r="S5" s="14">
        <f>-SUMIFS('J1 Lijnen'!$J:$J,'J1 Lijnen'!$A:$A,$B5,'J1 Lijnen'!$E:$E,"financiële korting")</f>
        <v/>
      </c>
      <c r="T5" s="17">
        <f>SUM(N5:S5)</f>
        <v/>
      </c>
      <c r="X5" s="13" t="inlineStr">
        <is>
          <t>U2026-02</t>
        </is>
      </c>
      <c r="Y5" s="14">
        <f>SUMIFS('J1 Journaal'!$K:$K,'J1 Journaal'!$E:$E,$B5)-SUMIFS('J1 Journaal'!$L:$L,'J1 Journaal'!$E:$E,$B5)</f>
        <v/>
      </c>
      <c r="Z5" s="13" t="n"/>
    </row>
    <row r="6">
      <c r="A6" s="12" t="n">
        <v>5</v>
      </c>
      <c r="B6" s="13" t="inlineStr">
        <is>
          <t>C05</t>
        </is>
      </c>
      <c r="C6" s="4" t="inlineStr">
        <is>
          <t>CURSUS</t>
        </is>
      </c>
      <c r="D6" s="13" t="inlineStr">
        <is>
          <t>K1</t>
        </is>
      </c>
      <c r="E6" s="13" t="inlineStr">
        <is>
          <t>VK</t>
        </is>
      </c>
      <c r="F6" s="13" t="inlineStr">
        <is>
          <t>handelsgoederen</t>
        </is>
      </c>
      <c r="G6" s="16" t="n">
        <v>46041</v>
      </c>
      <c r="H6" s="16">
        <f>G6+30</f>
        <v/>
      </c>
      <c r="I6" s="13" t="inlineStr">
        <is>
          <t>2026-002</t>
        </is>
      </c>
      <c r="J6" s="13" t="inlineStr">
        <is>
          <t>Fietsatelier Noor bv</t>
        </is>
      </c>
      <c r="K6" s="13" t="inlineStr">
        <is>
          <t>Hotel De Linde bv</t>
        </is>
      </c>
      <c r="M6" s="13" t="n"/>
      <c r="N6" s="14">
        <f>SUMIFS('J1 Lijnen'!$J:$J,'J1 Lijnen'!$A:$A,$B6,'J1 Lijnen'!$K:$K,0.21,'J1 Lijnen'!$E:$E,"&lt;&gt;verpakking")</f>
        <v/>
      </c>
      <c r="O6" s="14">
        <f>SUMIFS('J1 Lijnen'!$L:$L,'J1 Lijnen'!$A:$A,$B6,'J1 Lijnen'!$K:$K,0.21)</f>
        <v/>
      </c>
      <c r="P6" s="14">
        <f>SUMIFS('J1 Lijnen'!$J:$J,'J1 Lijnen'!$A:$A,$B6,'J1 Lijnen'!$K:$K,0.06)</f>
        <v/>
      </c>
      <c r="Q6" s="14">
        <f>SUMIFS('J1 Lijnen'!$L:$L,'J1 Lijnen'!$A:$A,$B6,'J1 Lijnen'!$K:$K,0.06)</f>
        <v/>
      </c>
      <c r="R6" s="14">
        <f>SUMIFS('J1 Lijnen'!$J:$J,'J1 Lijnen'!$A:$A,$B6,'J1 Lijnen'!$E:$E,"verpakking")</f>
        <v/>
      </c>
      <c r="S6" s="14">
        <f>-SUMIFS('J1 Lijnen'!$J:$J,'J1 Lijnen'!$A:$A,$B6,'J1 Lijnen'!$E:$E,"financiële korting")</f>
        <v/>
      </c>
      <c r="T6" s="17">
        <f>SUM(N6:S6)</f>
        <v/>
      </c>
      <c r="X6" s="13" t="inlineStr">
        <is>
          <t>U2026-03</t>
        </is>
      </c>
      <c r="Y6" s="14">
        <f>SUMIFS('J1 Journaal'!$K:$K,'J1 Journaal'!$E:$E,$B6)-SUMIFS('J1 Journaal'!$L:$L,'J1 Journaal'!$E:$E,$B6)</f>
        <v/>
      </c>
      <c r="Z6" s="13" t="n"/>
    </row>
    <row r="7">
      <c r="A7" s="12" t="n">
        <v>7</v>
      </c>
      <c r="B7" s="13" t="inlineStr">
        <is>
          <t>C06</t>
        </is>
      </c>
      <c r="C7" s="4" t="inlineStr">
        <is>
          <t>CURSUS</t>
        </is>
      </c>
      <c r="D7" s="13" t="inlineStr">
        <is>
          <t>K1</t>
        </is>
      </c>
      <c r="E7" s="13" t="inlineStr">
        <is>
          <t>CN-VK</t>
        </is>
      </c>
      <c r="F7" s="13" t="inlineStr">
        <is>
          <t>retour</t>
        </is>
      </c>
      <c r="G7" s="16" t="n">
        <v>46043</v>
      </c>
      <c r="I7" s="13" t="inlineStr">
        <is>
          <t>CN-2026-001</t>
        </is>
      </c>
      <c r="J7" s="13" t="inlineStr">
        <is>
          <t>Fietsatelier Noor bv</t>
        </is>
      </c>
      <c r="K7" s="13" t="inlineStr">
        <is>
          <t>Hotel De Linde bv</t>
        </is>
      </c>
      <c r="L7" s="13" t="inlineStr">
        <is>
          <t>2026-002</t>
        </is>
      </c>
      <c r="M7" s="13" t="inlineStr">
        <is>
          <t>1 fiets teruggenomen: kras op het frame</t>
        </is>
      </c>
      <c r="N7" s="14">
        <f>SUMIFS('J1 Lijnen'!$J:$J,'J1 Lijnen'!$A:$A,$B7,'J1 Lijnen'!$K:$K,0.21,'J1 Lijnen'!$E:$E,"&lt;&gt;verpakking")</f>
        <v/>
      </c>
      <c r="O7" s="14">
        <f>SUMIFS('J1 Lijnen'!$L:$L,'J1 Lijnen'!$A:$A,$B7,'J1 Lijnen'!$K:$K,0.21)</f>
        <v/>
      </c>
      <c r="P7" s="14">
        <f>SUMIFS('J1 Lijnen'!$J:$J,'J1 Lijnen'!$A:$A,$B7,'J1 Lijnen'!$K:$K,0.06)</f>
        <v/>
      </c>
      <c r="Q7" s="14">
        <f>SUMIFS('J1 Lijnen'!$L:$L,'J1 Lijnen'!$A:$A,$B7,'J1 Lijnen'!$K:$K,0.06)</f>
        <v/>
      </c>
      <c r="R7" s="14">
        <f>SUMIFS('J1 Lijnen'!$J:$J,'J1 Lijnen'!$A:$A,$B7,'J1 Lijnen'!$E:$E,"verpakking")</f>
        <v/>
      </c>
      <c r="S7" s="14">
        <f>-SUMIFS('J1 Lijnen'!$J:$J,'J1 Lijnen'!$A:$A,$B7,'J1 Lijnen'!$E:$E,"financiële korting")</f>
        <v/>
      </c>
      <c r="T7" s="17">
        <f>SUM(N7:S7)</f>
        <v/>
      </c>
      <c r="X7" s="13" t="inlineStr">
        <is>
          <t>U2026-03</t>
        </is>
      </c>
      <c r="Y7" s="14">
        <f>SUMIFS('J1 Journaal'!$K:$K,'J1 Journaal'!$E:$E,$B7)-SUMIFS('J1 Journaal'!$L:$L,'J1 Journaal'!$E:$E,$B7)</f>
        <v/>
      </c>
      <c r="Z7" s="13" t="n"/>
    </row>
    <row r="8">
      <c r="A8" s="12" t="n">
        <v>8</v>
      </c>
      <c r="B8" s="13" t="inlineStr">
        <is>
          <t>C07</t>
        </is>
      </c>
      <c r="C8" s="4" t="inlineStr">
        <is>
          <t>CURSUS</t>
        </is>
      </c>
      <c r="D8" s="13" t="inlineStr">
        <is>
          <t>K1</t>
        </is>
      </c>
      <c r="E8" s="13" t="inlineStr">
        <is>
          <t>CN-AK</t>
        </is>
      </c>
      <c r="F8" s="13" t="inlineStr">
        <is>
          <t>retour</t>
        </is>
      </c>
      <c r="G8" s="16" t="n">
        <v>46044</v>
      </c>
      <c r="I8" s="13" t="inlineStr">
        <is>
          <t>CN-2026-007</t>
        </is>
      </c>
      <c r="J8" s="13" t="inlineStr">
        <is>
          <t>Velomax bv</t>
        </is>
      </c>
      <c r="K8" s="13" t="inlineStr">
        <is>
          <t>Fietsatelier Noor bv</t>
        </is>
      </c>
      <c r="L8" s="13" t="inlineStr">
        <is>
          <t>2026-118</t>
        </is>
      </c>
      <c r="M8" s="13" t="inlineStr">
        <is>
          <t>1 fiets beschadigd geleverd, teruggestuurd</t>
        </is>
      </c>
      <c r="N8" s="14">
        <f>SUMIFS('J1 Lijnen'!$J:$J,'J1 Lijnen'!$A:$A,$B8,'J1 Lijnen'!$K:$K,0.21,'J1 Lijnen'!$E:$E,"&lt;&gt;verpakking")</f>
        <v/>
      </c>
      <c r="O8" s="14">
        <f>SUMIFS('J1 Lijnen'!$L:$L,'J1 Lijnen'!$A:$A,$B8,'J1 Lijnen'!$K:$K,0.21)</f>
        <v/>
      </c>
      <c r="P8" s="14">
        <f>SUMIFS('J1 Lijnen'!$J:$J,'J1 Lijnen'!$A:$A,$B8,'J1 Lijnen'!$K:$K,0.06)</f>
        <v/>
      </c>
      <c r="Q8" s="14">
        <f>SUMIFS('J1 Lijnen'!$L:$L,'J1 Lijnen'!$A:$A,$B8,'J1 Lijnen'!$K:$K,0.06)</f>
        <v/>
      </c>
      <c r="R8" s="14">
        <f>SUMIFS('J1 Lijnen'!$J:$J,'J1 Lijnen'!$A:$A,$B8,'J1 Lijnen'!$E:$E,"verpakking")</f>
        <v/>
      </c>
      <c r="S8" s="14">
        <f>-SUMIFS('J1 Lijnen'!$J:$J,'J1 Lijnen'!$A:$A,$B8,'J1 Lijnen'!$E:$E,"financiële korting")</f>
        <v/>
      </c>
      <c r="T8" s="17">
        <f>SUM(N8:S8)</f>
        <v/>
      </c>
      <c r="X8" s="13" t="inlineStr">
        <is>
          <t>U2026-03</t>
        </is>
      </c>
      <c r="Y8" s="14">
        <f>SUMIFS('J1 Journaal'!$K:$K,'J1 Journaal'!$E:$E,$B8)-SUMIFS('J1 Journaal'!$L:$L,'J1 Journaal'!$E:$E,$B8)</f>
        <v/>
      </c>
      <c r="Z8" s="13" t="n"/>
    </row>
    <row r="9">
      <c r="A9" s="12" t="n">
        <v>9</v>
      </c>
      <c r="B9" s="13" t="inlineStr">
        <is>
          <t>C08</t>
        </is>
      </c>
      <c r="C9" s="4" t="inlineStr">
        <is>
          <t>CURSUS</t>
        </is>
      </c>
      <c r="D9" s="13" t="inlineStr">
        <is>
          <t>K1</t>
        </is>
      </c>
      <c r="E9" s="13" t="inlineStr">
        <is>
          <t>DO</t>
        </is>
      </c>
      <c r="F9" s="13" t="inlineStr">
        <is>
          <t>dagontvangst</t>
        </is>
      </c>
      <c r="G9" s="16" t="n">
        <v>46046</v>
      </c>
      <c r="I9" s="13" t="inlineStr">
        <is>
          <t>DO-2026-01</t>
        </is>
      </c>
      <c r="J9" s="13" t="inlineStr">
        <is>
          <t>Fietsatelier Noor bv</t>
        </is>
      </c>
      <c r="K9" s="13" t="inlineStr">
        <is>
          <t>particulieren (kasticket)</t>
        </is>
      </c>
      <c r="M9" s="13" t="inlineStr">
        <is>
          <t>Dagontvangsten winkel (verkopen aan particulieren)</t>
        </is>
      </c>
      <c r="N9" s="14">
        <f>SUMIFS('J1 Lijnen'!$J:$J,'J1 Lijnen'!$A:$A,$B9,'J1 Lijnen'!$K:$K,0.21,'J1 Lijnen'!$E:$E,"&lt;&gt;verpakking")</f>
        <v/>
      </c>
      <c r="O9" s="14">
        <f>SUMIFS('J1 Lijnen'!$L:$L,'J1 Lijnen'!$A:$A,$B9,'J1 Lijnen'!$K:$K,0.21)</f>
        <v/>
      </c>
      <c r="P9" s="14">
        <f>SUMIFS('J1 Lijnen'!$J:$J,'J1 Lijnen'!$A:$A,$B9,'J1 Lijnen'!$K:$K,0.06)</f>
        <v/>
      </c>
      <c r="Q9" s="14">
        <f>SUMIFS('J1 Lijnen'!$L:$L,'J1 Lijnen'!$A:$A,$B9,'J1 Lijnen'!$K:$K,0.06)</f>
        <v/>
      </c>
      <c r="R9" s="14">
        <f>SUMIFS('J1 Lijnen'!$J:$J,'J1 Lijnen'!$A:$A,$B9,'J1 Lijnen'!$E:$E,"verpakking")</f>
        <v/>
      </c>
      <c r="S9" s="14">
        <f>-SUMIFS('J1 Lijnen'!$J:$J,'J1 Lijnen'!$A:$A,$B9,'J1 Lijnen'!$E:$E,"financiële korting")</f>
        <v/>
      </c>
      <c r="T9" s="17">
        <f>SUM(N9:S9)</f>
        <v/>
      </c>
      <c r="V9" s="14">
        <f>T9-W9</f>
        <v/>
      </c>
      <c r="W9" s="14" t="n">
        <v>1000</v>
      </c>
      <c r="X9" s="13" t="inlineStr">
        <is>
          <t>C08K, U2026-03</t>
        </is>
      </c>
      <c r="Y9" s="14">
        <f>SUMIFS('J1 Journaal'!$K:$K,'J1 Journaal'!$E:$E,$B9)-SUMIFS('J1 Journaal'!$L:$L,'J1 Journaal'!$E:$E,$B9)</f>
        <v/>
      </c>
      <c r="Z9" s="13" t="n"/>
    </row>
    <row r="10">
      <c r="A10" s="12" t="n">
        <v>10</v>
      </c>
      <c r="B10" s="13" t="inlineStr">
        <is>
          <t>C08K</t>
        </is>
      </c>
      <c r="C10" s="4" t="inlineStr">
        <is>
          <t>CURSUS</t>
        </is>
      </c>
      <c r="D10" s="13" t="inlineStr">
        <is>
          <t>K1</t>
        </is>
      </c>
      <c r="E10" s="13" t="inlineStr">
        <is>
          <t>KAS</t>
        </is>
      </c>
      <c r="F10" s="13" t="inlineStr">
        <is>
          <t>ontvangst</t>
        </is>
      </c>
      <c r="G10" s="16" t="n">
        <v>46046</v>
      </c>
      <c r="I10" s="13" t="inlineStr">
        <is>
          <t>Kasboek DO-2026-01</t>
        </is>
      </c>
      <c r="J10" s="13" t="inlineStr">
        <is>
          <t>Fietsatelier Noor bv</t>
        </is>
      </c>
      <c r="K10" s="13" t="inlineStr">
        <is>
          <t>Fietsatelier Noor bv</t>
        </is>
      </c>
      <c r="L10" s="13" t="inlineStr">
        <is>
          <t>DO-2026-01</t>
        </is>
      </c>
      <c r="M10" s="13" t="inlineStr">
        <is>
          <t>Contant deel van dagontvangst DO-2026-01 (laat de vordering op de klanten dalen)</t>
        </is>
      </c>
      <c r="T10" s="17" t="n">
        <v>422</v>
      </c>
      <c r="V10" s="14" t="n">
        <v>422</v>
      </c>
      <c r="Y10" s="14">
        <f>SUMIFS('J1 Journaal'!$K:$K,'J1 Journaal'!$E:$E,$B10)-SUMIFS('J1 Journaal'!$L:$L,'J1 Journaal'!$E:$E,$B10)</f>
        <v/>
      </c>
    </row>
    <row r="11">
      <c r="A11" s="12" t="n">
        <v>1</v>
      </c>
      <c r="B11" s="13" t="inlineStr">
        <is>
          <t>A1</t>
        </is>
      </c>
      <c r="C11" s="5" t="inlineStr">
        <is>
          <t>VERPLICHT</t>
        </is>
      </c>
      <c r="D11" s="13" t="inlineStr">
        <is>
          <t>K1</t>
        </is>
      </c>
      <c r="E11" s="13" t="inlineStr">
        <is>
          <t>AK</t>
        </is>
      </c>
      <c r="F11" s="13" t="inlineStr">
        <is>
          <t>handelsgoederen</t>
        </is>
      </c>
      <c r="G11" s="16" t="n">
        <v>46055</v>
      </c>
      <c r="H11" s="16">
        <f>G11+30</f>
        <v/>
      </c>
      <c r="I11" s="13" t="inlineStr">
        <is>
          <t>2026-205</t>
        </is>
      </c>
      <c r="J11" s="13" t="inlineStr">
        <is>
          <t>Velomax bv</t>
        </is>
      </c>
      <c r="K11" s="13" t="inlineStr">
        <is>
          <t>Fietsatelier Noor bv</t>
        </is>
      </c>
      <c r="M11" s="13" t="n"/>
      <c r="N11" s="14">
        <f>SUMIFS('J1 Lijnen'!$J:$J,'J1 Lijnen'!$A:$A,$B11,'J1 Lijnen'!$K:$K,0.21,'J1 Lijnen'!$E:$E,"&lt;&gt;verpakking")</f>
        <v/>
      </c>
      <c r="O11" s="14">
        <f>SUMIFS('J1 Lijnen'!$L:$L,'J1 Lijnen'!$A:$A,$B11,'J1 Lijnen'!$K:$K,0.21)</f>
        <v/>
      </c>
      <c r="P11" s="14">
        <f>SUMIFS('J1 Lijnen'!$J:$J,'J1 Lijnen'!$A:$A,$B11,'J1 Lijnen'!$K:$K,0.06)</f>
        <v/>
      </c>
      <c r="Q11" s="14">
        <f>SUMIFS('J1 Lijnen'!$L:$L,'J1 Lijnen'!$A:$A,$B11,'J1 Lijnen'!$K:$K,0.06)</f>
        <v/>
      </c>
      <c r="R11" s="14">
        <f>SUMIFS('J1 Lijnen'!$J:$J,'J1 Lijnen'!$A:$A,$B11,'J1 Lijnen'!$E:$E,"verpakking")</f>
        <v/>
      </c>
      <c r="S11" s="14">
        <f>-SUMIFS('J1 Lijnen'!$J:$J,'J1 Lijnen'!$A:$A,$B11,'J1 Lijnen'!$E:$E,"financiële korting")</f>
        <v/>
      </c>
      <c r="T11" s="17">
        <f>SUM(N11:S11)</f>
        <v/>
      </c>
      <c r="X11" s="13" t="inlineStr">
        <is>
          <t>U2026-06</t>
        </is>
      </c>
      <c r="Y11" s="14">
        <f>SUMIFS('J1 Journaal'!$K:$K,'J1 Journaal'!$E:$E,$B11)-SUMIFS('J1 Journaal'!$L:$L,'J1 Journaal'!$E:$E,$B11)</f>
        <v/>
      </c>
      <c r="Z11" s="13" t="n"/>
    </row>
    <row r="12">
      <c r="A12" s="12" t="n">
        <v>2</v>
      </c>
      <c r="B12" s="13" t="inlineStr">
        <is>
          <t>A2</t>
        </is>
      </c>
      <c r="C12" s="5" t="inlineStr">
        <is>
          <t>VERPLICHT</t>
        </is>
      </c>
      <c r="D12" s="13" t="inlineStr">
        <is>
          <t>K1</t>
        </is>
      </c>
      <c r="E12" s="13" t="inlineStr">
        <is>
          <t>AK</t>
        </is>
      </c>
      <c r="F12" s="13" t="inlineStr">
        <is>
          <t>handelsgoederen</t>
        </is>
      </c>
      <c r="G12" s="16" t="n">
        <v>46057</v>
      </c>
      <c r="H12" s="16">
        <f>G12+30</f>
        <v/>
      </c>
      <c r="I12" s="13" t="inlineStr">
        <is>
          <t>SW-1032</t>
        </is>
      </c>
      <c r="J12" s="13" t="inlineStr">
        <is>
          <t>Spaakwerk bv</t>
        </is>
      </c>
      <c r="K12" s="13" t="inlineStr">
        <is>
          <t>Fietsatelier Noor bv</t>
        </is>
      </c>
      <c r="M12" s="13" t="n"/>
      <c r="N12" s="14">
        <f>SUMIFS('J1 Lijnen'!$J:$J,'J1 Lijnen'!$A:$A,$B12,'J1 Lijnen'!$K:$K,0.21,'J1 Lijnen'!$E:$E,"&lt;&gt;verpakking")</f>
        <v/>
      </c>
      <c r="O12" s="14">
        <f>SUMIFS('J1 Lijnen'!$L:$L,'J1 Lijnen'!$A:$A,$B12,'J1 Lijnen'!$K:$K,0.21)</f>
        <v/>
      </c>
      <c r="P12" s="14">
        <f>SUMIFS('J1 Lijnen'!$J:$J,'J1 Lijnen'!$A:$A,$B12,'J1 Lijnen'!$K:$K,0.06)</f>
        <v/>
      </c>
      <c r="Q12" s="14">
        <f>SUMIFS('J1 Lijnen'!$L:$L,'J1 Lijnen'!$A:$A,$B12,'J1 Lijnen'!$K:$K,0.06)</f>
        <v/>
      </c>
      <c r="R12" s="14">
        <f>SUMIFS('J1 Lijnen'!$J:$J,'J1 Lijnen'!$A:$A,$B12,'J1 Lijnen'!$E:$E,"verpakking")</f>
        <v/>
      </c>
      <c r="S12" s="14">
        <f>-SUMIFS('J1 Lijnen'!$J:$J,'J1 Lijnen'!$A:$A,$B12,'J1 Lijnen'!$E:$E,"financiële korting")</f>
        <v/>
      </c>
      <c r="T12" s="17">
        <f>SUM(N12:S12)</f>
        <v/>
      </c>
      <c r="X12" s="13" t="inlineStr">
        <is>
          <t>U2026-05</t>
        </is>
      </c>
      <c r="Y12" s="14">
        <f>SUMIFS('J1 Journaal'!$K:$K,'J1 Journaal'!$E:$E,$B12)-SUMIFS('J1 Journaal'!$L:$L,'J1 Journaal'!$E:$E,$B12)</f>
        <v/>
      </c>
      <c r="Z12" s="13" t="n"/>
    </row>
    <row r="13">
      <c r="A13" s="12" t="n">
        <v>3</v>
      </c>
      <c r="B13" s="13" t="inlineStr">
        <is>
          <t>A3</t>
        </is>
      </c>
      <c r="C13" s="5" t="inlineStr">
        <is>
          <t>VERPLICHT</t>
        </is>
      </c>
      <c r="D13" s="13" t="inlineStr">
        <is>
          <t>K1</t>
        </is>
      </c>
      <c r="E13" s="13" t="inlineStr">
        <is>
          <t>AK</t>
        </is>
      </c>
      <c r="F13" s="13" t="inlineStr">
        <is>
          <t>handelsgoederen</t>
        </is>
      </c>
      <c r="G13" s="16" t="n">
        <v>46059</v>
      </c>
      <c r="H13" s="16">
        <f>G13+30</f>
        <v/>
      </c>
      <c r="I13" s="13" t="inlineStr">
        <is>
          <t>HH-26-077</t>
        </is>
      </c>
      <c r="J13" s="13" t="inlineStr">
        <is>
          <t>HelmHuis bv</t>
        </is>
      </c>
      <c r="K13" s="13" t="inlineStr">
        <is>
          <t>Fietsatelier Noor bv</t>
        </is>
      </c>
      <c r="M13" s="13" t="n"/>
      <c r="N13" s="14">
        <f>SUMIFS('J1 Lijnen'!$J:$J,'J1 Lijnen'!$A:$A,$B13,'J1 Lijnen'!$K:$K,0.21,'J1 Lijnen'!$E:$E,"&lt;&gt;verpakking")</f>
        <v/>
      </c>
      <c r="O13" s="14">
        <f>SUMIFS('J1 Lijnen'!$L:$L,'J1 Lijnen'!$A:$A,$B13,'J1 Lijnen'!$K:$K,0.21)</f>
        <v/>
      </c>
      <c r="P13" s="14">
        <f>SUMIFS('J1 Lijnen'!$J:$J,'J1 Lijnen'!$A:$A,$B13,'J1 Lijnen'!$K:$K,0.06)</f>
        <v/>
      </c>
      <c r="Q13" s="14">
        <f>SUMIFS('J1 Lijnen'!$L:$L,'J1 Lijnen'!$A:$A,$B13,'J1 Lijnen'!$K:$K,0.06)</f>
        <v/>
      </c>
      <c r="R13" s="14">
        <f>SUMIFS('J1 Lijnen'!$J:$J,'J1 Lijnen'!$A:$A,$B13,'J1 Lijnen'!$E:$E,"verpakking")</f>
        <v/>
      </c>
      <c r="S13" s="14">
        <f>-SUMIFS('J1 Lijnen'!$J:$J,'J1 Lijnen'!$A:$A,$B13,'J1 Lijnen'!$E:$E,"financiële korting")</f>
        <v/>
      </c>
      <c r="T13" s="17">
        <f>SUM(N13:S13)</f>
        <v/>
      </c>
      <c r="X13" s="13" t="inlineStr">
        <is>
          <t>U2026-05</t>
        </is>
      </c>
      <c r="Y13" s="14">
        <f>SUMIFS('J1 Journaal'!$K:$K,'J1 Journaal'!$E:$E,$B13)-SUMIFS('J1 Journaal'!$L:$L,'J1 Journaal'!$E:$E,$B13)</f>
        <v/>
      </c>
      <c r="Z13" s="13" t="n"/>
    </row>
    <row r="14">
      <c r="A14" s="12" t="n">
        <v>4</v>
      </c>
      <c r="B14" s="13" t="inlineStr">
        <is>
          <t>A4</t>
        </is>
      </c>
      <c r="C14" s="5" t="inlineStr">
        <is>
          <t>VERPLICHT</t>
        </is>
      </c>
      <c r="D14" s="13" t="inlineStr">
        <is>
          <t>K1</t>
        </is>
      </c>
      <c r="E14" s="13" t="inlineStr">
        <is>
          <t>AK</t>
        </is>
      </c>
      <c r="F14" s="13" t="inlineStr">
        <is>
          <t>diensten</t>
        </is>
      </c>
      <c r="G14" s="16" t="n">
        <v>46062</v>
      </c>
      <c r="H14" s="16">
        <f>G14+30</f>
        <v/>
      </c>
      <c r="I14" s="13" t="inlineStr">
        <is>
          <t>DP-2026-031</t>
        </is>
      </c>
      <c r="J14" s="13" t="inlineStr">
        <is>
          <t>Drukkerij Peeters bv</t>
        </is>
      </c>
      <c r="K14" s="13" t="inlineStr">
        <is>
          <t>Fietsatelier Noor bv</t>
        </is>
      </c>
      <c r="M14" s="13" t="n"/>
      <c r="N14" s="14">
        <f>SUMIFS('J1 Lijnen'!$J:$J,'J1 Lijnen'!$A:$A,$B14,'J1 Lijnen'!$K:$K,0.21,'J1 Lijnen'!$E:$E,"&lt;&gt;verpakking")</f>
        <v/>
      </c>
      <c r="O14" s="14">
        <f>SUMIFS('J1 Lijnen'!$L:$L,'J1 Lijnen'!$A:$A,$B14,'J1 Lijnen'!$K:$K,0.21)</f>
        <v/>
      </c>
      <c r="P14" s="14">
        <f>SUMIFS('J1 Lijnen'!$J:$J,'J1 Lijnen'!$A:$A,$B14,'J1 Lijnen'!$K:$K,0.06)</f>
        <v/>
      </c>
      <c r="Q14" s="14">
        <f>SUMIFS('J1 Lijnen'!$L:$L,'J1 Lijnen'!$A:$A,$B14,'J1 Lijnen'!$K:$K,0.06)</f>
        <v/>
      </c>
      <c r="R14" s="14">
        <f>SUMIFS('J1 Lijnen'!$J:$J,'J1 Lijnen'!$A:$A,$B14,'J1 Lijnen'!$E:$E,"verpakking")</f>
        <v/>
      </c>
      <c r="S14" s="14">
        <f>-SUMIFS('J1 Lijnen'!$J:$J,'J1 Lijnen'!$A:$A,$B14,'J1 Lijnen'!$E:$E,"financiële korting")</f>
        <v/>
      </c>
      <c r="T14" s="17">
        <f>SUM(N14:S14)</f>
        <v/>
      </c>
      <c r="X14" s="13" t="inlineStr">
        <is>
          <t>U2026-06</t>
        </is>
      </c>
      <c r="Y14" s="14">
        <f>SUMIFS('J1 Journaal'!$K:$K,'J1 Journaal'!$E:$E,$B14)-SUMIFS('J1 Journaal'!$L:$L,'J1 Journaal'!$E:$E,$B14)</f>
        <v/>
      </c>
      <c r="Z14" s="13" t="n"/>
    </row>
    <row r="15">
      <c r="A15" s="12" t="n">
        <v>5</v>
      </c>
      <c r="B15" s="13" t="inlineStr">
        <is>
          <t>A5</t>
        </is>
      </c>
      <c r="C15" s="5" t="inlineStr">
        <is>
          <t>VERPLICHT</t>
        </is>
      </c>
      <c r="D15" s="13" t="inlineStr">
        <is>
          <t>K1</t>
        </is>
      </c>
      <c r="E15" s="13" t="inlineStr">
        <is>
          <t>AK</t>
        </is>
      </c>
      <c r="F15" s="13" t="inlineStr">
        <is>
          <t>vaste activa</t>
        </is>
      </c>
      <c r="G15" s="16" t="n">
        <v>46064</v>
      </c>
      <c r="H15" s="16">
        <f>G15+30</f>
        <v/>
      </c>
      <c r="I15" s="13" t="inlineStr">
        <is>
          <t>KT-0458</t>
        </is>
      </c>
      <c r="J15" s="13" t="inlineStr">
        <is>
          <t>Kassatech bv</t>
        </is>
      </c>
      <c r="K15" s="13" t="inlineStr">
        <is>
          <t>Fietsatelier Noor bv</t>
        </is>
      </c>
      <c r="M15" s="13" t="n"/>
      <c r="N15" s="14">
        <f>SUMIFS('J1 Lijnen'!$J:$J,'J1 Lijnen'!$A:$A,$B15,'J1 Lijnen'!$K:$K,0.21,'J1 Lijnen'!$E:$E,"&lt;&gt;verpakking")</f>
        <v/>
      </c>
      <c r="O15" s="14">
        <f>SUMIFS('J1 Lijnen'!$L:$L,'J1 Lijnen'!$A:$A,$B15,'J1 Lijnen'!$K:$K,0.21)</f>
        <v/>
      </c>
      <c r="P15" s="14">
        <f>SUMIFS('J1 Lijnen'!$J:$J,'J1 Lijnen'!$A:$A,$B15,'J1 Lijnen'!$K:$K,0.06)</f>
        <v/>
      </c>
      <c r="Q15" s="14">
        <f>SUMIFS('J1 Lijnen'!$L:$L,'J1 Lijnen'!$A:$A,$B15,'J1 Lijnen'!$K:$K,0.06)</f>
        <v/>
      </c>
      <c r="R15" s="14">
        <f>SUMIFS('J1 Lijnen'!$J:$J,'J1 Lijnen'!$A:$A,$B15,'J1 Lijnen'!$E:$E,"verpakking")</f>
        <v/>
      </c>
      <c r="S15" s="14">
        <f>-SUMIFS('J1 Lijnen'!$J:$J,'J1 Lijnen'!$A:$A,$B15,'J1 Lijnen'!$E:$E,"financiële korting")</f>
        <v/>
      </c>
      <c r="T15" s="17">
        <f>SUM(N15:S15)</f>
        <v/>
      </c>
      <c r="X15" s="13" t="inlineStr">
        <is>
          <t>U2026-06</t>
        </is>
      </c>
      <c r="Y15" s="14">
        <f>SUMIFS('J1 Journaal'!$K:$K,'J1 Journaal'!$E:$E,$B15)-SUMIFS('J1 Journaal'!$L:$L,'J1 Journaal'!$E:$E,$B15)</f>
        <v/>
      </c>
      <c r="Z15" s="13" t="n"/>
    </row>
    <row r="16">
      <c r="A16" s="12" t="n">
        <v>6</v>
      </c>
      <c r="B16" s="13" t="inlineStr">
        <is>
          <t>CA1</t>
        </is>
      </c>
      <c r="C16" s="5" t="inlineStr">
        <is>
          <t>VERPLICHT</t>
        </is>
      </c>
      <c r="D16" s="13" t="inlineStr">
        <is>
          <t>K1</t>
        </is>
      </c>
      <c r="E16" s="13" t="inlineStr">
        <is>
          <t>CN-AK</t>
        </is>
      </c>
      <c r="F16" s="13" t="inlineStr">
        <is>
          <t>retour</t>
        </is>
      </c>
      <c r="G16" s="16" t="n">
        <v>46066</v>
      </c>
      <c r="I16" s="13" t="inlineStr">
        <is>
          <t>CN-2026-015</t>
        </is>
      </c>
      <c r="J16" s="13" t="inlineStr">
        <is>
          <t>Velomax bv</t>
        </is>
      </c>
      <c r="K16" s="13" t="inlineStr">
        <is>
          <t>Fietsatelier Noor bv</t>
        </is>
      </c>
      <c r="L16" s="13" t="inlineStr">
        <is>
          <t>2026-205</t>
        </is>
      </c>
      <c r="M16" s="13" t="inlineStr">
        <is>
          <t>1 e-bike in verkeerde framemaat geleverd, teruggestuurd</t>
        </is>
      </c>
      <c r="N16" s="14">
        <f>SUMIFS('J1 Lijnen'!$J:$J,'J1 Lijnen'!$A:$A,$B16,'J1 Lijnen'!$K:$K,0.21,'J1 Lijnen'!$E:$E,"&lt;&gt;verpakking")</f>
        <v/>
      </c>
      <c r="O16" s="14">
        <f>SUMIFS('J1 Lijnen'!$L:$L,'J1 Lijnen'!$A:$A,$B16,'J1 Lijnen'!$K:$K,0.21)</f>
        <v/>
      </c>
      <c r="P16" s="14">
        <f>SUMIFS('J1 Lijnen'!$J:$J,'J1 Lijnen'!$A:$A,$B16,'J1 Lijnen'!$K:$K,0.06)</f>
        <v/>
      </c>
      <c r="Q16" s="14">
        <f>SUMIFS('J1 Lijnen'!$L:$L,'J1 Lijnen'!$A:$A,$B16,'J1 Lijnen'!$K:$K,0.06)</f>
        <v/>
      </c>
      <c r="R16" s="14">
        <f>SUMIFS('J1 Lijnen'!$J:$J,'J1 Lijnen'!$A:$A,$B16,'J1 Lijnen'!$E:$E,"verpakking")</f>
        <v/>
      </c>
      <c r="S16" s="14">
        <f>-SUMIFS('J1 Lijnen'!$J:$J,'J1 Lijnen'!$A:$A,$B16,'J1 Lijnen'!$E:$E,"financiële korting")</f>
        <v/>
      </c>
      <c r="T16" s="17">
        <f>SUM(N16:S16)</f>
        <v/>
      </c>
      <c r="X16" s="13" t="inlineStr">
        <is>
          <t>U2026-06</t>
        </is>
      </c>
      <c r="Y16" s="14">
        <f>SUMIFS('J1 Journaal'!$K:$K,'J1 Journaal'!$E:$E,$B16)-SUMIFS('J1 Journaal'!$L:$L,'J1 Journaal'!$E:$E,$B16)</f>
        <v/>
      </c>
      <c r="Z16" s="13" t="n"/>
    </row>
    <row r="17">
      <c r="A17" s="12" t="n">
        <v>7</v>
      </c>
      <c r="B17" s="13" t="inlineStr">
        <is>
          <t>CA2</t>
        </is>
      </c>
      <c r="C17" s="5" t="inlineStr">
        <is>
          <t>VERPLICHT</t>
        </is>
      </c>
      <c r="D17" s="13" t="inlineStr">
        <is>
          <t>K1</t>
        </is>
      </c>
      <c r="E17" s="13" t="inlineStr">
        <is>
          <t>CN-AK</t>
        </is>
      </c>
      <c r="F17" s="13" t="inlineStr">
        <is>
          <t>retour</t>
        </is>
      </c>
      <c r="G17" s="16" t="n">
        <v>46069</v>
      </c>
      <c r="I17" s="13" t="inlineStr">
        <is>
          <t>HH-CN-26-004</t>
        </is>
      </c>
      <c r="J17" s="13" t="inlineStr">
        <is>
          <t>HelmHuis bv</t>
        </is>
      </c>
      <c r="K17" s="13" t="inlineStr">
        <is>
          <t>Fietsatelier Noor bv</t>
        </is>
      </c>
      <c r="L17" s="13" t="inlineStr">
        <is>
          <t>HH-26-077</t>
        </is>
      </c>
      <c r="M17" s="13" t="inlineStr">
        <is>
          <t>10 sloten beschadigd geleverd, teruggestuurd</t>
        </is>
      </c>
      <c r="N17" s="14">
        <f>SUMIFS('J1 Lijnen'!$J:$J,'J1 Lijnen'!$A:$A,$B17,'J1 Lijnen'!$K:$K,0.21,'J1 Lijnen'!$E:$E,"&lt;&gt;verpakking")</f>
        <v/>
      </c>
      <c r="O17" s="14">
        <f>SUMIFS('J1 Lijnen'!$L:$L,'J1 Lijnen'!$A:$A,$B17,'J1 Lijnen'!$K:$K,0.21)</f>
        <v/>
      </c>
      <c r="P17" s="14">
        <f>SUMIFS('J1 Lijnen'!$J:$J,'J1 Lijnen'!$A:$A,$B17,'J1 Lijnen'!$K:$K,0.06)</f>
        <v/>
      </c>
      <c r="Q17" s="14">
        <f>SUMIFS('J1 Lijnen'!$L:$L,'J1 Lijnen'!$A:$A,$B17,'J1 Lijnen'!$K:$K,0.06)</f>
        <v/>
      </c>
      <c r="R17" s="14">
        <f>SUMIFS('J1 Lijnen'!$J:$J,'J1 Lijnen'!$A:$A,$B17,'J1 Lijnen'!$E:$E,"verpakking")</f>
        <v/>
      </c>
      <c r="S17" s="14">
        <f>-SUMIFS('J1 Lijnen'!$J:$J,'J1 Lijnen'!$A:$A,$B17,'J1 Lijnen'!$E:$E,"financiële korting")</f>
        <v/>
      </c>
      <c r="T17" s="17">
        <f>SUM(N17:S17)</f>
        <v/>
      </c>
      <c r="X17" s="13" t="inlineStr">
        <is>
          <t>U2026-05</t>
        </is>
      </c>
      <c r="Y17" s="14">
        <f>SUMIFS('J1 Journaal'!$K:$K,'J1 Journaal'!$E:$E,$B17)-SUMIFS('J1 Journaal'!$L:$L,'J1 Journaal'!$E:$E,$B17)</f>
        <v/>
      </c>
      <c r="Z17" s="13" t="n"/>
    </row>
    <row r="18">
      <c r="A18" s="12" t="n">
        <v>8</v>
      </c>
      <c r="B18" s="13" t="inlineStr">
        <is>
          <t>CA3</t>
        </is>
      </c>
      <c r="C18" s="5" t="inlineStr">
        <is>
          <t>VERPLICHT</t>
        </is>
      </c>
      <c r="D18" s="13" t="inlineStr">
        <is>
          <t>K1</t>
        </is>
      </c>
      <c r="E18" s="13" t="inlineStr">
        <is>
          <t>CN-AK</t>
        </is>
      </c>
      <c r="F18" s="13" t="inlineStr">
        <is>
          <t>retour</t>
        </is>
      </c>
      <c r="G18" s="16" t="n">
        <v>46078</v>
      </c>
      <c r="I18" s="13" t="inlineStr">
        <is>
          <t>SW-CN-118</t>
        </is>
      </c>
      <c r="J18" s="13" t="inlineStr">
        <is>
          <t>Spaakwerk bv</t>
        </is>
      </c>
      <c r="K18" s="13" t="inlineStr">
        <is>
          <t>Fietsatelier Noor bv</t>
        </is>
      </c>
      <c r="L18" s="13" t="inlineStr">
        <is>
          <t>SW-1032</t>
        </is>
      </c>
      <c r="M18" s="13" t="inlineStr">
        <is>
          <t>10 kettingen van het verkeerde type, teruggestuurd (factuur was al betaald)</t>
        </is>
      </c>
      <c r="N18" s="14">
        <f>SUMIFS('J1 Lijnen'!$J:$J,'J1 Lijnen'!$A:$A,$B18,'J1 Lijnen'!$K:$K,0.21,'J1 Lijnen'!$E:$E,"&lt;&gt;verpakking")</f>
        <v/>
      </c>
      <c r="O18" s="14">
        <f>SUMIFS('J1 Lijnen'!$L:$L,'J1 Lijnen'!$A:$A,$B18,'J1 Lijnen'!$K:$K,0.21)</f>
        <v/>
      </c>
      <c r="P18" s="14">
        <f>SUMIFS('J1 Lijnen'!$J:$J,'J1 Lijnen'!$A:$A,$B18,'J1 Lijnen'!$K:$K,0.06)</f>
        <v/>
      </c>
      <c r="Q18" s="14">
        <f>SUMIFS('J1 Lijnen'!$L:$L,'J1 Lijnen'!$A:$A,$B18,'J1 Lijnen'!$K:$K,0.06)</f>
        <v/>
      </c>
      <c r="R18" s="14">
        <f>SUMIFS('J1 Lijnen'!$J:$J,'J1 Lijnen'!$A:$A,$B18,'J1 Lijnen'!$E:$E,"verpakking")</f>
        <v/>
      </c>
      <c r="S18" s="14">
        <f>-SUMIFS('J1 Lijnen'!$J:$J,'J1 Lijnen'!$A:$A,$B18,'J1 Lijnen'!$E:$E,"financiële korting")</f>
        <v/>
      </c>
      <c r="T18" s="17">
        <f>SUM(N18:S18)</f>
        <v/>
      </c>
      <c r="X18" s="13" t="inlineStr">
        <is>
          <t>U2026-07</t>
        </is>
      </c>
      <c r="Y18" s="14">
        <f>SUMIFS('J1 Journaal'!$K:$K,'J1 Journaal'!$E:$E,$B18)-SUMIFS('J1 Journaal'!$L:$L,'J1 Journaal'!$E:$E,$B18)</f>
        <v/>
      </c>
      <c r="Z18" s="13" t="n"/>
    </row>
    <row r="19">
      <c r="A19" s="12" t="n">
        <v>9</v>
      </c>
      <c r="B19" s="13" t="inlineStr">
        <is>
          <t>V1</t>
        </is>
      </c>
      <c r="C19" s="5" t="inlineStr">
        <is>
          <t>VERPLICHT</t>
        </is>
      </c>
      <c r="D19" s="13" t="inlineStr">
        <is>
          <t>K1</t>
        </is>
      </c>
      <c r="E19" s="13" t="inlineStr">
        <is>
          <t>VK</t>
        </is>
      </c>
      <c r="F19" s="13" t="inlineStr">
        <is>
          <t>handelsgoederen</t>
        </is>
      </c>
      <c r="G19" s="16" t="n">
        <v>46056</v>
      </c>
      <c r="H19" s="16">
        <f>G19+30</f>
        <v/>
      </c>
      <c r="I19" s="13" t="inlineStr">
        <is>
          <t>2026-003</t>
        </is>
      </c>
      <c r="J19" s="13" t="inlineStr">
        <is>
          <t>Fietsatelier Noor bv</t>
        </is>
      </c>
      <c r="K19" s="13" t="inlineStr">
        <is>
          <t>Velocity Deelfietsen bv</t>
        </is>
      </c>
      <c r="M19" s="13" t="n"/>
      <c r="N19" s="14">
        <f>SUMIFS('J1 Lijnen'!$J:$J,'J1 Lijnen'!$A:$A,$B19,'J1 Lijnen'!$K:$K,0.21,'J1 Lijnen'!$E:$E,"&lt;&gt;verpakking")</f>
        <v/>
      </c>
      <c r="O19" s="14">
        <f>SUMIFS('J1 Lijnen'!$L:$L,'J1 Lijnen'!$A:$A,$B19,'J1 Lijnen'!$K:$K,0.21)</f>
        <v/>
      </c>
      <c r="P19" s="14">
        <f>SUMIFS('J1 Lijnen'!$J:$J,'J1 Lijnen'!$A:$A,$B19,'J1 Lijnen'!$K:$K,0.06)</f>
        <v/>
      </c>
      <c r="Q19" s="14">
        <f>SUMIFS('J1 Lijnen'!$L:$L,'J1 Lijnen'!$A:$A,$B19,'J1 Lijnen'!$K:$K,0.06)</f>
        <v/>
      </c>
      <c r="R19" s="14">
        <f>SUMIFS('J1 Lijnen'!$J:$J,'J1 Lijnen'!$A:$A,$B19,'J1 Lijnen'!$E:$E,"verpakking")</f>
        <v/>
      </c>
      <c r="S19" s="14">
        <f>-SUMIFS('J1 Lijnen'!$J:$J,'J1 Lijnen'!$A:$A,$B19,'J1 Lijnen'!$E:$E,"financiële korting")</f>
        <v/>
      </c>
      <c r="T19" s="17">
        <f>SUM(N19:S19)</f>
        <v/>
      </c>
      <c r="X19" s="13" t="inlineStr">
        <is>
          <t>U2026-06</t>
        </is>
      </c>
      <c r="Y19" s="14">
        <f>SUMIFS('J1 Journaal'!$K:$K,'J1 Journaal'!$E:$E,$B19)-SUMIFS('J1 Journaal'!$L:$L,'J1 Journaal'!$E:$E,$B19)</f>
        <v/>
      </c>
      <c r="Z19" s="13" t="n"/>
    </row>
    <row r="20">
      <c r="A20" s="12" t="n">
        <v>10</v>
      </c>
      <c r="B20" s="13" t="inlineStr">
        <is>
          <t>V2</t>
        </is>
      </c>
      <c r="C20" s="5" t="inlineStr">
        <is>
          <t>VERPLICHT</t>
        </is>
      </c>
      <c r="D20" s="13" t="inlineStr">
        <is>
          <t>K1</t>
        </is>
      </c>
      <c r="E20" s="13" t="inlineStr">
        <is>
          <t>VK</t>
        </is>
      </c>
      <c r="F20" s="13" t="inlineStr">
        <is>
          <t>handelsgoederen</t>
        </is>
      </c>
      <c r="G20" s="16" t="n">
        <v>46063</v>
      </c>
      <c r="H20" s="16">
        <f>G20+30</f>
        <v/>
      </c>
      <c r="I20" s="13" t="inlineStr">
        <is>
          <t>2026-004</t>
        </is>
      </c>
      <c r="J20" s="13" t="inlineStr">
        <is>
          <t>Fietsatelier Noor bv</t>
        </is>
      </c>
      <c r="K20" s="13" t="inlineStr">
        <is>
          <t>Bouwbedrijf Janssens &amp; Zonen bv</t>
        </is>
      </c>
      <c r="M20" s="13" t="n"/>
      <c r="N20" s="14">
        <f>SUMIFS('J1 Lijnen'!$J:$J,'J1 Lijnen'!$A:$A,$B20,'J1 Lijnen'!$K:$K,0.21,'J1 Lijnen'!$E:$E,"&lt;&gt;verpakking")</f>
        <v/>
      </c>
      <c r="O20" s="14">
        <f>SUMIFS('J1 Lijnen'!$L:$L,'J1 Lijnen'!$A:$A,$B20,'J1 Lijnen'!$K:$K,0.21)</f>
        <v/>
      </c>
      <c r="P20" s="14">
        <f>SUMIFS('J1 Lijnen'!$J:$J,'J1 Lijnen'!$A:$A,$B20,'J1 Lijnen'!$K:$K,0.06)</f>
        <v/>
      </c>
      <c r="Q20" s="14">
        <f>SUMIFS('J1 Lijnen'!$L:$L,'J1 Lijnen'!$A:$A,$B20,'J1 Lijnen'!$K:$K,0.06)</f>
        <v/>
      </c>
      <c r="R20" s="14">
        <f>SUMIFS('J1 Lijnen'!$J:$J,'J1 Lijnen'!$A:$A,$B20,'J1 Lijnen'!$E:$E,"verpakking")</f>
        <v/>
      </c>
      <c r="S20" s="14">
        <f>-SUMIFS('J1 Lijnen'!$J:$J,'J1 Lijnen'!$A:$A,$B20,'J1 Lijnen'!$E:$E,"financiële korting")</f>
        <v/>
      </c>
      <c r="T20" s="17">
        <f>SUM(N20:S20)</f>
        <v/>
      </c>
      <c r="X20" s="13" t="inlineStr">
        <is>
          <t>U2026-05</t>
        </is>
      </c>
      <c r="Y20" s="14">
        <f>SUMIFS('J1 Journaal'!$K:$K,'J1 Journaal'!$E:$E,$B20)-SUMIFS('J1 Journaal'!$L:$L,'J1 Journaal'!$E:$E,$B20)</f>
        <v/>
      </c>
      <c r="Z20" s="13" t="n"/>
    </row>
    <row r="21">
      <c r="A21" s="12" t="n">
        <v>11</v>
      </c>
      <c r="B21" s="13" t="inlineStr">
        <is>
          <t>V3</t>
        </is>
      </c>
      <c r="C21" s="5" t="inlineStr">
        <is>
          <t>VERPLICHT</t>
        </is>
      </c>
      <c r="D21" s="13" t="inlineStr">
        <is>
          <t>K1</t>
        </is>
      </c>
      <c r="E21" s="13" t="inlineStr">
        <is>
          <t>VK</t>
        </is>
      </c>
      <c r="F21" s="13" t="inlineStr">
        <is>
          <t>handelsgoederen</t>
        </is>
      </c>
      <c r="G21" s="16" t="n">
        <v>46065</v>
      </c>
      <c r="H21" s="16">
        <f>G21+30</f>
        <v/>
      </c>
      <c r="I21" s="13" t="inlineStr">
        <is>
          <t>2026-005</t>
        </is>
      </c>
      <c r="J21" s="13" t="inlineStr">
        <is>
          <t>Fietsatelier Noor bv</t>
        </is>
      </c>
      <c r="K21" s="13" t="inlineStr">
        <is>
          <t>Architectenbureau Dubois srl</t>
        </is>
      </c>
      <c r="M21" s="13" t="n"/>
      <c r="N21" s="14">
        <f>SUMIFS('J1 Lijnen'!$J:$J,'J1 Lijnen'!$A:$A,$B21,'J1 Lijnen'!$K:$K,0.21,'J1 Lijnen'!$E:$E,"&lt;&gt;verpakking")</f>
        <v/>
      </c>
      <c r="O21" s="14">
        <f>SUMIFS('J1 Lijnen'!$L:$L,'J1 Lijnen'!$A:$A,$B21,'J1 Lijnen'!$K:$K,0.21)</f>
        <v/>
      </c>
      <c r="P21" s="14">
        <f>SUMIFS('J1 Lijnen'!$J:$J,'J1 Lijnen'!$A:$A,$B21,'J1 Lijnen'!$K:$K,0.06)</f>
        <v/>
      </c>
      <c r="Q21" s="14">
        <f>SUMIFS('J1 Lijnen'!$L:$L,'J1 Lijnen'!$A:$A,$B21,'J1 Lijnen'!$K:$K,0.06)</f>
        <v/>
      </c>
      <c r="R21" s="14">
        <f>SUMIFS('J1 Lijnen'!$J:$J,'J1 Lijnen'!$A:$A,$B21,'J1 Lijnen'!$E:$E,"verpakking")</f>
        <v/>
      </c>
      <c r="S21" s="14">
        <f>-SUMIFS('J1 Lijnen'!$J:$J,'J1 Lijnen'!$A:$A,$B21,'J1 Lijnen'!$E:$E,"financiële korting")</f>
        <v/>
      </c>
      <c r="T21" s="17">
        <f>SUM(N21:S21)</f>
        <v/>
      </c>
      <c r="X21" s="13" t="inlineStr">
        <is>
          <t>U2026-06</t>
        </is>
      </c>
      <c r="Y21" s="14">
        <f>SUMIFS('J1 Journaal'!$K:$K,'J1 Journaal'!$E:$E,$B21)-SUMIFS('J1 Journaal'!$L:$L,'J1 Journaal'!$E:$E,$B21)</f>
        <v/>
      </c>
      <c r="Z21" s="13" t="n"/>
    </row>
    <row r="22">
      <c r="A22" s="12" t="n">
        <v>12</v>
      </c>
      <c r="B22" s="13" t="inlineStr">
        <is>
          <t>V4</t>
        </is>
      </c>
      <c r="C22" s="5" t="inlineStr">
        <is>
          <t>VERPLICHT</t>
        </is>
      </c>
      <c r="D22" s="13" t="inlineStr">
        <is>
          <t>K1</t>
        </is>
      </c>
      <c r="E22" s="13" t="inlineStr">
        <is>
          <t>VK</t>
        </is>
      </c>
      <c r="F22" s="13" t="inlineStr">
        <is>
          <t>herstellingen</t>
        </is>
      </c>
      <c r="G22" s="16" t="n">
        <v>46070</v>
      </c>
      <c r="H22" s="16">
        <f>G22+30</f>
        <v/>
      </c>
      <c r="I22" s="13" t="inlineStr">
        <is>
          <t>2026-006</t>
        </is>
      </c>
      <c r="J22" s="13" t="inlineStr">
        <is>
          <t>Fietsatelier Noor bv</t>
        </is>
      </c>
      <c r="K22" s="13" t="inlineStr">
        <is>
          <t>Snelpost bv</t>
        </is>
      </c>
      <c r="M22" s="13" t="n"/>
      <c r="N22" s="14">
        <f>SUMIFS('J1 Lijnen'!$J:$J,'J1 Lijnen'!$A:$A,$B22,'J1 Lijnen'!$K:$K,0.21,'J1 Lijnen'!$E:$E,"&lt;&gt;verpakking")</f>
        <v/>
      </c>
      <c r="O22" s="14">
        <f>SUMIFS('J1 Lijnen'!$L:$L,'J1 Lijnen'!$A:$A,$B22,'J1 Lijnen'!$K:$K,0.21)</f>
        <v/>
      </c>
      <c r="P22" s="14">
        <f>SUMIFS('J1 Lijnen'!$J:$J,'J1 Lijnen'!$A:$A,$B22,'J1 Lijnen'!$K:$K,0.06)</f>
        <v/>
      </c>
      <c r="Q22" s="14">
        <f>SUMIFS('J1 Lijnen'!$L:$L,'J1 Lijnen'!$A:$A,$B22,'J1 Lijnen'!$K:$K,0.06)</f>
        <v/>
      </c>
      <c r="R22" s="14">
        <f>SUMIFS('J1 Lijnen'!$J:$J,'J1 Lijnen'!$A:$A,$B22,'J1 Lijnen'!$E:$E,"verpakking")</f>
        <v/>
      </c>
      <c r="S22" s="14">
        <f>-SUMIFS('J1 Lijnen'!$J:$J,'J1 Lijnen'!$A:$A,$B22,'J1 Lijnen'!$E:$E,"financiële korting")</f>
        <v/>
      </c>
      <c r="T22" s="17">
        <f>SUM(N22:S22)</f>
        <v/>
      </c>
      <c r="X22" s="13" t="inlineStr">
        <is>
          <t>U2026-07</t>
        </is>
      </c>
      <c r="Y22" s="14">
        <f>SUMIFS('J1 Journaal'!$K:$K,'J1 Journaal'!$E:$E,$B22)-SUMIFS('J1 Journaal'!$L:$L,'J1 Journaal'!$E:$E,$B22)</f>
        <v/>
      </c>
      <c r="Z22" s="13" t="n"/>
    </row>
    <row r="23">
      <c r="A23" s="12" t="n">
        <v>13</v>
      </c>
      <c r="B23" s="13" t="inlineStr">
        <is>
          <t>V5</t>
        </is>
      </c>
      <c r="C23" s="5" t="inlineStr">
        <is>
          <t>VERPLICHT</t>
        </is>
      </c>
      <c r="D23" s="13" t="inlineStr">
        <is>
          <t>K1</t>
        </is>
      </c>
      <c r="E23" s="13" t="inlineStr">
        <is>
          <t>VK</t>
        </is>
      </c>
      <c r="F23" s="13" t="inlineStr">
        <is>
          <t>handelsgoederen</t>
        </is>
      </c>
      <c r="G23" s="16" t="n">
        <v>46072</v>
      </c>
      <c r="H23" s="16">
        <f>G23+30</f>
        <v/>
      </c>
      <c r="I23" s="13" t="inlineStr">
        <is>
          <t>2026-007</t>
        </is>
      </c>
      <c r="J23" s="13" t="inlineStr">
        <is>
          <t>Fietsatelier Noor bv</t>
        </is>
      </c>
      <c r="K23" s="13" t="inlineStr">
        <is>
          <t>Koffiebar Da Silva</t>
        </is>
      </c>
      <c r="M23" s="13" t="n"/>
      <c r="N23" s="14">
        <f>SUMIFS('J1 Lijnen'!$J:$J,'J1 Lijnen'!$A:$A,$B23,'J1 Lijnen'!$K:$K,0.21,'J1 Lijnen'!$E:$E,"&lt;&gt;verpakking")</f>
        <v/>
      </c>
      <c r="O23" s="14">
        <f>SUMIFS('J1 Lijnen'!$L:$L,'J1 Lijnen'!$A:$A,$B23,'J1 Lijnen'!$K:$K,0.21)</f>
        <v/>
      </c>
      <c r="P23" s="14">
        <f>SUMIFS('J1 Lijnen'!$J:$J,'J1 Lijnen'!$A:$A,$B23,'J1 Lijnen'!$K:$K,0.06)</f>
        <v/>
      </c>
      <c r="Q23" s="14">
        <f>SUMIFS('J1 Lijnen'!$L:$L,'J1 Lijnen'!$A:$A,$B23,'J1 Lijnen'!$K:$K,0.06)</f>
        <v/>
      </c>
      <c r="R23" s="14">
        <f>SUMIFS('J1 Lijnen'!$J:$J,'J1 Lijnen'!$A:$A,$B23,'J1 Lijnen'!$E:$E,"verpakking")</f>
        <v/>
      </c>
      <c r="S23" s="14">
        <f>-SUMIFS('J1 Lijnen'!$J:$J,'J1 Lijnen'!$A:$A,$B23,'J1 Lijnen'!$E:$E,"financiële korting")</f>
        <v/>
      </c>
      <c r="T23" s="17">
        <f>SUM(N23:S23)</f>
        <v/>
      </c>
      <c r="X23" s="13" t="inlineStr">
        <is>
          <t>U2026-07</t>
        </is>
      </c>
      <c r="Y23" s="14">
        <f>SUMIFS('J1 Journaal'!$K:$K,'J1 Journaal'!$E:$E,$B23)-SUMIFS('J1 Journaal'!$L:$L,'J1 Journaal'!$E:$E,$B23)</f>
        <v/>
      </c>
      <c r="Z23" s="13" t="n"/>
    </row>
    <row r="24">
      <c r="A24" s="12" t="n">
        <v>14</v>
      </c>
      <c r="B24" s="13" t="inlineStr">
        <is>
          <t>CV1</t>
        </is>
      </c>
      <c r="C24" s="5" t="inlineStr">
        <is>
          <t>VERPLICHT</t>
        </is>
      </c>
      <c r="D24" s="13" t="inlineStr">
        <is>
          <t>K1</t>
        </is>
      </c>
      <c r="E24" s="13" t="inlineStr">
        <is>
          <t>CN-VK</t>
        </is>
      </c>
      <c r="F24" s="13" t="inlineStr">
        <is>
          <t>retour</t>
        </is>
      </c>
      <c r="G24" s="16" t="n">
        <v>46073</v>
      </c>
      <c r="I24" s="13" t="inlineStr">
        <is>
          <t>CN-2026-002</t>
        </is>
      </c>
      <c r="J24" s="13" t="inlineStr">
        <is>
          <t>Fietsatelier Noor bv</t>
        </is>
      </c>
      <c r="K24" s="13" t="inlineStr">
        <is>
          <t>Velocity Deelfietsen bv</t>
        </is>
      </c>
      <c r="L24" s="13" t="inlineStr">
        <is>
          <t>2026-003</t>
        </is>
      </c>
      <c r="M24" s="13" t="inlineStr">
        <is>
          <t>1 fiets met defecte versnelling teruggenomen</t>
        </is>
      </c>
      <c r="N24" s="14">
        <f>SUMIFS('J1 Lijnen'!$J:$J,'J1 Lijnen'!$A:$A,$B24,'J1 Lijnen'!$K:$K,0.21,'J1 Lijnen'!$E:$E,"&lt;&gt;verpakking")</f>
        <v/>
      </c>
      <c r="O24" s="14">
        <f>SUMIFS('J1 Lijnen'!$L:$L,'J1 Lijnen'!$A:$A,$B24,'J1 Lijnen'!$K:$K,0.21)</f>
        <v/>
      </c>
      <c r="P24" s="14">
        <f>SUMIFS('J1 Lijnen'!$J:$J,'J1 Lijnen'!$A:$A,$B24,'J1 Lijnen'!$K:$K,0.06)</f>
        <v/>
      </c>
      <c r="Q24" s="14">
        <f>SUMIFS('J1 Lijnen'!$L:$L,'J1 Lijnen'!$A:$A,$B24,'J1 Lijnen'!$K:$K,0.06)</f>
        <v/>
      </c>
      <c r="R24" s="14">
        <f>SUMIFS('J1 Lijnen'!$J:$J,'J1 Lijnen'!$A:$A,$B24,'J1 Lijnen'!$E:$E,"verpakking")</f>
        <v/>
      </c>
      <c r="S24" s="14">
        <f>-SUMIFS('J1 Lijnen'!$J:$J,'J1 Lijnen'!$A:$A,$B24,'J1 Lijnen'!$E:$E,"financiële korting")</f>
        <v/>
      </c>
      <c r="T24" s="17">
        <f>SUM(N24:S24)</f>
        <v/>
      </c>
      <c r="X24" s="13" t="inlineStr">
        <is>
          <t>U2026-06</t>
        </is>
      </c>
      <c r="Y24" s="14">
        <f>SUMIFS('J1 Journaal'!$K:$K,'J1 Journaal'!$E:$E,$B24)-SUMIFS('J1 Journaal'!$L:$L,'J1 Journaal'!$E:$E,$B24)</f>
        <v/>
      </c>
      <c r="Z24" s="13" t="n"/>
    </row>
    <row r="25">
      <c r="A25" s="12" t="n">
        <v>15</v>
      </c>
      <c r="B25" s="13" t="inlineStr">
        <is>
          <t>CV2</t>
        </is>
      </c>
      <c r="C25" s="5" t="inlineStr">
        <is>
          <t>VERPLICHT</t>
        </is>
      </c>
      <c r="D25" s="13" t="inlineStr">
        <is>
          <t>K1</t>
        </is>
      </c>
      <c r="E25" s="13" t="inlineStr">
        <is>
          <t>CN-VK</t>
        </is>
      </c>
      <c r="F25" s="13" t="inlineStr">
        <is>
          <t>retour</t>
        </is>
      </c>
      <c r="G25" s="16" t="n">
        <v>46076</v>
      </c>
      <c r="I25" s="13" t="inlineStr">
        <is>
          <t>CN-2026-003</t>
        </is>
      </c>
      <c r="J25" s="13" t="inlineStr">
        <is>
          <t>Fietsatelier Noor bv</t>
        </is>
      </c>
      <c r="K25" s="13" t="inlineStr">
        <is>
          <t>Koffiebar Da Silva</t>
        </is>
      </c>
      <c r="L25" s="13" t="inlineStr">
        <is>
          <t>2026-007</t>
        </is>
      </c>
      <c r="M25" s="13" t="inlineStr">
        <is>
          <t>2 helmen in de verkeerde maat teruggebracht</t>
        </is>
      </c>
      <c r="N25" s="14">
        <f>SUMIFS('J1 Lijnen'!$J:$J,'J1 Lijnen'!$A:$A,$B25,'J1 Lijnen'!$K:$K,0.21,'J1 Lijnen'!$E:$E,"&lt;&gt;verpakking")</f>
        <v/>
      </c>
      <c r="O25" s="14">
        <f>SUMIFS('J1 Lijnen'!$L:$L,'J1 Lijnen'!$A:$A,$B25,'J1 Lijnen'!$K:$K,0.21)</f>
        <v/>
      </c>
      <c r="P25" s="14">
        <f>SUMIFS('J1 Lijnen'!$J:$J,'J1 Lijnen'!$A:$A,$B25,'J1 Lijnen'!$K:$K,0.06)</f>
        <v/>
      </c>
      <c r="Q25" s="14">
        <f>SUMIFS('J1 Lijnen'!$L:$L,'J1 Lijnen'!$A:$A,$B25,'J1 Lijnen'!$K:$K,0.06)</f>
        <v/>
      </c>
      <c r="R25" s="14">
        <f>SUMIFS('J1 Lijnen'!$J:$J,'J1 Lijnen'!$A:$A,$B25,'J1 Lijnen'!$E:$E,"verpakking")</f>
        <v/>
      </c>
      <c r="S25" s="14">
        <f>-SUMIFS('J1 Lijnen'!$J:$J,'J1 Lijnen'!$A:$A,$B25,'J1 Lijnen'!$E:$E,"financiële korting")</f>
        <v/>
      </c>
      <c r="T25" s="17">
        <f>SUM(N25:S25)</f>
        <v/>
      </c>
      <c r="X25" s="13" t="inlineStr">
        <is>
          <t>U2026-07</t>
        </is>
      </c>
      <c r="Y25" s="14">
        <f>SUMIFS('J1 Journaal'!$K:$K,'J1 Journaal'!$E:$E,$B25)-SUMIFS('J1 Journaal'!$L:$L,'J1 Journaal'!$E:$E,$B25)</f>
        <v/>
      </c>
      <c r="Z25" s="13" t="n"/>
    </row>
    <row r="26">
      <c r="A26" s="12" t="n">
        <v>16</v>
      </c>
      <c r="B26" s="13" t="inlineStr">
        <is>
          <t>CV3</t>
        </is>
      </c>
      <c r="C26" s="5" t="inlineStr">
        <is>
          <t>VERPLICHT</t>
        </is>
      </c>
      <c r="D26" s="13" t="inlineStr">
        <is>
          <t>K1</t>
        </is>
      </c>
      <c r="E26" s="13" t="inlineStr">
        <is>
          <t>CN-VK</t>
        </is>
      </c>
      <c r="F26" s="13" t="inlineStr">
        <is>
          <t>retour</t>
        </is>
      </c>
      <c r="G26" s="16" t="n">
        <v>46083</v>
      </c>
      <c r="I26" s="13" t="inlineStr">
        <is>
          <t>CN-2026-004</t>
        </is>
      </c>
      <c r="J26" s="13" t="inlineStr">
        <is>
          <t>Fietsatelier Noor bv</t>
        </is>
      </c>
      <c r="K26" s="13" t="inlineStr">
        <is>
          <t>Architectenbureau Dubois srl</t>
        </is>
      </c>
      <c r="L26" s="13" t="inlineStr">
        <is>
          <t>2026-005</t>
        </is>
      </c>
      <c r="M26" s="13" t="inlineStr">
        <is>
          <t>1 e-bike met defecte batterij teruggenomen (factuur was al betaald)</t>
        </is>
      </c>
      <c r="N26" s="14">
        <f>SUMIFS('J1 Lijnen'!$J:$J,'J1 Lijnen'!$A:$A,$B26,'J1 Lijnen'!$K:$K,0.21,'J1 Lijnen'!$E:$E,"&lt;&gt;verpakking")</f>
        <v/>
      </c>
      <c r="O26" s="14">
        <f>SUMIFS('J1 Lijnen'!$L:$L,'J1 Lijnen'!$A:$A,$B26,'J1 Lijnen'!$K:$K,0.21)</f>
        <v/>
      </c>
      <c r="P26" s="14">
        <f>SUMIFS('J1 Lijnen'!$J:$J,'J1 Lijnen'!$A:$A,$B26,'J1 Lijnen'!$K:$K,0.06)</f>
        <v/>
      </c>
      <c r="Q26" s="14">
        <f>SUMIFS('J1 Lijnen'!$L:$L,'J1 Lijnen'!$A:$A,$B26,'J1 Lijnen'!$K:$K,0.06)</f>
        <v/>
      </c>
      <c r="R26" s="14">
        <f>SUMIFS('J1 Lijnen'!$J:$J,'J1 Lijnen'!$A:$A,$B26,'J1 Lijnen'!$E:$E,"verpakking")</f>
        <v/>
      </c>
      <c r="S26" s="14">
        <f>-SUMIFS('J1 Lijnen'!$J:$J,'J1 Lijnen'!$A:$A,$B26,'J1 Lijnen'!$E:$E,"financiële korting")</f>
        <v/>
      </c>
      <c r="T26" s="17">
        <f>SUM(N26:S26)</f>
        <v/>
      </c>
      <c r="X26" s="13" t="inlineStr">
        <is>
          <t>U2026-07</t>
        </is>
      </c>
      <c r="Y26" s="14">
        <f>SUMIFS('J1 Journaal'!$K:$K,'J1 Journaal'!$E:$E,$B26)-SUMIFS('J1 Journaal'!$L:$L,'J1 Journaal'!$E:$E,$B26)</f>
        <v/>
      </c>
      <c r="Z26" s="13" t="n"/>
    </row>
    <row r="27">
      <c r="A27" s="12" t="n">
        <v>17</v>
      </c>
      <c r="B27" s="13" t="inlineStr">
        <is>
          <t>D1</t>
        </is>
      </c>
      <c r="C27" s="5" t="inlineStr">
        <is>
          <t>VERPLICHT</t>
        </is>
      </c>
      <c r="D27" s="13" t="inlineStr">
        <is>
          <t>K1</t>
        </is>
      </c>
      <c r="E27" s="13" t="inlineStr">
        <is>
          <t>DO</t>
        </is>
      </c>
      <c r="F27" s="13" t="inlineStr">
        <is>
          <t>dagontvangst</t>
        </is>
      </c>
      <c r="G27" s="16" t="n">
        <v>46060</v>
      </c>
      <c r="I27" s="13" t="inlineStr">
        <is>
          <t>DO-2026-02</t>
        </is>
      </c>
      <c r="J27" s="13" t="inlineStr">
        <is>
          <t>Fietsatelier Noor bv</t>
        </is>
      </c>
      <c r="K27" s="13" t="inlineStr">
        <is>
          <t>particulieren (kasticket)</t>
        </is>
      </c>
      <c r="M27" s="13" t="inlineStr">
        <is>
          <t>Dagontvangsten winkel (verkopen aan particulieren)</t>
        </is>
      </c>
      <c r="N27" s="14">
        <f>SUMIFS('J1 Lijnen'!$J:$J,'J1 Lijnen'!$A:$A,$B27,'J1 Lijnen'!$K:$K,0.21,'J1 Lijnen'!$E:$E,"&lt;&gt;verpakking")</f>
        <v/>
      </c>
      <c r="O27" s="14">
        <f>SUMIFS('J1 Lijnen'!$L:$L,'J1 Lijnen'!$A:$A,$B27,'J1 Lijnen'!$K:$K,0.21)</f>
        <v/>
      </c>
      <c r="P27" s="14">
        <f>SUMIFS('J1 Lijnen'!$J:$J,'J1 Lijnen'!$A:$A,$B27,'J1 Lijnen'!$K:$K,0.06)</f>
        <v/>
      </c>
      <c r="Q27" s="14">
        <f>SUMIFS('J1 Lijnen'!$L:$L,'J1 Lijnen'!$A:$A,$B27,'J1 Lijnen'!$K:$K,0.06)</f>
        <v/>
      </c>
      <c r="R27" s="14">
        <f>SUMIFS('J1 Lijnen'!$J:$J,'J1 Lijnen'!$A:$A,$B27,'J1 Lijnen'!$E:$E,"verpakking")</f>
        <v/>
      </c>
      <c r="S27" s="14">
        <f>-SUMIFS('J1 Lijnen'!$J:$J,'J1 Lijnen'!$A:$A,$B27,'J1 Lijnen'!$E:$E,"financiële korting")</f>
        <v/>
      </c>
      <c r="T27" s="17">
        <f>SUM(N27:S27)</f>
        <v/>
      </c>
      <c r="V27" s="14">
        <f>T27-W27</f>
        <v/>
      </c>
      <c r="W27" s="14" t="n">
        <v>1500</v>
      </c>
      <c r="X27" s="13" t="inlineStr">
        <is>
          <t>D1K, U2026-04</t>
        </is>
      </c>
      <c r="Y27" s="14">
        <f>SUMIFS('J1 Journaal'!$K:$K,'J1 Journaal'!$E:$E,$B27)-SUMIFS('J1 Journaal'!$L:$L,'J1 Journaal'!$E:$E,$B27)</f>
        <v/>
      </c>
      <c r="Z27" s="13" t="n"/>
    </row>
    <row r="28">
      <c r="A28" s="12" t="n">
        <v>18</v>
      </c>
      <c r="B28" s="13" t="inlineStr">
        <is>
          <t>D1K</t>
        </is>
      </c>
      <c r="C28" s="5" t="inlineStr">
        <is>
          <t>VERPLICHT</t>
        </is>
      </c>
      <c r="D28" s="13" t="inlineStr">
        <is>
          <t>K1</t>
        </is>
      </c>
      <c r="E28" s="13" t="inlineStr">
        <is>
          <t>KAS</t>
        </is>
      </c>
      <c r="F28" s="13" t="inlineStr">
        <is>
          <t>ontvangst</t>
        </is>
      </c>
      <c r="G28" s="16" t="n">
        <v>46060</v>
      </c>
      <c r="I28" s="13" t="inlineStr">
        <is>
          <t>Kasboek DO-2026-02</t>
        </is>
      </c>
      <c r="J28" s="13" t="inlineStr">
        <is>
          <t>Fietsatelier Noor bv</t>
        </is>
      </c>
      <c r="K28" s="13" t="inlineStr">
        <is>
          <t>Fietsatelier Noor bv</t>
        </is>
      </c>
      <c r="L28" s="13" t="inlineStr">
        <is>
          <t>DO-2026-02</t>
        </is>
      </c>
      <c r="M28" s="13" t="inlineStr">
        <is>
          <t>Contant deel van dagontvangst DO-2026-02 (laat de vordering op de klanten dalen)</t>
        </is>
      </c>
      <c r="T28" s="17" t="n">
        <v>633</v>
      </c>
      <c r="V28" s="14" t="n">
        <v>633</v>
      </c>
      <c r="Y28" s="14">
        <f>SUMIFS('J1 Journaal'!$K:$K,'J1 Journaal'!$E:$E,$B28)-SUMIFS('J1 Journaal'!$L:$L,'J1 Journaal'!$E:$E,$B28)</f>
        <v/>
      </c>
    </row>
    <row r="29">
      <c r="A29" s="12" t="n">
        <v>19</v>
      </c>
      <c r="B29" s="13" t="inlineStr">
        <is>
          <t>D2</t>
        </is>
      </c>
      <c r="C29" s="5" t="inlineStr">
        <is>
          <t>VERPLICHT</t>
        </is>
      </c>
      <c r="D29" s="13" t="inlineStr">
        <is>
          <t>K1</t>
        </is>
      </c>
      <c r="E29" s="13" t="inlineStr">
        <is>
          <t>DO</t>
        </is>
      </c>
      <c r="F29" s="13" t="inlineStr">
        <is>
          <t>dagontvangst</t>
        </is>
      </c>
      <c r="G29" s="16" t="n">
        <v>46067</v>
      </c>
      <c r="I29" s="13" t="inlineStr">
        <is>
          <t>DO-2026-03</t>
        </is>
      </c>
      <c r="J29" s="13" t="inlineStr">
        <is>
          <t>Fietsatelier Noor bv</t>
        </is>
      </c>
      <c r="K29" s="13" t="inlineStr">
        <is>
          <t>particulieren (kasticket)</t>
        </is>
      </c>
      <c r="M29" s="13" t="inlineStr">
        <is>
          <t>Dagontvangsten winkel (verkopen aan particulieren)</t>
        </is>
      </c>
      <c r="N29" s="14">
        <f>SUMIFS('J1 Lijnen'!$J:$J,'J1 Lijnen'!$A:$A,$B29,'J1 Lijnen'!$K:$K,0.21,'J1 Lijnen'!$E:$E,"&lt;&gt;verpakking")</f>
        <v/>
      </c>
      <c r="O29" s="14">
        <f>SUMIFS('J1 Lijnen'!$L:$L,'J1 Lijnen'!$A:$A,$B29,'J1 Lijnen'!$K:$K,0.21)</f>
        <v/>
      </c>
      <c r="P29" s="14">
        <f>SUMIFS('J1 Lijnen'!$J:$J,'J1 Lijnen'!$A:$A,$B29,'J1 Lijnen'!$K:$K,0.06)</f>
        <v/>
      </c>
      <c r="Q29" s="14">
        <f>SUMIFS('J1 Lijnen'!$L:$L,'J1 Lijnen'!$A:$A,$B29,'J1 Lijnen'!$K:$K,0.06)</f>
        <v/>
      </c>
      <c r="R29" s="14">
        <f>SUMIFS('J1 Lijnen'!$J:$J,'J1 Lijnen'!$A:$A,$B29,'J1 Lijnen'!$E:$E,"verpakking")</f>
        <v/>
      </c>
      <c r="S29" s="14">
        <f>-SUMIFS('J1 Lijnen'!$J:$J,'J1 Lijnen'!$A:$A,$B29,'J1 Lijnen'!$E:$E,"financiële korting")</f>
        <v/>
      </c>
      <c r="T29" s="17">
        <f>SUM(N29:S29)</f>
        <v/>
      </c>
      <c r="V29" s="14">
        <f>T29-W29</f>
        <v/>
      </c>
      <c r="W29" s="14" t="n">
        <v>2500</v>
      </c>
      <c r="X29" s="13" t="inlineStr">
        <is>
          <t>D2K, U2026-05</t>
        </is>
      </c>
      <c r="Y29" s="14">
        <f>SUMIFS('J1 Journaal'!$K:$K,'J1 Journaal'!$E:$E,$B29)-SUMIFS('J1 Journaal'!$L:$L,'J1 Journaal'!$E:$E,$B29)</f>
        <v/>
      </c>
      <c r="Z29" s="13" t="n"/>
    </row>
    <row r="30">
      <c r="A30" s="12" t="n">
        <v>20</v>
      </c>
      <c r="B30" s="13" t="inlineStr">
        <is>
          <t>D2K</t>
        </is>
      </c>
      <c r="C30" s="5" t="inlineStr">
        <is>
          <t>VERPLICHT</t>
        </is>
      </c>
      <c r="D30" s="13" t="inlineStr">
        <is>
          <t>K1</t>
        </is>
      </c>
      <c r="E30" s="13" t="inlineStr">
        <is>
          <t>KAS</t>
        </is>
      </c>
      <c r="F30" s="13" t="inlineStr">
        <is>
          <t>ontvangst</t>
        </is>
      </c>
      <c r="G30" s="16" t="n">
        <v>46067</v>
      </c>
      <c r="I30" s="13" t="inlineStr">
        <is>
          <t>Kasboek DO-2026-03</t>
        </is>
      </c>
      <c r="J30" s="13" t="inlineStr">
        <is>
          <t>Fietsatelier Noor bv</t>
        </is>
      </c>
      <c r="K30" s="13" t="inlineStr">
        <is>
          <t>Fietsatelier Noor bv</t>
        </is>
      </c>
      <c r="L30" s="13" t="inlineStr">
        <is>
          <t>DO-2026-03</t>
        </is>
      </c>
      <c r="M30" s="13" t="inlineStr">
        <is>
          <t>Contant deel van dagontvangst DO-2026-03 (laat de vordering op de klanten dalen)</t>
        </is>
      </c>
      <c r="T30" s="17" t="n">
        <v>344</v>
      </c>
      <c r="V30" s="14" t="n">
        <v>344</v>
      </c>
      <c r="Y30" s="14">
        <f>SUMIFS('J1 Journaal'!$K:$K,'J1 Journaal'!$E:$E,$B30)-SUMIFS('J1 Journaal'!$L:$L,'J1 Journaal'!$E:$E,$B30)</f>
        <v/>
      </c>
    </row>
    <row r="31">
      <c r="A31" s="12" t="n">
        <v>21</v>
      </c>
      <c r="B31" s="13" t="inlineStr">
        <is>
          <t>D3</t>
        </is>
      </c>
      <c r="C31" s="5" t="inlineStr">
        <is>
          <t>VERPLICHT</t>
        </is>
      </c>
      <c r="D31" s="13" t="inlineStr">
        <is>
          <t>K1</t>
        </is>
      </c>
      <c r="E31" s="13" t="inlineStr">
        <is>
          <t>DO</t>
        </is>
      </c>
      <c r="F31" s="13" t="inlineStr">
        <is>
          <t>dagontvangst</t>
        </is>
      </c>
      <c r="G31" s="16" t="n">
        <v>46074</v>
      </c>
      <c r="I31" s="13" t="inlineStr">
        <is>
          <t>DO-2026-04</t>
        </is>
      </c>
      <c r="J31" s="13" t="inlineStr">
        <is>
          <t>Fietsatelier Noor bv</t>
        </is>
      </c>
      <c r="K31" s="13" t="inlineStr">
        <is>
          <t>particulieren (kasticket)</t>
        </is>
      </c>
      <c r="M31" s="13" t="inlineStr">
        <is>
          <t>Dagontvangsten winkel (verkopen aan particulieren)</t>
        </is>
      </c>
      <c r="N31" s="14">
        <f>SUMIFS('J1 Lijnen'!$J:$J,'J1 Lijnen'!$A:$A,$B31,'J1 Lijnen'!$K:$K,0.21,'J1 Lijnen'!$E:$E,"&lt;&gt;verpakking")</f>
        <v/>
      </c>
      <c r="O31" s="14">
        <f>SUMIFS('J1 Lijnen'!$L:$L,'J1 Lijnen'!$A:$A,$B31,'J1 Lijnen'!$K:$K,0.21)</f>
        <v/>
      </c>
      <c r="P31" s="14">
        <f>SUMIFS('J1 Lijnen'!$J:$J,'J1 Lijnen'!$A:$A,$B31,'J1 Lijnen'!$K:$K,0.06)</f>
        <v/>
      </c>
      <c r="Q31" s="14">
        <f>SUMIFS('J1 Lijnen'!$L:$L,'J1 Lijnen'!$A:$A,$B31,'J1 Lijnen'!$K:$K,0.06)</f>
        <v/>
      </c>
      <c r="R31" s="14">
        <f>SUMIFS('J1 Lijnen'!$J:$J,'J1 Lijnen'!$A:$A,$B31,'J1 Lijnen'!$E:$E,"verpakking")</f>
        <v/>
      </c>
      <c r="S31" s="14">
        <f>-SUMIFS('J1 Lijnen'!$J:$J,'J1 Lijnen'!$A:$A,$B31,'J1 Lijnen'!$E:$E,"financiële korting")</f>
        <v/>
      </c>
      <c r="T31" s="17">
        <f>SUM(N31:S31)</f>
        <v/>
      </c>
      <c r="V31" s="14">
        <f>T31-W31</f>
        <v/>
      </c>
      <c r="W31" s="14" t="n">
        <v>1000</v>
      </c>
      <c r="X31" s="13" t="inlineStr">
        <is>
          <t>D3K, U2026-06</t>
        </is>
      </c>
      <c r="Y31" s="14">
        <f>SUMIFS('J1 Journaal'!$K:$K,'J1 Journaal'!$E:$E,$B31)-SUMIFS('J1 Journaal'!$L:$L,'J1 Journaal'!$E:$E,$B31)</f>
        <v/>
      </c>
      <c r="Z31" s="13" t="n"/>
    </row>
    <row r="32">
      <c r="A32" s="12" t="n">
        <v>22</v>
      </c>
      <c r="B32" s="13" t="inlineStr">
        <is>
          <t>D3K</t>
        </is>
      </c>
      <c r="C32" s="5" t="inlineStr">
        <is>
          <t>VERPLICHT</t>
        </is>
      </c>
      <c r="D32" s="13" t="inlineStr">
        <is>
          <t>K1</t>
        </is>
      </c>
      <c r="E32" s="13" t="inlineStr">
        <is>
          <t>KAS</t>
        </is>
      </c>
      <c r="F32" s="13" t="inlineStr">
        <is>
          <t>ontvangst</t>
        </is>
      </c>
      <c r="G32" s="16" t="n">
        <v>46074</v>
      </c>
      <c r="I32" s="13" t="inlineStr">
        <is>
          <t>Kasboek DO-2026-04</t>
        </is>
      </c>
      <c r="J32" s="13" t="inlineStr">
        <is>
          <t>Fietsatelier Noor bv</t>
        </is>
      </c>
      <c r="K32" s="13" t="inlineStr">
        <is>
          <t>Fietsatelier Noor bv</t>
        </is>
      </c>
      <c r="L32" s="13" t="inlineStr">
        <is>
          <t>DO-2026-04</t>
        </is>
      </c>
      <c r="M32" s="13" t="inlineStr">
        <is>
          <t>Contant deel van dagontvangst DO-2026-04 (laat de vordering op de klanten dalen)</t>
        </is>
      </c>
      <c r="T32" s="17" t="n">
        <v>354</v>
      </c>
      <c r="V32" s="14" t="n">
        <v>354</v>
      </c>
      <c r="Y32" s="14">
        <f>SUMIFS('J1 Journaal'!$K:$K,'J1 Journaal'!$E:$E,$B32)-SUMIFS('J1 Journaal'!$L:$L,'J1 Journaal'!$E:$E,$B32)</f>
        <v/>
      </c>
    </row>
    <row r="33">
      <c r="A33" s="12" t="n">
        <v>1</v>
      </c>
      <c r="B33" s="13" t="inlineStr">
        <is>
          <t>Q2A1</t>
        </is>
      </c>
      <c r="C33" s="6" t="inlineStr">
        <is>
          <t>OEFEN</t>
        </is>
      </c>
      <c r="D33" s="13" t="inlineStr">
        <is>
          <t>K2</t>
        </is>
      </c>
      <c r="E33" s="13" t="inlineStr">
        <is>
          <t>AK</t>
        </is>
      </c>
      <c r="F33" s="13" t="inlineStr">
        <is>
          <t>handelsgoederen</t>
        </is>
      </c>
      <c r="G33" s="16" t="n">
        <v>46114</v>
      </c>
      <c r="H33" s="16">
        <f>G33+30</f>
        <v/>
      </c>
      <c r="I33" s="13" t="inlineStr">
        <is>
          <t>2026-411</t>
        </is>
      </c>
      <c r="J33" s="13" t="inlineStr">
        <is>
          <t>Velomax bv</t>
        </is>
      </c>
      <c r="K33" s="13" t="inlineStr">
        <is>
          <t>Fietsatelier Noor bv</t>
        </is>
      </c>
      <c r="M33" s="13" t="n"/>
      <c r="N33" s="14">
        <f>SUMIFS('J1 Lijnen'!$J:$J,'J1 Lijnen'!$A:$A,$B33,'J1 Lijnen'!$K:$K,0.21,'J1 Lijnen'!$E:$E,"&lt;&gt;verpakking")</f>
        <v/>
      </c>
      <c r="O33" s="14">
        <f>SUMIFS('J1 Lijnen'!$L:$L,'J1 Lijnen'!$A:$A,$B33,'J1 Lijnen'!$K:$K,0.21)</f>
        <v/>
      </c>
      <c r="P33" s="14">
        <f>SUMIFS('J1 Lijnen'!$J:$J,'J1 Lijnen'!$A:$A,$B33,'J1 Lijnen'!$K:$K,0.06)</f>
        <v/>
      </c>
      <c r="Q33" s="14">
        <f>SUMIFS('J1 Lijnen'!$L:$L,'J1 Lijnen'!$A:$A,$B33,'J1 Lijnen'!$K:$K,0.06)</f>
        <v/>
      </c>
      <c r="R33" s="14">
        <f>SUMIFS('J1 Lijnen'!$J:$J,'J1 Lijnen'!$A:$A,$B33,'J1 Lijnen'!$E:$E,"verpakking")</f>
        <v/>
      </c>
      <c r="S33" s="14">
        <f>-SUMIFS('J1 Lijnen'!$J:$J,'J1 Lijnen'!$A:$A,$B33,'J1 Lijnen'!$E:$E,"financiële korting")</f>
        <v/>
      </c>
      <c r="T33" s="17">
        <f>SUM(N33:S33)</f>
        <v/>
      </c>
      <c r="X33" s="13" t="inlineStr">
        <is>
          <t>U2026-08</t>
        </is>
      </c>
      <c r="Y33" s="14">
        <f>SUMIFS('J1 Journaal'!$K:$K,'J1 Journaal'!$E:$E,$B33)-SUMIFS('J1 Journaal'!$L:$L,'J1 Journaal'!$E:$E,$B33)</f>
        <v/>
      </c>
      <c r="Z33" s="13" t="n"/>
    </row>
    <row r="34">
      <c r="A34" s="12" t="n">
        <v>2</v>
      </c>
      <c r="B34" s="13" t="inlineStr">
        <is>
          <t>Q2A2</t>
        </is>
      </c>
      <c r="C34" s="6" t="inlineStr">
        <is>
          <t>OEFEN</t>
        </is>
      </c>
      <c r="D34" s="13" t="inlineStr">
        <is>
          <t>K2</t>
        </is>
      </c>
      <c r="E34" s="13" t="inlineStr">
        <is>
          <t>AK</t>
        </is>
      </c>
      <c r="F34" s="13" t="inlineStr">
        <is>
          <t>diensten</t>
        </is>
      </c>
      <c r="G34" s="16" t="n">
        <v>46120</v>
      </c>
      <c r="H34" s="16">
        <f>G34+30</f>
        <v/>
      </c>
      <c r="I34" s="13" t="inlineStr">
        <is>
          <t>SK-26-1290</t>
        </is>
      </c>
      <c r="J34" s="13" t="inlineStr">
        <is>
          <t>Stroomkracht nv</t>
        </is>
      </c>
      <c r="K34" s="13" t="inlineStr">
        <is>
          <t>Fietsatelier Noor bv</t>
        </is>
      </c>
      <c r="M34" s="13" t="n"/>
      <c r="N34" s="14">
        <f>SUMIFS('J1 Lijnen'!$J:$J,'J1 Lijnen'!$A:$A,$B34,'J1 Lijnen'!$K:$K,0.21,'J1 Lijnen'!$E:$E,"&lt;&gt;verpakking")</f>
        <v/>
      </c>
      <c r="O34" s="14">
        <f>SUMIFS('J1 Lijnen'!$L:$L,'J1 Lijnen'!$A:$A,$B34,'J1 Lijnen'!$K:$K,0.21)</f>
        <v/>
      </c>
      <c r="P34" s="14">
        <f>SUMIFS('J1 Lijnen'!$J:$J,'J1 Lijnen'!$A:$A,$B34,'J1 Lijnen'!$K:$K,0.06)</f>
        <v/>
      </c>
      <c r="Q34" s="14">
        <f>SUMIFS('J1 Lijnen'!$L:$L,'J1 Lijnen'!$A:$A,$B34,'J1 Lijnen'!$K:$K,0.06)</f>
        <v/>
      </c>
      <c r="R34" s="14">
        <f>SUMIFS('J1 Lijnen'!$J:$J,'J1 Lijnen'!$A:$A,$B34,'J1 Lijnen'!$E:$E,"verpakking")</f>
        <v/>
      </c>
      <c r="S34" s="14">
        <f>-SUMIFS('J1 Lijnen'!$J:$J,'J1 Lijnen'!$A:$A,$B34,'J1 Lijnen'!$E:$E,"financiële korting")</f>
        <v/>
      </c>
      <c r="T34" s="17">
        <f>SUM(N34:S34)</f>
        <v/>
      </c>
      <c r="X34" s="13" t="inlineStr">
        <is>
          <t>U2026-08</t>
        </is>
      </c>
      <c r="Y34" s="14">
        <f>SUMIFS('J1 Journaal'!$K:$K,'J1 Journaal'!$E:$E,$B34)-SUMIFS('J1 Journaal'!$L:$L,'J1 Journaal'!$E:$E,$B34)</f>
        <v/>
      </c>
      <c r="Z34" s="13" t="n"/>
    </row>
    <row r="35">
      <c r="A35" s="12" t="n">
        <v>3</v>
      </c>
      <c r="B35" s="13" t="inlineStr">
        <is>
          <t>Q2V1</t>
        </is>
      </c>
      <c r="C35" s="6" t="inlineStr">
        <is>
          <t>OEFEN</t>
        </is>
      </c>
      <c r="D35" s="13" t="inlineStr">
        <is>
          <t>K2</t>
        </is>
      </c>
      <c r="E35" s="13" t="inlineStr">
        <is>
          <t>VK</t>
        </is>
      </c>
      <c r="F35" s="13" t="inlineStr">
        <is>
          <t>handelsgoederen</t>
        </is>
      </c>
      <c r="G35" s="16" t="n">
        <v>46122</v>
      </c>
      <c r="H35" s="16">
        <f>G35+30</f>
        <v/>
      </c>
      <c r="I35" s="13" t="inlineStr">
        <is>
          <t>2026-008</t>
        </is>
      </c>
      <c r="J35" s="13" t="inlineStr">
        <is>
          <t>Fietsatelier Noor bv</t>
        </is>
      </c>
      <c r="K35" s="13" t="inlineStr">
        <is>
          <t>Camping De Vlinder bv</t>
        </is>
      </c>
      <c r="M35" s="13" t="n"/>
      <c r="N35" s="14">
        <f>SUMIFS('J1 Lijnen'!$J:$J,'J1 Lijnen'!$A:$A,$B35,'J1 Lijnen'!$K:$K,0.21,'J1 Lijnen'!$E:$E,"&lt;&gt;verpakking")</f>
        <v/>
      </c>
      <c r="O35" s="14">
        <f>SUMIFS('J1 Lijnen'!$L:$L,'J1 Lijnen'!$A:$A,$B35,'J1 Lijnen'!$K:$K,0.21)</f>
        <v/>
      </c>
      <c r="P35" s="14">
        <f>SUMIFS('J1 Lijnen'!$J:$J,'J1 Lijnen'!$A:$A,$B35,'J1 Lijnen'!$K:$K,0.06)</f>
        <v/>
      </c>
      <c r="Q35" s="14">
        <f>SUMIFS('J1 Lijnen'!$L:$L,'J1 Lijnen'!$A:$A,$B35,'J1 Lijnen'!$K:$K,0.06)</f>
        <v/>
      </c>
      <c r="R35" s="14">
        <f>SUMIFS('J1 Lijnen'!$J:$J,'J1 Lijnen'!$A:$A,$B35,'J1 Lijnen'!$E:$E,"verpakking")</f>
        <v/>
      </c>
      <c r="S35" s="14">
        <f>-SUMIFS('J1 Lijnen'!$J:$J,'J1 Lijnen'!$A:$A,$B35,'J1 Lijnen'!$E:$E,"financiële korting")</f>
        <v/>
      </c>
      <c r="T35" s="17">
        <f>SUM(N35:S35)</f>
        <v/>
      </c>
      <c r="X35" s="13" t="inlineStr">
        <is>
          <t>U2026-08</t>
        </is>
      </c>
      <c r="Y35" s="14">
        <f>SUMIFS('J1 Journaal'!$K:$K,'J1 Journaal'!$E:$E,$B35)-SUMIFS('J1 Journaal'!$L:$L,'J1 Journaal'!$E:$E,$B35)</f>
        <v/>
      </c>
      <c r="Z35" s="13" t="n"/>
    </row>
    <row r="36">
      <c r="A36" s="12" t="n">
        <v>4</v>
      </c>
      <c r="B36" s="13" t="inlineStr">
        <is>
          <t>Q2CA1</t>
        </is>
      </c>
      <c r="C36" s="6" t="inlineStr">
        <is>
          <t>OEFEN</t>
        </is>
      </c>
      <c r="D36" s="13" t="inlineStr">
        <is>
          <t>K2</t>
        </is>
      </c>
      <c r="E36" s="13" t="inlineStr">
        <is>
          <t>CN-AK</t>
        </is>
      </c>
      <c r="F36" s="13" t="inlineStr">
        <is>
          <t>retour</t>
        </is>
      </c>
      <c r="G36" s="16" t="n">
        <v>46124</v>
      </c>
      <c r="I36" s="13" t="inlineStr">
        <is>
          <t>CN-2026-029</t>
        </is>
      </c>
      <c r="J36" s="13" t="inlineStr">
        <is>
          <t>Velomax bv</t>
        </is>
      </c>
      <c r="K36" s="13" t="inlineStr">
        <is>
          <t>Fietsatelier Noor bv</t>
        </is>
      </c>
      <c r="L36" s="13" t="inlineStr">
        <is>
          <t>2026-411</t>
        </is>
      </c>
      <c r="M36" s="13" t="inlineStr">
        <is>
          <t>2 kinderfietsen in de verkeerde kleur, teruggestuurd</t>
        </is>
      </c>
      <c r="N36" s="14">
        <f>SUMIFS('J1 Lijnen'!$J:$J,'J1 Lijnen'!$A:$A,$B36,'J1 Lijnen'!$K:$K,0.21,'J1 Lijnen'!$E:$E,"&lt;&gt;verpakking")</f>
        <v/>
      </c>
      <c r="O36" s="14">
        <f>SUMIFS('J1 Lijnen'!$L:$L,'J1 Lijnen'!$A:$A,$B36,'J1 Lijnen'!$K:$K,0.21)</f>
        <v/>
      </c>
      <c r="P36" s="14">
        <f>SUMIFS('J1 Lijnen'!$J:$J,'J1 Lijnen'!$A:$A,$B36,'J1 Lijnen'!$K:$K,0.06)</f>
        <v/>
      </c>
      <c r="Q36" s="14">
        <f>SUMIFS('J1 Lijnen'!$L:$L,'J1 Lijnen'!$A:$A,$B36,'J1 Lijnen'!$K:$K,0.06)</f>
        <v/>
      </c>
      <c r="R36" s="14">
        <f>SUMIFS('J1 Lijnen'!$J:$J,'J1 Lijnen'!$A:$A,$B36,'J1 Lijnen'!$E:$E,"verpakking")</f>
        <v/>
      </c>
      <c r="S36" s="14">
        <f>-SUMIFS('J1 Lijnen'!$J:$J,'J1 Lijnen'!$A:$A,$B36,'J1 Lijnen'!$E:$E,"financiële korting")</f>
        <v/>
      </c>
      <c r="T36" s="17">
        <f>SUM(N36:S36)</f>
        <v/>
      </c>
      <c r="X36" s="13" t="inlineStr">
        <is>
          <t>U2026-08</t>
        </is>
      </c>
      <c r="Y36" s="14">
        <f>SUMIFS('J1 Journaal'!$K:$K,'J1 Journaal'!$E:$E,$B36)-SUMIFS('J1 Journaal'!$L:$L,'J1 Journaal'!$E:$E,$B36)</f>
        <v/>
      </c>
      <c r="Z36" s="13" t="n"/>
    </row>
    <row r="37">
      <c r="A37" s="12" t="n">
        <v>5</v>
      </c>
      <c r="B37" s="13" t="inlineStr">
        <is>
          <t>Q2CV1</t>
        </is>
      </c>
      <c r="C37" s="6" t="inlineStr">
        <is>
          <t>OEFEN</t>
        </is>
      </c>
      <c r="D37" s="13" t="inlineStr">
        <is>
          <t>K2</t>
        </is>
      </c>
      <c r="E37" s="13" t="inlineStr">
        <is>
          <t>CN-VK</t>
        </is>
      </c>
      <c r="F37" s="13" t="inlineStr">
        <is>
          <t>retour</t>
        </is>
      </c>
      <c r="G37" s="16" t="n">
        <v>46127</v>
      </c>
      <c r="I37" s="13" t="inlineStr">
        <is>
          <t>CN-2026-005</t>
        </is>
      </c>
      <c r="J37" s="13" t="inlineStr">
        <is>
          <t>Fietsatelier Noor bv</t>
        </is>
      </c>
      <c r="K37" s="13" t="inlineStr">
        <is>
          <t>Camping De Vlinder bv</t>
        </is>
      </c>
      <c r="L37" s="13" t="inlineStr">
        <is>
          <t>2026-008</t>
        </is>
      </c>
      <c r="M37" s="13" t="inlineStr">
        <is>
          <t>2 helmen te veel geleverd, teruggebracht</t>
        </is>
      </c>
      <c r="N37" s="14">
        <f>SUMIFS('J1 Lijnen'!$J:$J,'J1 Lijnen'!$A:$A,$B37,'J1 Lijnen'!$K:$K,0.21,'J1 Lijnen'!$E:$E,"&lt;&gt;verpakking")</f>
        <v/>
      </c>
      <c r="O37" s="14">
        <f>SUMIFS('J1 Lijnen'!$L:$L,'J1 Lijnen'!$A:$A,$B37,'J1 Lijnen'!$K:$K,0.21)</f>
        <v/>
      </c>
      <c r="P37" s="14">
        <f>SUMIFS('J1 Lijnen'!$J:$J,'J1 Lijnen'!$A:$A,$B37,'J1 Lijnen'!$K:$K,0.06)</f>
        <v/>
      </c>
      <c r="Q37" s="14">
        <f>SUMIFS('J1 Lijnen'!$L:$L,'J1 Lijnen'!$A:$A,$B37,'J1 Lijnen'!$K:$K,0.06)</f>
        <v/>
      </c>
      <c r="R37" s="14">
        <f>SUMIFS('J1 Lijnen'!$J:$J,'J1 Lijnen'!$A:$A,$B37,'J1 Lijnen'!$E:$E,"verpakking")</f>
        <v/>
      </c>
      <c r="S37" s="14">
        <f>-SUMIFS('J1 Lijnen'!$J:$J,'J1 Lijnen'!$A:$A,$B37,'J1 Lijnen'!$E:$E,"financiële korting")</f>
        <v/>
      </c>
      <c r="T37" s="17">
        <f>SUM(N37:S37)</f>
        <v/>
      </c>
      <c r="X37" s="13" t="inlineStr">
        <is>
          <t>U2026-08</t>
        </is>
      </c>
      <c r="Y37" s="14">
        <f>SUMIFS('J1 Journaal'!$K:$K,'J1 Journaal'!$E:$E,$B37)-SUMIFS('J1 Journaal'!$L:$L,'J1 Journaal'!$E:$E,$B37)</f>
        <v/>
      </c>
      <c r="Z37" s="13" t="n"/>
    </row>
    <row r="38">
      <c r="A38" s="12" t="n">
        <v>6</v>
      </c>
      <c r="B38" s="13" t="inlineStr">
        <is>
          <t>Q2A3</t>
        </is>
      </c>
      <c r="C38" s="6" t="inlineStr">
        <is>
          <t>OEFEN</t>
        </is>
      </c>
      <c r="D38" s="13" t="inlineStr">
        <is>
          <t>K2</t>
        </is>
      </c>
      <c r="E38" s="13" t="inlineStr">
        <is>
          <t>AK</t>
        </is>
      </c>
      <c r="F38" s="13" t="inlineStr">
        <is>
          <t>vaste activa</t>
        </is>
      </c>
      <c r="G38" s="16" t="n">
        <v>46129</v>
      </c>
      <c r="H38" s="16">
        <f>G38+30</f>
        <v/>
      </c>
      <c r="I38" s="13" t="inlineStr">
        <is>
          <t>DW-2026-087</t>
        </is>
      </c>
      <c r="J38" s="13" t="inlineStr">
        <is>
          <t>Deprez Werkplaatsinrichting bv</t>
        </is>
      </c>
      <c r="K38" s="13" t="inlineStr">
        <is>
          <t>Fietsatelier Noor bv</t>
        </is>
      </c>
      <c r="M38" s="13" t="n"/>
      <c r="N38" s="14">
        <f>SUMIFS('J1 Lijnen'!$J:$J,'J1 Lijnen'!$A:$A,$B38,'J1 Lijnen'!$K:$K,0.21,'J1 Lijnen'!$E:$E,"&lt;&gt;verpakking")</f>
        <v/>
      </c>
      <c r="O38" s="14">
        <f>SUMIFS('J1 Lijnen'!$L:$L,'J1 Lijnen'!$A:$A,$B38,'J1 Lijnen'!$K:$K,0.21)</f>
        <v/>
      </c>
      <c r="P38" s="14">
        <f>SUMIFS('J1 Lijnen'!$J:$J,'J1 Lijnen'!$A:$A,$B38,'J1 Lijnen'!$K:$K,0.06)</f>
        <v/>
      </c>
      <c r="Q38" s="14">
        <f>SUMIFS('J1 Lijnen'!$L:$L,'J1 Lijnen'!$A:$A,$B38,'J1 Lijnen'!$K:$K,0.06)</f>
        <v/>
      </c>
      <c r="R38" s="14">
        <f>SUMIFS('J1 Lijnen'!$J:$J,'J1 Lijnen'!$A:$A,$B38,'J1 Lijnen'!$E:$E,"verpakking")</f>
        <v/>
      </c>
      <c r="S38" s="14">
        <f>-SUMIFS('J1 Lijnen'!$J:$J,'J1 Lijnen'!$A:$A,$B38,'J1 Lijnen'!$E:$E,"financiële korting")</f>
        <v/>
      </c>
      <c r="T38" s="17">
        <f>SUM(N38:S38)</f>
        <v/>
      </c>
      <c r="X38" s="13" t="inlineStr">
        <is>
          <t>U2026-09</t>
        </is>
      </c>
      <c r="Y38" s="14">
        <f>SUMIFS('J1 Journaal'!$K:$K,'J1 Journaal'!$E:$E,$B38)-SUMIFS('J1 Journaal'!$L:$L,'J1 Journaal'!$E:$E,$B38)</f>
        <v/>
      </c>
      <c r="Z38" s="13" t="n"/>
    </row>
    <row r="39">
      <c r="A39" s="12" t="n">
        <v>7</v>
      </c>
      <c r="B39" s="13" t="inlineStr">
        <is>
          <t>Q2V2</t>
        </is>
      </c>
      <c r="C39" s="6" t="inlineStr">
        <is>
          <t>OEFEN</t>
        </is>
      </c>
      <c r="D39" s="13" t="inlineStr">
        <is>
          <t>K2</t>
        </is>
      </c>
      <c r="E39" s="13" t="inlineStr">
        <is>
          <t>VK</t>
        </is>
      </c>
      <c r="F39" s="13" t="inlineStr">
        <is>
          <t>handelsgoederen</t>
        </is>
      </c>
      <c r="G39" s="16" t="n">
        <v>46134</v>
      </c>
      <c r="H39" s="16">
        <f>G39+30</f>
        <v/>
      </c>
      <c r="I39" s="13" t="inlineStr">
        <is>
          <t>2026-009</t>
        </is>
      </c>
      <c r="J39" s="13" t="inlineStr">
        <is>
          <t>Fietsatelier Noor bv</t>
        </is>
      </c>
      <c r="K39" s="13" t="inlineStr">
        <is>
          <t>Bytewise bv</t>
        </is>
      </c>
      <c r="M39" s="13" t="n"/>
      <c r="N39" s="14">
        <f>SUMIFS('J1 Lijnen'!$J:$J,'J1 Lijnen'!$A:$A,$B39,'J1 Lijnen'!$K:$K,0.21,'J1 Lijnen'!$E:$E,"&lt;&gt;verpakking")</f>
        <v/>
      </c>
      <c r="O39" s="14">
        <f>SUMIFS('J1 Lijnen'!$L:$L,'J1 Lijnen'!$A:$A,$B39,'J1 Lijnen'!$K:$K,0.21)</f>
        <v/>
      </c>
      <c r="P39" s="14">
        <f>SUMIFS('J1 Lijnen'!$J:$J,'J1 Lijnen'!$A:$A,$B39,'J1 Lijnen'!$K:$K,0.06)</f>
        <v/>
      </c>
      <c r="Q39" s="14">
        <f>SUMIFS('J1 Lijnen'!$L:$L,'J1 Lijnen'!$A:$A,$B39,'J1 Lijnen'!$K:$K,0.06)</f>
        <v/>
      </c>
      <c r="R39" s="14">
        <f>SUMIFS('J1 Lijnen'!$J:$J,'J1 Lijnen'!$A:$A,$B39,'J1 Lijnen'!$E:$E,"verpakking")</f>
        <v/>
      </c>
      <c r="S39" s="14">
        <f>-SUMIFS('J1 Lijnen'!$J:$J,'J1 Lijnen'!$A:$A,$B39,'J1 Lijnen'!$E:$E,"financiële korting")</f>
        <v/>
      </c>
      <c r="T39" s="17">
        <f>SUM(N39:S39)</f>
        <v/>
      </c>
      <c r="X39" s="13" t="inlineStr">
        <is>
          <t>U2026-09</t>
        </is>
      </c>
      <c r="Y39" s="14">
        <f>SUMIFS('J1 Journaal'!$K:$K,'J1 Journaal'!$E:$E,$B39)-SUMIFS('J1 Journaal'!$L:$L,'J1 Journaal'!$E:$E,$B39)</f>
        <v/>
      </c>
      <c r="Z39" s="13" t="n"/>
    </row>
    <row r="40">
      <c r="A40" s="12" t="n">
        <v>9</v>
      </c>
      <c r="B40" s="13" t="inlineStr">
        <is>
          <t>Q2A4</t>
        </is>
      </c>
      <c r="C40" s="6" t="inlineStr">
        <is>
          <t>OEFEN</t>
        </is>
      </c>
      <c r="D40" s="13" t="inlineStr">
        <is>
          <t>K2</t>
        </is>
      </c>
      <c r="E40" s="13" t="inlineStr">
        <is>
          <t>AK</t>
        </is>
      </c>
      <c r="F40" s="13" t="inlineStr">
        <is>
          <t>handelsgoederen</t>
        </is>
      </c>
      <c r="G40" s="16" t="n">
        <v>46148</v>
      </c>
      <c r="H40" s="16">
        <f>G40+30</f>
        <v/>
      </c>
      <c r="I40" s="13" t="inlineStr">
        <is>
          <t>SW-1290</t>
        </is>
      </c>
      <c r="J40" s="13" t="inlineStr">
        <is>
          <t>Spaakwerk bv</t>
        </is>
      </c>
      <c r="K40" s="13" t="inlineStr">
        <is>
          <t>Fietsatelier Noor bv</t>
        </is>
      </c>
      <c r="M40" s="13" t="n"/>
      <c r="N40" s="14">
        <f>SUMIFS('J1 Lijnen'!$J:$J,'J1 Lijnen'!$A:$A,$B40,'J1 Lijnen'!$K:$K,0.21,'J1 Lijnen'!$E:$E,"&lt;&gt;verpakking")</f>
        <v/>
      </c>
      <c r="O40" s="14">
        <f>SUMIFS('J1 Lijnen'!$L:$L,'J1 Lijnen'!$A:$A,$B40,'J1 Lijnen'!$K:$K,0.21)</f>
        <v/>
      </c>
      <c r="P40" s="14">
        <f>SUMIFS('J1 Lijnen'!$J:$J,'J1 Lijnen'!$A:$A,$B40,'J1 Lijnen'!$K:$K,0.06)</f>
        <v/>
      </c>
      <c r="Q40" s="14">
        <f>SUMIFS('J1 Lijnen'!$L:$L,'J1 Lijnen'!$A:$A,$B40,'J1 Lijnen'!$K:$K,0.06)</f>
        <v/>
      </c>
      <c r="R40" s="14">
        <f>SUMIFS('J1 Lijnen'!$J:$J,'J1 Lijnen'!$A:$A,$B40,'J1 Lijnen'!$E:$E,"verpakking")</f>
        <v/>
      </c>
      <c r="S40" s="14">
        <f>-SUMIFS('J1 Lijnen'!$J:$J,'J1 Lijnen'!$A:$A,$B40,'J1 Lijnen'!$E:$E,"financiële korting")</f>
        <v/>
      </c>
      <c r="T40" s="17">
        <f>SUM(N40:S40)</f>
        <v/>
      </c>
      <c r="X40" s="13" t="inlineStr">
        <is>
          <t>U2026-09</t>
        </is>
      </c>
      <c r="Y40" s="14">
        <f>SUMIFS('J1 Journaal'!$K:$K,'J1 Journaal'!$E:$E,$B40)-SUMIFS('J1 Journaal'!$L:$L,'J1 Journaal'!$E:$E,$B40)</f>
        <v/>
      </c>
      <c r="Z40" s="13" t="n"/>
    </row>
    <row r="41">
      <c r="A41" s="12" t="n">
        <v>10</v>
      </c>
      <c r="B41" s="13" t="inlineStr">
        <is>
          <t>Q2V3</t>
        </is>
      </c>
      <c r="C41" s="6" t="inlineStr">
        <is>
          <t>OEFEN</t>
        </is>
      </c>
      <c r="D41" s="13" t="inlineStr">
        <is>
          <t>K2</t>
        </is>
      </c>
      <c r="E41" s="13" t="inlineStr">
        <is>
          <t>VK</t>
        </is>
      </c>
      <c r="F41" s="13" t="inlineStr">
        <is>
          <t>herstellingen</t>
        </is>
      </c>
      <c r="G41" s="16" t="n">
        <v>46155</v>
      </c>
      <c r="H41" s="16">
        <f>G41+30</f>
        <v/>
      </c>
      <c r="I41" s="13" t="inlineStr">
        <is>
          <t>2026-010</t>
        </is>
      </c>
      <c r="J41" s="13" t="inlineStr">
        <is>
          <t>Fietsatelier Noor bv</t>
        </is>
      </c>
      <c r="K41" s="13" t="inlineStr">
        <is>
          <t>Snelpost bv</t>
        </is>
      </c>
      <c r="M41" s="13" t="n"/>
      <c r="N41" s="14">
        <f>SUMIFS('J1 Lijnen'!$J:$J,'J1 Lijnen'!$A:$A,$B41,'J1 Lijnen'!$K:$K,0.21,'J1 Lijnen'!$E:$E,"&lt;&gt;verpakking")</f>
        <v/>
      </c>
      <c r="O41" s="14">
        <f>SUMIFS('J1 Lijnen'!$L:$L,'J1 Lijnen'!$A:$A,$B41,'J1 Lijnen'!$K:$K,0.21)</f>
        <v/>
      </c>
      <c r="P41" s="14">
        <f>SUMIFS('J1 Lijnen'!$J:$J,'J1 Lijnen'!$A:$A,$B41,'J1 Lijnen'!$K:$K,0.06)</f>
        <v/>
      </c>
      <c r="Q41" s="14">
        <f>SUMIFS('J1 Lijnen'!$L:$L,'J1 Lijnen'!$A:$A,$B41,'J1 Lijnen'!$K:$K,0.06)</f>
        <v/>
      </c>
      <c r="R41" s="14">
        <f>SUMIFS('J1 Lijnen'!$J:$J,'J1 Lijnen'!$A:$A,$B41,'J1 Lijnen'!$E:$E,"verpakking")</f>
        <v/>
      </c>
      <c r="S41" s="14">
        <f>-SUMIFS('J1 Lijnen'!$J:$J,'J1 Lijnen'!$A:$A,$B41,'J1 Lijnen'!$E:$E,"financiële korting")</f>
        <v/>
      </c>
      <c r="T41" s="17">
        <f>SUM(N41:S41)</f>
        <v/>
      </c>
      <c r="X41" s="13" t="inlineStr">
        <is>
          <t>U2026-10</t>
        </is>
      </c>
      <c r="Y41" s="14">
        <f>SUMIFS('J1 Journaal'!$K:$K,'J1 Journaal'!$E:$E,$B41)-SUMIFS('J1 Journaal'!$L:$L,'J1 Journaal'!$E:$E,$B41)</f>
        <v/>
      </c>
      <c r="Z41" s="13" t="n"/>
    </row>
    <row r="42">
      <c r="A42" s="12" t="n">
        <v>12</v>
      </c>
      <c r="B42" s="13" t="inlineStr">
        <is>
          <t>Q2CA2</t>
        </is>
      </c>
      <c r="C42" s="6" t="inlineStr">
        <is>
          <t>OEFEN</t>
        </is>
      </c>
      <c r="D42" s="13" t="inlineStr">
        <is>
          <t>K2</t>
        </is>
      </c>
      <c r="E42" s="13" t="inlineStr">
        <is>
          <t>CN-AK</t>
        </is>
      </c>
      <c r="F42" s="13" t="inlineStr">
        <is>
          <t>retour</t>
        </is>
      </c>
      <c r="G42" s="16" t="n">
        <v>46162</v>
      </c>
      <c r="I42" s="13" t="inlineStr">
        <is>
          <t>SW-CN-171</t>
        </is>
      </c>
      <c r="J42" s="13" t="inlineStr">
        <is>
          <t>Spaakwerk bv</t>
        </is>
      </c>
      <c r="K42" s="13" t="inlineStr">
        <is>
          <t>Fietsatelier Noor bv</t>
        </is>
      </c>
      <c r="L42" s="13" t="inlineStr">
        <is>
          <t>SW-1290</t>
        </is>
      </c>
      <c r="M42" s="13" t="inlineStr">
        <is>
          <t>4 verlichtingssets defect, teruggestuurd (factuur was al betaald)</t>
        </is>
      </c>
      <c r="N42" s="14">
        <f>SUMIFS('J1 Lijnen'!$J:$J,'J1 Lijnen'!$A:$A,$B42,'J1 Lijnen'!$K:$K,0.21,'J1 Lijnen'!$E:$E,"&lt;&gt;verpakking")</f>
        <v/>
      </c>
      <c r="O42" s="14">
        <f>SUMIFS('J1 Lijnen'!$L:$L,'J1 Lijnen'!$A:$A,$B42,'J1 Lijnen'!$K:$K,0.21)</f>
        <v/>
      </c>
      <c r="P42" s="14">
        <f>SUMIFS('J1 Lijnen'!$J:$J,'J1 Lijnen'!$A:$A,$B42,'J1 Lijnen'!$K:$K,0.06)</f>
        <v/>
      </c>
      <c r="Q42" s="14">
        <f>SUMIFS('J1 Lijnen'!$L:$L,'J1 Lijnen'!$A:$A,$B42,'J1 Lijnen'!$K:$K,0.06)</f>
        <v/>
      </c>
      <c r="R42" s="14">
        <f>SUMIFS('J1 Lijnen'!$J:$J,'J1 Lijnen'!$A:$A,$B42,'J1 Lijnen'!$E:$E,"verpakking")</f>
        <v/>
      </c>
      <c r="S42" s="14">
        <f>-SUMIFS('J1 Lijnen'!$J:$J,'J1 Lijnen'!$A:$A,$B42,'J1 Lijnen'!$E:$E,"financiële korting")</f>
        <v/>
      </c>
      <c r="T42" s="17">
        <f>SUM(N42:S42)</f>
        <v/>
      </c>
      <c r="X42" s="13" t="inlineStr">
        <is>
          <t>U2026-10</t>
        </is>
      </c>
      <c r="Y42" s="14">
        <f>SUMIFS('J1 Journaal'!$K:$K,'J1 Journaal'!$E:$E,$B42)-SUMIFS('J1 Journaal'!$L:$L,'J1 Journaal'!$E:$E,$B42)</f>
        <v/>
      </c>
      <c r="Z42" s="13" t="n"/>
    </row>
    <row r="43">
      <c r="A43" s="12" t="n">
        <v>13</v>
      </c>
      <c r="B43" s="13" t="inlineStr">
        <is>
          <t>Q2V4</t>
        </is>
      </c>
      <c r="C43" s="6" t="inlineStr">
        <is>
          <t>OEFEN</t>
        </is>
      </c>
      <c r="D43" s="13" t="inlineStr">
        <is>
          <t>K2</t>
        </is>
      </c>
      <c r="E43" s="13" t="inlineStr">
        <is>
          <t>VK</t>
        </is>
      </c>
      <c r="F43" s="13" t="inlineStr">
        <is>
          <t>handelsgoederen</t>
        </is>
      </c>
      <c r="G43" s="16" t="n">
        <v>46169</v>
      </c>
      <c r="H43" s="16">
        <f>G43+30</f>
        <v/>
      </c>
      <c r="I43" s="13" t="inlineStr">
        <is>
          <t>2026-011</t>
        </is>
      </c>
      <c r="J43" s="13" t="inlineStr">
        <is>
          <t>Fietsatelier Noor bv</t>
        </is>
      </c>
      <c r="K43" s="13" t="inlineStr">
        <is>
          <t>Studio Kowalski bv</t>
        </is>
      </c>
      <c r="M43" s="13" t="n"/>
      <c r="N43" s="14">
        <f>SUMIFS('J1 Lijnen'!$J:$J,'J1 Lijnen'!$A:$A,$B43,'J1 Lijnen'!$K:$K,0.21,'J1 Lijnen'!$E:$E,"&lt;&gt;verpakking")</f>
        <v/>
      </c>
      <c r="O43" s="14">
        <f>SUMIFS('J1 Lijnen'!$L:$L,'J1 Lijnen'!$A:$A,$B43,'J1 Lijnen'!$K:$K,0.21)</f>
        <v/>
      </c>
      <c r="P43" s="14">
        <f>SUMIFS('J1 Lijnen'!$J:$J,'J1 Lijnen'!$A:$A,$B43,'J1 Lijnen'!$K:$K,0.06)</f>
        <v/>
      </c>
      <c r="Q43" s="14">
        <f>SUMIFS('J1 Lijnen'!$L:$L,'J1 Lijnen'!$A:$A,$B43,'J1 Lijnen'!$K:$K,0.06)</f>
        <v/>
      </c>
      <c r="R43" s="14">
        <f>SUMIFS('J1 Lijnen'!$J:$J,'J1 Lijnen'!$A:$A,$B43,'J1 Lijnen'!$E:$E,"verpakking")</f>
        <v/>
      </c>
      <c r="S43" s="14">
        <f>-SUMIFS('J1 Lijnen'!$J:$J,'J1 Lijnen'!$A:$A,$B43,'J1 Lijnen'!$E:$E,"financiële korting")</f>
        <v/>
      </c>
      <c r="T43" s="17">
        <f>SUM(N43:S43)</f>
        <v/>
      </c>
      <c r="X43" s="13" t="inlineStr">
        <is>
          <t>U2026-10</t>
        </is>
      </c>
      <c r="Y43" s="14">
        <f>SUMIFS('J1 Journaal'!$K:$K,'J1 Journaal'!$E:$E,$B43)-SUMIFS('J1 Journaal'!$L:$L,'J1 Journaal'!$E:$E,$B43)</f>
        <v/>
      </c>
      <c r="Z43" s="13" t="n"/>
    </row>
    <row r="44">
      <c r="A44" s="12" t="n">
        <v>14</v>
      </c>
      <c r="B44" s="13" t="inlineStr">
        <is>
          <t>Q2CV2</t>
        </is>
      </c>
      <c r="C44" s="6" t="inlineStr">
        <is>
          <t>OEFEN</t>
        </is>
      </c>
      <c r="D44" s="13" t="inlineStr">
        <is>
          <t>K2</t>
        </is>
      </c>
      <c r="E44" s="13" t="inlineStr">
        <is>
          <t>CN-VK</t>
        </is>
      </c>
      <c r="F44" s="13" t="inlineStr">
        <is>
          <t>retour</t>
        </is>
      </c>
      <c r="G44" s="16" t="n">
        <v>46175</v>
      </c>
      <c r="I44" s="13" t="inlineStr">
        <is>
          <t>CN-2026-006</t>
        </is>
      </c>
      <c r="J44" s="13" t="inlineStr">
        <is>
          <t>Fietsatelier Noor bv</t>
        </is>
      </c>
      <c r="K44" s="13" t="inlineStr">
        <is>
          <t>Bytewise bv</t>
        </is>
      </c>
      <c r="L44" s="13" t="inlineStr">
        <is>
          <t>2026-009</t>
        </is>
      </c>
      <c r="M44" s="13" t="inlineStr">
        <is>
          <t>1 e-bike teruggenomen: motor maakt lawaai (factuur was al betaald)</t>
        </is>
      </c>
      <c r="N44" s="14">
        <f>SUMIFS('J1 Lijnen'!$J:$J,'J1 Lijnen'!$A:$A,$B44,'J1 Lijnen'!$K:$K,0.21,'J1 Lijnen'!$E:$E,"&lt;&gt;verpakking")</f>
        <v/>
      </c>
      <c r="O44" s="14">
        <f>SUMIFS('J1 Lijnen'!$L:$L,'J1 Lijnen'!$A:$A,$B44,'J1 Lijnen'!$K:$K,0.21)</f>
        <v/>
      </c>
      <c r="P44" s="14">
        <f>SUMIFS('J1 Lijnen'!$J:$J,'J1 Lijnen'!$A:$A,$B44,'J1 Lijnen'!$K:$K,0.06)</f>
        <v/>
      </c>
      <c r="Q44" s="14">
        <f>SUMIFS('J1 Lijnen'!$L:$L,'J1 Lijnen'!$A:$A,$B44,'J1 Lijnen'!$K:$K,0.06)</f>
        <v/>
      </c>
      <c r="R44" s="14">
        <f>SUMIFS('J1 Lijnen'!$J:$J,'J1 Lijnen'!$A:$A,$B44,'J1 Lijnen'!$E:$E,"verpakking")</f>
        <v/>
      </c>
      <c r="S44" s="14">
        <f>-SUMIFS('J1 Lijnen'!$J:$J,'J1 Lijnen'!$A:$A,$B44,'J1 Lijnen'!$E:$E,"financiële korting")</f>
        <v/>
      </c>
      <c r="T44" s="17">
        <f>SUM(N44:S44)</f>
        <v/>
      </c>
      <c r="X44" s="13" t="inlineStr">
        <is>
          <t>U2026-10</t>
        </is>
      </c>
      <c r="Y44" s="14">
        <f>SUMIFS('J1 Journaal'!$K:$K,'J1 Journaal'!$E:$E,$B44)-SUMIFS('J1 Journaal'!$L:$L,'J1 Journaal'!$E:$E,$B44)</f>
        <v/>
      </c>
      <c r="Z44" s="13" t="n"/>
    </row>
    <row r="45">
      <c r="A45" s="12" t="n">
        <v>15</v>
      </c>
      <c r="B45" s="13" t="inlineStr">
        <is>
          <t>Q2D1</t>
        </is>
      </c>
      <c r="C45" s="6" t="inlineStr">
        <is>
          <t>OEFEN</t>
        </is>
      </c>
      <c r="D45" s="13" t="inlineStr">
        <is>
          <t>K2</t>
        </is>
      </c>
      <c r="E45" s="13" t="inlineStr">
        <is>
          <t>DO</t>
        </is>
      </c>
      <c r="F45" s="13" t="inlineStr">
        <is>
          <t>dagontvangst</t>
        </is>
      </c>
      <c r="G45" s="16" t="n">
        <v>46179</v>
      </c>
      <c r="I45" s="13" t="inlineStr">
        <is>
          <t>DO-2026-05</t>
        </is>
      </c>
      <c r="J45" s="13" t="inlineStr">
        <is>
          <t>Fietsatelier Noor bv</t>
        </is>
      </c>
      <c r="K45" s="13" t="inlineStr">
        <is>
          <t>particulieren (kasticket)</t>
        </is>
      </c>
      <c r="M45" s="13" t="inlineStr">
        <is>
          <t>Dagontvangsten winkel (verkopen aan particulieren)</t>
        </is>
      </c>
      <c r="N45" s="14">
        <f>SUMIFS('J1 Lijnen'!$J:$J,'J1 Lijnen'!$A:$A,$B45,'J1 Lijnen'!$K:$K,0.21,'J1 Lijnen'!$E:$E,"&lt;&gt;verpakking")</f>
        <v/>
      </c>
      <c r="O45" s="14">
        <f>SUMIFS('J1 Lijnen'!$L:$L,'J1 Lijnen'!$A:$A,$B45,'J1 Lijnen'!$K:$K,0.21)</f>
        <v/>
      </c>
      <c r="P45" s="14">
        <f>SUMIFS('J1 Lijnen'!$J:$J,'J1 Lijnen'!$A:$A,$B45,'J1 Lijnen'!$K:$K,0.06)</f>
        <v/>
      </c>
      <c r="Q45" s="14">
        <f>SUMIFS('J1 Lijnen'!$L:$L,'J1 Lijnen'!$A:$A,$B45,'J1 Lijnen'!$K:$K,0.06)</f>
        <v/>
      </c>
      <c r="R45" s="14">
        <f>SUMIFS('J1 Lijnen'!$J:$J,'J1 Lijnen'!$A:$A,$B45,'J1 Lijnen'!$E:$E,"verpakking")</f>
        <v/>
      </c>
      <c r="S45" s="14">
        <f>-SUMIFS('J1 Lijnen'!$J:$J,'J1 Lijnen'!$A:$A,$B45,'J1 Lijnen'!$E:$E,"financiële korting")</f>
        <v/>
      </c>
      <c r="T45" s="17">
        <f>SUM(N45:S45)</f>
        <v/>
      </c>
      <c r="V45" s="14">
        <f>T45-W45</f>
        <v/>
      </c>
      <c r="W45" s="14" t="n">
        <v>2000</v>
      </c>
      <c r="X45" s="13" t="inlineStr">
        <is>
          <t>Q2D1K, U2026-10</t>
        </is>
      </c>
      <c r="Y45" s="14">
        <f>SUMIFS('J1 Journaal'!$K:$K,'J1 Journaal'!$E:$E,$B45)-SUMIFS('J1 Journaal'!$L:$L,'J1 Journaal'!$E:$E,$B45)</f>
        <v/>
      </c>
      <c r="Z45" s="13" t="n"/>
    </row>
    <row r="46">
      <c r="A46" s="12" t="n">
        <v>16</v>
      </c>
      <c r="B46" s="13" t="inlineStr">
        <is>
          <t>Q2D1K</t>
        </is>
      </c>
      <c r="C46" s="6" t="inlineStr">
        <is>
          <t>OEFEN</t>
        </is>
      </c>
      <c r="D46" s="13" t="inlineStr">
        <is>
          <t>K2</t>
        </is>
      </c>
      <c r="E46" s="13" t="inlineStr">
        <is>
          <t>KAS</t>
        </is>
      </c>
      <c r="F46" s="13" t="inlineStr">
        <is>
          <t>ontvangst</t>
        </is>
      </c>
      <c r="G46" s="16" t="n">
        <v>46179</v>
      </c>
      <c r="I46" s="13" t="inlineStr">
        <is>
          <t>Kasboek DO-2026-05</t>
        </is>
      </c>
      <c r="J46" s="13" t="inlineStr">
        <is>
          <t>Fietsatelier Noor bv</t>
        </is>
      </c>
      <c r="K46" s="13" t="inlineStr">
        <is>
          <t>Fietsatelier Noor bv</t>
        </is>
      </c>
      <c r="L46" s="13" t="inlineStr">
        <is>
          <t>DO-2026-05</t>
        </is>
      </c>
      <c r="M46" s="13" t="inlineStr">
        <is>
          <t>Contant deel van dagontvangst DO-2026-05 (laat de vordering op de klanten dalen)</t>
        </is>
      </c>
      <c r="T46" s="17" t="n">
        <v>466</v>
      </c>
      <c r="V46" s="14" t="n">
        <v>466</v>
      </c>
      <c r="Y46" s="14">
        <f>SUMIFS('J1 Journaal'!$K:$K,'J1 Journaal'!$E:$E,$B46)-SUMIFS('J1 Journaal'!$L:$L,'J1 Journaal'!$E:$E,$B46)</f>
        <v/>
      </c>
    </row>
    <row r="47">
      <c r="A47" s="12" t="n">
        <v>1</v>
      </c>
      <c r="B47" s="13" t="inlineStr">
        <is>
          <t>Q3A1</t>
        </is>
      </c>
      <c r="C47" s="7" t="inlineStr">
        <is>
          <t>TJ</t>
        </is>
      </c>
      <c r="D47" s="13" t="inlineStr">
        <is>
          <t>K3</t>
        </is>
      </c>
      <c r="E47" s="13" t="inlineStr">
        <is>
          <t>AK</t>
        </is>
      </c>
      <c r="F47" s="13" t="inlineStr">
        <is>
          <t>handelsgoederen</t>
        </is>
      </c>
      <c r="G47" s="16" t="n">
        <v>46204</v>
      </c>
      <c r="H47" s="16">
        <f>G47+30</f>
        <v/>
      </c>
      <c r="I47" s="13" t="inlineStr">
        <is>
          <t>2026-702</t>
        </is>
      </c>
      <c r="J47" s="13" t="inlineStr">
        <is>
          <t>Velomax bv</t>
        </is>
      </c>
      <c r="K47" s="13" t="inlineStr">
        <is>
          <t>Fietsatelier Noor bv</t>
        </is>
      </c>
      <c r="M47" s="13" t="n"/>
      <c r="N47" s="14">
        <f>SUMIFS('J1 Lijnen'!$J:$J,'J1 Lijnen'!$A:$A,$B47,'J1 Lijnen'!$K:$K,0.21,'J1 Lijnen'!$E:$E,"&lt;&gt;verpakking")</f>
        <v/>
      </c>
      <c r="O47" s="14">
        <f>SUMIFS('J1 Lijnen'!$L:$L,'J1 Lijnen'!$A:$A,$B47,'J1 Lijnen'!$K:$K,0.21)</f>
        <v/>
      </c>
      <c r="P47" s="14">
        <f>SUMIFS('J1 Lijnen'!$J:$J,'J1 Lijnen'!$A:$A,$B47,'J1 Lijnen'!$K:$K,0.06)</f>
        <v/>
      </c>
      <c r="Q47" s="14">
        <f>SUMIFS('J1 Lijnen'!$L:$L,'J1 Lijnen'!$A:$A,$B47,'J1 Lijnen'!$K:$K,0.06)</f>
        <v/>
      </c>
      <c r="R47" s="14">
        <f>SUMIFS('J1 Lijnen'!$J:$J,'J1 Lijnen'!$A:$A,$B47,'J1 Lijnen'!$E:$E,"verpakking")</f>
        <v/>
      </c>
      <c r="S47" s="14">
        <f>-SUMIFS('J1 Lijnen'!$J:$J,'J1 Lijnen'!$A:$A,$B47,'J1 Lijnen'!$E:$E,"financiële korting")</f>
        <v/>
      </c>
      <c r="T47" s="17">
        <f>SUM(N47:S47)</f>
        <v/>
      </c>
      <c r="X47" s="13" t="inlineStr">
        <is>
          <t>U2026-11</t>
        </is>
      </c>
      <c r="Y47" s="14">
        <f>SUMIFS('J1 Journaal'!$K:$K,'J1 Journaal'!$E:$E,$B47)-SUMIFS('J1 Journaal'!$L:$L,'J1 Journaal'!$E:$E,$B47)</f>
        <v/>
      </c>
      <c r="Z47" s="13" t="n"/>
    </row>
    <row r="48">
      <c r="A48" s="12" t="n">
        <v>2</v>
      </c>
      <c r="B48" s="13" t="inlineStr">
        <is>
          <t>Q3A3</t>
        </is>
      </c>
      <c r="C48" s="7" t="inlineStr">
        <is>
          <t>TJ</t>
        </is>
      </c>
      <c r="D48" s="13" t="inlineStr">
        <is>
          <t>K3</t>
        </is>
      </c>
      <c r="E48" s="13" t="inlineStr">
        <is>
          <t>AK</t>
        </is>
      </c>
      <c r="F48" s="13" t="inlineStr">
        <is>
          <t>handelsgoederen</t>
        </is>
      </c>
      <c r="G48" s="16" t="n">
        <v>46206</v>
      </c>
      <c r="H48" s="16">
        <f>G48+30</f>
        <v/>
      </c>
      <c r="I48" s="13" t="inlineStr">
        <is>
          <t>HH-26-311</t>
        </is>
      </c>
      <c r="J48" s="13" t="inlineStr">
        <is>
          <t>HelmHuis bv</t>
        </is>
      </c>
      <c r="K48" s="13" t="inlineStr">
        <is>
          <t>Fietsatelier Noor bv</t>
        </is>
      </c>
      <c r="M48" s="13" t="n"/>
      <c r="N48" s="14">
        <f>SUMIFS('J1 Lijnen'!$J:$J,'J1 Lijnen'!$A:$A,$B48,'J1 Lijnen'!$K:$K,0.21,'J1 Lijnen'!$E:$E,"&lt;&gt;verpakking")</f>
        <v/>
      </c>
      <c r="O48" s="14">
        <f>SUMIFS('J1 Lijnen'!$L:$L,'J1 Lijnen'!$A:$A,$B48,'J1 Lijnen'!$K:$K,0.21)</f>
        <v/>
      </c>
      <c r="P48" s="14">
        <f>SUMIFS('J1 Lijnen'!$J:$J,'J1 Lijnen'!$A:$A,$B48,'J1 Lijnen'!$K:$K,0.06)</f>
        <v/>
      </c>
      <c r="Q48" s="14">
        <f>SUMIFS('J1 Lijnen'!$L:$L,'J1 Lijnen'!$A:$A,$B48,'J1 Lijnen'!$K:$K,0.06)</f>
        <v/>
      </c>
      <c r="R48" s="14">
        <f>SUMIFS('J1 Lijnen'!$J:$J,'J1 Lijnen'!$A:$A,$B48,'J1 Lijnen'!$E:$E,"verpakking")</f>
        <v/>
      </c>
      <c r="S48" s="14">
        <f>-SUMIFS('J1 Lijnen'!$J:$J,'J1 Lijnen'!$A:$A,$B48,'J1 Lijnen'!$E:$E,"financiële korting")</f>
        <v/>
      </c>
      <c r="T48" s="17">
        <f>SUM(N48:S48)</f>
        <v/>
      </c>
      <c r="X48" s="13" t="inlineStr">
        <is>
          <t>U2026-12</t>
        </is>
      </c>
      <c r="Y48" s="14">
        <f>SUMIFS('J1 Journaal'!$K:$K,'J1 Journaal'!$E:$E,$B48)-SUMIFS('J1 Journaal'!$L:$L,'J1 Journaal'!$E:$E,$B48)</f>
        <v/>
      </c>
      <c r="Z48" s="13" t="n"/>
    </row>
    <row r="49">
      <c r="A49" s="12" t="n">
        <v>3</v>
      </c>
      <c r="B49" s="13" t="inlineStr">
        <is>
          <t>Q3CA1</t>
        </is>
      </c>
      <c r="C49" s="7" t="inlineStr">
        <is>
          <t>TJ</t>
        </is>
      </c>
      <c r="D49" s="13" t="inlineStr">
        <is>
          <t>K3</t>
        </is>
      </c>
      <c r="E49" s="13" t="inlineStr">
        <is>
          <t>CN-AK</t>
        </is>
      </c>
      <c r="F49" s="13" t="inlineStr">
        <is>
          <t>retour</t>
        </is>
      </c>
      <c r="G49" s="16" t="n">
        <v>46211</v>
      </c>
      <c r="I49" s="13" t="inlineStr">
        <is>
          <t>CN-2026-044</t>
        </is>
      </c>
      <c r="J49" s="13" t="inlineStr">
        <is>
          <t>Velomax bv</t>
        </is>
      </c>
      <c r="K49" s="13" t="inlineStr">
        <is>
          <t>Fietsatelier Noor bv</t>
        </is>
      </c>
      <c r="L49" s="13" t="inlineStr">
        <is>
          <t>2026-702</t>
        </is>
      </c>
      <c r="M49" s="13" t="inlineStr">
        <is>
          <t>1 fiets met gebroken spaken geleverd, teruggestuurd</t>
        </is>
      </c>
      <c r="N49" s="14">
        <f>SUMIFS('J1 Lijnen'!$J:$J,'J1 Lijnen'!$A:$A,$B49,'J1 Lijnen'!$K:$K,0.21,'J1 Lijnen'!$E:$E,"&lt;&gt;verpakking")</f>
        <v/>
      </c>
      <c r="O49" s="14">
        <f>SUMIFS('J1 Lijnen'!$L:$L,'J1 Lijnen'!$A:$A,$B49,'J1 Lijnen'!$K:$K,0.21)</f>
        <v/>
      </c>
      <c r="P49" s="14">
        <f>SUMIFS('J1 Lijnen'!$J:$J,'J1 Lijnen'!$A:$A,$B49,'J1 Lijnen'!$K:$K,0.06)</f>
        <v/>
      </c>
      <c r="Q49" s="14">
        <f>SUMIFS('J1 Lijnen'!$L:$L,'J1 Lijnen'!$A:$A,$B49,'J1 Lijnen'!$K:$K,0.06)</f>
        <v/>
      </c>
      <c r="R49" s="14">
        <f>SUMIFS('J1 Lijnen'!$J:$J,'J1 Lijnen'!$A:$A,$B49,'J1 Lijnen'!$E:$E,"verpakking")</f>
        <v/>
      </c>
      <c r="S49" s="14">
        <f>-SUMIFS('J1 Lijnen'!$J:$J,'J1 Lijnen'!$A:$A,$B49,'J1 Lijnen'!$E:$E,"financiële korting")</f>
        <v/>
      </c>
      <c r="T49" s="17">
        <f>SUM(N49:S49)</f>
        <v/>
      </c>
      <c r="X49" s="13" t="inlineStr">
        <is>
          <t>U2026-11</t>
        </is>
      </c>
      <c r="Y49" s="14">
        <f>SUMIFS('J1 Journaal'!$K:$K,'J1 Journaal'!$E:$E,$B49)-SUMIFS('J1 Journaal'!$L:$L,'J1 Journaal'!$E:$E,$B49)</f>
        <v/>
      </c>
      <c r="Z49" s="13" t="n"/>
    </row>
    <row r="50">
      <c r="A50" s="12" t="n">
        <v>4</v>
      </c>
      <c r="B50" s="13" t="inlineStr">
        <is>
          <t>Q3A2</t>
        </is>
      </c>
      <c r="C50" s="7" t="inlineStr">
        <is>
          <t>TJ</t>
        </is>
      </c>
      <c r="D50" s="13" t="inlineStr">
        <is>
          <t>K3</t>
        </is>
      </c>
      <c r="E50" s="13" t="inlineStr">
        <is>
          <t>AK</t>
        </is>
      </c>
      <c r="F50" s="13" t="inlineStr">
        <is>
          <t>diensten</t>
        </is>
      </c>
      <c r="G50" s="16" t="n">
        <v>46213</v>
      </c>
      <c r="H50" s="16">
        <f>G50+30</f>
        <v/>
      </c>
      <c r="I50" s="13" t="inlineStr">
        <is>
          <t>BN-2026-061</t>
        </is>
      </c>
      <c r="J50" s="13" t="inlineStr">
        <is>
          <t>Boekhoudkantoor Nowak</t>
        </is>
      </c>
      <c r="K50" s="13" t="inlineStr">
        <is>
          <t>Fietsatelier Noor bv</t>
        </is>
      </c>
      <c r="M50" s="13" t="n"/>
      <c r="N50" s="14">
        <f>SUMIFS('J1 Lijnen'!$J:$J,'J1 Lijnen'!$A:$A,$B50,'J1 Lijnen'!$K:$K,0.21,'J1 Lijnen'!$E:$E,"&lt;&gt;verpakking")</f>
        <v/>
      </c>
      <c r="O50" s="14">
        <f>SUMIFS('J1 Lijnen'!$L:$L,'J1 Lijnen'!$A:$A,$B50,'J1 Lijnen'!$K:$K,0.21)</f>
        <v/>
      </c>
      <c r="P50" s="14">
        <f>SUMIFS('J1 Lijnen'!$J:$J,'J1 Lijnen'!$A:$A,$B50,'J1 Lijnen'!$K:$K,0.06)</f>
        <v/>
      </c>
      <c r="Q50" s="14">
        <f>SUMIFS('J1 Lijnen'!$L:$L,'J1 Lijnen'!$A:$A,$B50,'J1 Lijnen'!$K:$K,0.06)</f>
        <v/>
      </c>
      <c r="R50" s="14">
        <f>SUMIFS('J1 Lijnen'!$J:$J,'J1 Lijnen'!$A:$A,$B50,'J1 Lijnen'!$E:$E,"verpakking")</f>
        <v/>
      </c>
      <c r="S50" s="14">
        <f>-SUMIFS('J1 Lijnen'!$J:$J,'J1 Lijnen'!$A:$A,$B50,'J1 Lijnen'!$E:$E,"financiële korting")</f>
        <v/>
      </c>
      <c r="T50" s="17">
        <f>SUM(N50:S50)</f>
        <v/>
      </c>
      <c r="X50" s="13" t="inlineStr">
        <is>
          <t>U2026-11</t>
        </is>
      </c>
      <c r="Y50" s="14">
        <f>SUMIFS('J1 Journaal'!$K:$K,'J1 Journaal'!$E:$E,$B50)-SUMIFS('J1 Journaal'!$L:$L,'J1 Journaal'!$E:$E,$B50)</f>
        <v/>
      </c>
      <c r="Z50" s="13" t="n"/>
    </row>
    <row r="51">
      <c r="A51" s="12" t="n">
        <v>5</v>
      </c>
      <c r="B51" s="13" t="inlineStr">
        <is>
          <t>Q3V1</t>
        </is>
      </c>
      <c r="C51" s="7" t="inlineStr">
        <is>
          <t>TJ</t>
        </is>
      </c>
      <c r="D51" s="13" t="inlineStr">
        <is>
          <t>K3</t>
        </is>
      </c>
      <c r="E51" s="13" t="inlineStr">
        <is>
          <t>VK</t>
        </is>
      </c>
      <c r="F51" s="13" t="inlineStr">
        <is>
          <t>handelsgoederen</t>
        </is>
      </c>
      <c r="G51" s="16" t="n">
        <v>46217</v>
      </c>
      <c r="H51" s="16">
        <f>G51+30</f>
        <v/>
      </c>
      <c r="I51" s="13" t="inlineStr">
        <is>
          <t>2026-012</t>
        </is>
      </c>
      <c r="J51" s="13" t="inlineStr">
        <is>
          <t>Fietsatelier Noor bv</t>
        </is>
      </c>
      <c r="K51" s="13" t="inlineStr">
        <is>
          <t>Hotel De Linde bv</t>
        </is>
      </c>
      <c r="M51" s="13" t="n"/>
      <c r="N51" s="14">
        <f>SUMIFS('J1 Lijnen'!$J:$J,'J1 Lijnen'!$A:$A,$B51,'J1 Lijnen'!$K:$K,0.21,'J1 Lijnen'!$E:$E,"&lt;&gt;verpakking")</f>
        <v/>
      </c>
      <c r="O51" s="14">
        <f>SUMIFS('J1 Lijnen'!$L:$L,'J1 Lijnen'!$A:$A,$B51,'J1 Lijnen'!$K:$K,0.21)</f>
        <v/>
      </c>
      <c r="P51" s="14">
        <f>SUMIFS('J1 Lijnen'!$J:$J,'J1 Lijnen'!$A:$A,$B51,'J1 Lijnen'!$K:$K,0.06)</f>
        <v/>
      </c>
      <c r="Q51" s="14">
        <f>SUMIFS('J1 Lijnen'!$L:$L,'J1 Lijnen'!$A:$A,$B51,'J1 Lijnen'!$K:$K,0.06)</f>
        <v/>
      </c>
      <c r="R51" s="14">
        <f>SUMIFS('J1 Lijnen'!$J:$J,'J1 Lijnen'!$A:$A,$B51,'J1 Lijnen'!$E:$E,"verpakking")</f>
        <v/>
      </c>
      <c r="S51" s="14">
        <f>-SUMIFS('J1 Lijnen'!$J:$J,'J1 Lijnen'!$A:$A,$B51,'J1 Lijnen'!$E:$E,"financiële korting")</f>
        <v/>
      </c>
      <c r="T51" s="17">
        <f>SUM(N51:S51)</f>
        <v/>
      </c>
      <c r="X51" s="13" t="inlineStr">
        <is>
          <t>U2026-11</t>
        </is>
      </c>
      <c r="Y51" s="14">
        <f>SUMIFS('J1 Journaal'!$K:$K,'J1 Journaal'!$E:$E,$B51)-SUMIFS('J1 Journaal'!$L:$L,'J1 Journaal'!$E:$E,$B51)</f>
        <v/>
      </c>
      <c r="Z51" s="13" t="n"/>
    </row>
    <row r="52">
      <c r="A52" s="12" t="n">
        <v>6</v>
      </c>
      <c r="B52" s="13" t="inlineStr">
        <is>
          <t>Q3CV1</t>
        </is>
      </c>
      <c r="C52" s="7" t="inlineStr">
        <is>
          <t>TJ</t>
        </is>
      </c>
      <c r="D52" s="13" t="inlineStr">
        <is>
          <t>K3</t>
        </is>
      </c>
      <c r="E52" s="13" t="inlineStr">
        <is>
          <t>CN-VK</t>
        </is>
      </c>
      <c r="F52" s="13" t="inlineStr">
        <is>
          <t>retour</t>
        </is>
      </c>
      <c r="G52" s="16" t="n">
        <v>46224</v>
      </c>
      <c r="I52" s="13" t="inlineStr">
        <is>
          <t>CN-2026-007</t>
        </is>
      </c>
      <c r="J52" s="13" t="inlineStr">
        <is>
          <t>Fietsatelier Noor bv</t>
        </is>
      </c>
      <c r="K52" s="13" t="inlineStr">
        <is>
          <t>Hotel De Linde bv</t>
        </is>
      </c>
      <c r="L52" s="13" t="inlineStr">
        <is>
          <t>2026-012</t>
        </is>
      </c>
      <c r="M52" s="13" t="inlineStr">
        <is>
          <t>1 fiets teruggenomen: lak beschadigd</t>
        </is>
      </c>
      <c r="N52" s="14">
        <f>SUMIFS('J1 Lijnen'!$J:$J,'J1 Lijnen'!$A:$A,$B52,'J1 Lijnen'!$K:$K,0.21,'J1 Lijnen'!$E:$E,"&lt;&gt;verpakking")</f>
        <v/>
      </c>
      <c r="O52" s="14">
        <f>SUMIFS('J1 Lijnen'!$L:$L,'J1 Lijnen'!$A:$A,$B52,'J1 Lijnen'!$K:$K,0.21)</f>
        <v/>
      </c>
      <c r="P52" s="14">
        <f>SUMIFS('J1 Lijnen'!$J:$J,'J1 Lijnen'!$A:$A,$B52,'J1 Lijnen'!$K:$K,0.06)</f>
        <v/>
      </c>
      <c r="Q52" s="14">
        <f>SUMIFS('J1 Lijnen'!$L:$L,'J1 Lijnen'!$A:$A,$B52,'J1 Lijnen'!$K:$K,0.06)</f>
        <v/>
      </c>
      <c r="R52" s="14">
        <f>SUMIFS('J1 Lijnen'!$J:$J,'J1 Lijnen'!$A:$A,$B52,'J1 Lijnen'!$E:$E,"verpakking")</f>
        <v/>
      </c>
      <c r="S52" s="14">
        <f>-SUMIFS('J1 Lijnen'!$J:$J,'J1 Lijnen'!$A:$A,$B52,'J1 Lijnen'!$E:$E,"financiële korting")</f>
        <v/>
      </c>
      <c r="T52" s="17">
        <f>SUM(N52:S52)</f>
        <v/>
      </c>
      <c r="X52" s="13" t="inlineStr">
        <is>
          <t>U2026-11</t>
        </is>
      </c>
      <c r="Y52" s="14">
        <f>SUMIFS('J1 Journaal'!$K:$K,'J1 Journaal'!$E:$E,$B52)-SUMIFS('J1 Journaal'!$L:$L,'J1 Journaal'!$E:$E,$B52)</f>
        <v/>
      </c>
      <c r="Z52" s="13" t="n"/>
    </row>
    <row r="53">
      <c r="A53" s="12" t="n">
        <v>8</v>
      </c>
      <c r="B53" s="13" t="inlineStr">
        <is>
          <t>Q3V2</t>
        </is>
      </c>
      <c r="C53" s="7" t="inlineStr">
        <is>
          <t>TJ</t>
        </is>
      </c>
      <c r="D53" s="13" t="inlineStr">
        <is>
          <t>K3</t>
        </is>
      </c>
      <c r="E53" s="13" t="inlineStr">
        <is>
          <t>VK</t>
        </is>
      </c>
      <c r="F53" s="13" t="inlineStr">
        <is>
          <t>handelsgoederen</t>
        </is>
      </c>
      <c r="G53" s="16" t="n">
        <v>46238</v>
      </c>
      <c r="H53" s="16">
        <f>G53+30</f>
        <v/>
      </c>
      <c r="I53" s="13" t="inlineStr">
        <is>
          <t>2026-013</t>
        </is>
      </c>
      <c r="J53" s="13" t="inlineStr">
        <is>
          <t>Fietsatelier Noor bv</t>
        </is>
      </c>
      <c r="K53" s="13" t="inlineStr">
        <is>
          <t>Bouwbedrijf Janssens &amp; Zonen bv</t>
        </is>
      </c>
      <c r="M53" s="13" t="n"/>
      <c r="N53" s="14">
        <f>SUMIFS('J1 Lijnen'!$J:$J,'J1 Lijnen'!$A:$A,$B53,'J1 Lijnen'!$K:$K,0.21,'J1 Lijnen'!$E:$E,"&lt;&gt;verpakking")</f>
        <v/>
      </c>
      <c r="O53" s="14">
        <f>SUMIFS('J1 Lijnen'!$L:$L,'J1 Lijnen'!$A:$A,$B53,'J1 Lijnen'!$K:$K,0.21)</f>
        <v/>
      </c>
      <c r="P53" s="14">
        <f>SUMIFS('J1 Lijnen'!$J:$J,'J1 Lijnen'!$A:$A,$B53,'J1 Lijnen'!$K:$K,0.06)</f>
        <v/>
      </c>
      <c r="Q53" s="14">
        <f>SUMIFS('J1 Lijnen'!$L:$L,'J1 Lijnen'!$A:$A,$B53,'J1 Lijnen'!$K:$K,0.06)</f>
        <v/>
      </c>
      <c r="R53" s="14">
        <f>SUMIFS('J1 Lijnen'!$J:$J,'J1 Lijnen'!$A:$A,$B53,'J1 Lijnen'!$E:$E,"verpakking")</f>
        <v/>
      </c>
      <c r="S53" s="14">
        <f>-SUMIFS('J1 Lijnen'!$J:$J,'J1 Lijnen'!$A:$A,$B53,'J1 Lijnen'!$E:$E,"financiële korting")</f>
        <v/>
      </c>
      <c r="T53" s="17">
        <f>SUM(N53:S53)</f>
        <v/>
      </c>
      <c r="X53" s="13" t="inlineStr">
        <is>
          <t>U2026-12</t>
        </is>
      </c>
      <c r="Y53" s="14">
        <f>SUMIFS('J1 Journaal'!$K:$K,'J1 Journaal'!$E:$E,$B53)-SUMIFS('J1 Journaal'!$L:$L,'J1 Journaal'!$E:$E,$B53)</f>
        <v/>
      </c>
      <c r="Z53" s="13" t="n"/>
    </row>
    <row r="54">
      <c r="A54" s="12" t="n">
        <v>10</v>
      </c>
      <c r="B54" s="13" t="inlineStr">
        <is>
          <t>Q3CA2</t>
        </is>
      </c>
      <c r="C54" s="7" t="inlineStr">
        <is>
          <t>TJ</t>
        </is>
      </c>
      <c r="D54" s="13" t="inlineStr">
        <is>
          <t>K3</t>
        </is>
      </c>
      <c r="E54" s="13" t="inlineStr">
        <is>
          <t>CN-AK</t>
        </is>
      </c>
      <c r="F54" s="13" t="inlineStr">
        <is>
          <t>retour</t>
        </is>
      </c>
      <c r="G54" s="16" t="n">
        <v>46254</v>
      </c>
      <c r="I54" s="13" t="inlineStr">
        <is>
          <t>HH-CN-26-019</t>
        </is>
      </c>
      <c r="J54" s="13" t="inlineStr">
        <is>
          <t>HelmHuis bv</t>
        </is>
      </c>
      <c r="K54" s="13" t="inlineStr">
        <is>
          <t>Fietsatelier Noor bv</t>
        </is>
      </c>
      <c r="L54" s="13" t="inlineStr">
        <is>
          <t>HH-26-311</t>
        </is>
      </c>
      <c r="M54" s="13" t="inlineStr">
        <is>
          <t>10 helmen zonder veiligheidslabel, teruggestuurd (factuur was al betaald)</t>
        </is>
      </c>
      <c r="N54" s="14">
        <f>SUMIFS('J1 Lijnen'!$J:$J,'J1 Lijnen'!$A:$A,$B54,'J1 Lijnen'!$K:$K,0.21,'J1 Lijnen'!$E:$E,"&lt;&gt;verpakking")</f>
        <v/>
      </c>
      <c r="O54" s="14">
        <f>SUMIFS('J1 Lijnen'!$L:$L,'J1 Lijnen'!$A:$A,$B54,'J1 Lijnen'!$K:$K,0.21)</f>
        <v/>
      </c>
      <c r="P54" s="14">
        <f>SUMIFS('J1 Lijnen'!$J:$J,'J1 Lijnen'!$A:$A,$B54,'J1 Lijnen'!$K:$K,0.06)</f>
        <v/>
      </c>
      <c r="Q54" s="14">
        <f>SUMIFS('J1 Lijnen'!$L:$L,'J1 Lijnen'!$A:$A,$B54,'J1 Lijnen'!$K:$K,0.06)</f>
        <v/>
      </c>
      <c r="R54" s="14">
        <f>SUMIFS('J1 Lijnen'!$J:$J,'J1 Lijnen'!$A:$A,$B54,'J1 Lijnen'!$E:$E,"verpakking")</f>
        <v/>
      </c>
      <c r="S54" s="14">
        <f>-SUMIFS('J1 Lijnen'!$J:$J,'J1 Lijnen'!$A:$A,$B54,'J1 Lijnen'!$E:$E,"financiële korting")</f>
        <v/>
      </c>
      <c r="T54" s="17">
        <f>SUM(N54:S54)</f>
        <v/>
      </c>
      <c r="X54" s="13" t="inlineStr">
        <is>
          <t>U2026-13</t>
        </is>
      </c>
      <c r="Y54" s="14">
        <f>SUMIFS('J1 Journaal'!$K:$K,'J1 Journaal'!$E:$E,$B54)-SUMIFS('J1 Journaal'!$L:$L,'J1 Journaal'!$E:$E,$B54)</f>
        <v/>
      </c>
      <c r="Z54" s="13" t="n"/>
    </row>
    <row r="55">
      <c r="A55" s="12" t="n">
        <v>11</v>
      </c>
      <c r="B55" s="13" t="inlineStr">
        <is>
          <t>Q3V3</t>
        </is>
      </c>
      <c r="C55" s="7" t="inlineStr">
        <is>
          <t>TJ</t>
        </is>
      </c>
      <c r="D55" s="13" t="inlineStr">
        <is>
          <t>K3</t>
        </is>
      </c>
      <c r="E55" s="13" t="inlineStr">
        <is>
          <t>VK</t>
        </is>
      </c>
      <c r="F55" s="13" t="inlineStr">
        <is>
          <t>herstellingen</t>
        </is>
      </c>
      <c r="G55" s="16" t="n">
        <v>46260</v>
      </c>
      <c r="H55" s="16">
        <f>G55+30</f>
        <v/>
      </c>
      <c r="I55" s="13" t="inlineStr">
        <is>
          <t>2026-014</t>
        </is>
      </c>
      <c r="J55" s="13" t="inlineStr">
        <is>
          <t>Fietsatelier Noor bv</t>
        </is>
      </c>
      <c r="K55" s="13" t="inlineStr">
        <is>
          <t>Velocity Deelfietsen bv</t>
        </is>
      </c>
      <c r="M55" s="13" t="n"/>
      <c r="N55" s="14">
        <f>SUMIFS('J1 Lijnen'!$J:$J,'J1 Lijnen'!$A:$A,$B55,'J1 Lijnen'!$K:$K,0.21,'J1 Lijnen'!$E:$E,"&lt;&gt;verpakking")</f>
        <v/>
      </c>
      <c r="O55" s="14">
        <f>SUMIFS('J1 Lijnen'!$L:$L,'J1 Lijnen'!$A:$A,$B55,'J1 Lijnen'!$K:$K,0.21)</f>
        <v/>
      </c>
      <c r="P55" s="14">
        <f>SUMIFS('J1 Lijnen'!$J:$J,'J1 Lijnen'!$A:$A,$B55,'J1 Lijnen'!$K:$K,0.06)</f>
        <v/>
      </c>
      <c r="Q55" s="14">
        <f>SUMIFS('J1 Lijnen'!$L:$L,'J1 Lijnen'!$A:$A,$B55,'J1 Lijnen'!$K:$K,0.06)</f>
        <v/>
      </c>
      <c r="R55" s="14">
        <f>SUMIFS('J1 Lijnen'!$J:$J,'J1 Lijnen'!$A:$A,$B55,'J1 Lijnen'!$E:$E,"verpakking")</f>
        <v/>
      </c>
      <c r="S55" s="14">
        <f>-SUMIFS('J1 Lijnen'!$J:$J,'J1 Lijnen'!$A:$A,$B55,'J1 Lijnen'!$E:$E,"financiële korting")</f>
        <v/>
      </c>
      <c r="T55" s="17">
        <f>SUM(N55:S55)</f>
        <v/>
      </c>
      <c r="X55" s="13" t="inlineStr">
        <is>
          <t>U2026-13</t>
        </is>
      </c>
      <c r="Y55" s="14">
        <f>SUMIFS('J1 Journaal'!$K:$K,'J1 Journaal'!$E:$E,$B55)-SUMIFS('J1 Journaal'!$L:$L,'J1 Journaal'!$E:$E,$B55)</f>
        <v/>
      </c>
      <c r="Z55" s="13" t="n"/>
    </row>
    <row r="56">
      <c r="A56" s="12" t="n">
        <v>1</v>
      </c>
      <c r="B56" s="13" t="inlineStr">
        <is>
          <t>Q4A1</t>
        </is>
      </c>
      <c r="C56" s="8" t="inlineStr">
        <is>
          <t>REMEDIERING</t>
        </is>
      </c>
      <c r="D56" s="13" t="inlineStr">
        <is>
          <t>K4</t>
        </is>
      </c>
      <c r="E56" s="13" t="inlineStr">
        <is>
          <t>AK</t>
        </is>
      </c>
      <c r="F56" s="13" t="inlineStr">
        <is>
          <t>handelsgoederen</t>
        </is>
      </c>
      <c r="G56" s="16" t="n">
        <v>46296</v>
      </c>
      <c r="H56" s="16">
        <f>G56+30</f>
        <v/>
      </c>
      <c r="I56" s="13" t="inlineStr">
        <is>
          <t>2026-1003</t>
        </is>
      </c>
      <c r="J56" s="13" t="inlineStr">
        <is>
          <t>Velomax bv</t>
        </is>
      </c>
      <c r="K56" s="13" t="inlineStr">
        <is>
          <t>Fietsatelier Noor bv</t>
        </is>
      </c>
      <c r="M56" s="13" t="n"/>
      <c r="N56" s="14">
        <f>SUMIFS('J1 Lijnen'!$J:$J,'J1 Lijnen'!$A:$A,$B56,'J1 Lijnen'!$K:$K,0.21,'J1 Lijnen'!$E:$E,"&lt;&gt;verpakking")</f>
        <v/>
      </c>
      <c r="O56" s="14">
        <f>SUMIFS('J1 Lijnen'!$L:$L,'J1 Lijnen'!$A:$A,$B56,'J1 Lijnen'!$K:$K,0.21)</f>
        <v/>
      </c>
      <c r="P56" s="14">
        <f>SUMIFS('J1 Lijnen'!$J:$J,'J1 Lijnen'!$A:$A,$B56,'J1 Lijnen'!$K:$K,0.06)</f>
        <v/>
      </c>
      <c r="Q56" s="14">
        <f>SUMIFS('J1 Lijnen'!$L:$L,'J1 Lijnen'!$A:$A,$B56,'J1 Lijnen'!$K:$K,0.06)</f>
        <v/>
      </c>
      <c r="R56" s="14">
        <f>SUMIFS('J1 Lijnen'!$J:$J,'J1 Lijnen'!$A:$A,$B56,'J1 Lijnen'!$E:$E,"verpakking")</f>
        <v/>
      </c>
      <c r="S56" s="14">
        <f>-SUMIFS('J1 Lijnen'!$J:$J,'J1 Lijnen'!$A:$A,$B56,'J1 Lijnen'!$E:$E,"financiële korting")</f>
        <v/>
      </c>
      <c r="T56" s="17">
        <f>SUM(N56:S56)</f>
        <v/>
      </c>
      <c r="X56" s="13" t="inlineStr">
        <is>
          <t>U2026-14</t>
        </is>
      </c>
      <c r="Y56" s="14">
        <f>SUMIFS('J1 Journaal'!$K:$K,'J1 Journaal'!$E:$E,$B56)-SUMIFS('J1 Journaal'!$L:$L,'J1 Journaal'!$E:$E,$B56)</f>
        <v/>
      </c>
      <c r="Z56" s="13" t="n"/>
    </row>
    <row r="57">
      <c r="A57" s="12" t="n">
        <v>2</v>
      </c>
      <c r="B57" s="13" t="inlineStr">
        <is>
          <t>Q4A2</t>
        </is>
      </c>
      <c r="C57" s="8" t="inlineStr">
        <is>
          <t>REMEDIERING</t>
        </is>
      </c>
      <c r="D57" s="13" t="inlineStr">
        <is>
          <t>K4</t>
        </is>
      </c>
      <c r="E57" s="13" t="inlineStr">
        <is>
          <t>AK</t>
        </is>
      </c>
      <c r="F57" s="13" t="inlineStr">
        <is>
          <t>vaste activa</t>
        </is>
      </c>
      <c r="G57" s="16" t="n">
        <v>46302</v>
      </c>
      <c r="H57" s="16">
        <f>G57+30</f>
        <v/>
      </c>
      <c r="I57" s="13" t="inlineStr">
        <is>
          <t>KT-0981</t>
        </is>
      </c>
      <c r="J57" s="13" t="inlineStr">
        <is>
          <t>Kassatech bv</t>
        </is>
      </c>
      <c r="K57" s="13" t="inlineStr">
        <is>
          <t>Fietsatelier Noor bv</t>
        </is>
      </c>
      <c r="M57" s="13" t="n"/>
      <c r="N57" s="14">
        <f>SUMIFS('J1 Lijnen'!$J:$J,'J1 Lijnen'!$A:$A,$B57,'J1 Lijnen'!$K:$K,0.21,'J1 Lijnen'!$E:$E,"&lt;&gt;verpakking")</f>
        <v/>
      </c>
      <c r="O57" s="14">
        <f>SUMIFS('J1 Lijnen'!$L:$L,'J1 Lijnen'!$A:$A,$B57,'J1 Lijnen'!$K:$K,0.21)</f>
        <v/>
      </c>
      <c r="P57" s="14">
        <f>SUMIFS('J1 Lijnen'!$J:$J,'J1 Lijnen'!$A:$A,$B57,'J1 Lijnen'!$K:$K,0.06)</f>
        <v/>
      </c>
      <c r="Q57" s="14">
        <f>SUMIFS('J1 Lijnen'!$L:$L,'J1 Lijnen'!$A:$A,$B57,'J1 Lijnen'!$K:$K,0.06)</f>
        <v/>
      </c>
      <c r="R57" s="14">
        <f>SUMIFS('J1 Lijnen'!$J:$J,'J1 Lijnen'!$A:$A,$B57,'J1 Lijnen'!$E:$E,"verpakking")</f>
        <v/>
      </c>
      <c r="S57" s="14">
        <f>-SUMIFS('J1 Lijnen'!$J:$J,'J1 Lijnen'!$A:$A,$B57,'J1 Lijnen'!$E:$E,"financiële korting")</f>
        <v/>
      </c>
      <c r="T57" s="17">
        <f>SUM(N57:S57)</f>
        <v/>
      </c>
      <c r="X57" s="13" t="inlineStr">
        <is>
          <t>U2026-14</t>
        </is>
      </c>
      <c r="Y57" s="14">
        <f>SUMIFS('J1 Journaal'!$K:$K,'J1 Journaal'!$E:$E,$B57)-SUMIFS('J1 Journaal'!$L:$L,'J1 Journaal'!$E:$E,$B57)</f>
        <v/>
      </c>
      <c r="Z57" s="13" t="n"/>
    </row>
    <row r="58">
      <c r="A58" s="12" t="n">
        <v>3</v>
      </c>
      <c r="B58" s="13" t="inlineStr">
        <is>
          <t>Q4V1</t>
        </is>
      </c>
      <c r="C58" s="8" t="inlineStr">
        <is>
          <t>REMEDIERING</t>
        </is>
      </c>
      <c r="D58" s="13" t="inlineStr">
        <is>
          <t>K4</t>
        </is>
      </c>
      <c r="E58" s="13" t="inlineStr">
        <is>
          <t>VK</t>
        </is>
      </c>
      <c r="F58" s="13" t="inlineStr">
        <is>
          <t>handelsgoederen</t>
        </is>
      </c>
      <c r="G58" s="16" t="n">
        <v>46304</v>
      </c>
      <c r="H58" s="16">
        <f>G58+30</f>
        <v/>
      </c>
      <c r="I58" s="13" t="inlineStr">
        <is>
          <t>2026-015</t>
        </is>
      </c>
      <c r="J58" s="13" t="inlineStr">
        <is>
          <t>Fietsatelier Noor bv</t>
        </is>
      </c>
      <c r="K58" s="13" t="inlineStr">
        <is>
          <t>Brouwerij Van Acker bv</t>
        </is>
      </c>
      <c r="M58" s="13" t="n"/>
      <c r="N58" s="14">
        <f>SUMIFS('J1 Lijnen'!$J:$J,'J1 Lijnen'!$A:$A,$B58,'J1 Lijnen'!$K:$K,0.21,'J1 Lijnen'!$E:$E,"&lt;&gt;verpakking")</f>
        <v/>
      </c>
      <c r="O58" s="14">
        <f>SUMIFS('J1 Lijnen'!$L:$L,'J1 Lijnen'!$A:$A,$B58,'J1 Lijnen'!$K:$K,0.21)</f>
        <v/>
      </c>
      <c r="P58" s="14">
        <f>SUMIFS('J1 Lijnen'!$J:$J,'J1 Lijnen'!$A:$A,$B58,'J1 Lijnen'!$K:$K,0.06)</f>
        <v/>
      </c>
      <c r="Q58" s="14">
        <f>SUMIFS('J1 Lijnen'!$L:$L,'J1 Lijnen'!$A:$A,$B58,'J1 Lijnen'!$K:$K,0.06)</f>
        <v/>
      </c>
      <c r="R58" s="14">
        <f>SUMIFS('J1 Lijnen'!$J:$J,'J1 Lijnen'!$A:$A,$B58,'J1 Lijnen'!$E:$E,"verpakking")</f>
        <v/>
      </c>
      <c r="S58" s="14">
        <f>-SUMIFS('J1 Lijnen'!$J:$J,'J1 Lijnen'!$A:$A,$B58,'J1 Lijnen'!$E:$E,"financiële korting")</f>
        <v/>
      </c>
      <c r="T58" s="17">
        <f>SUM(N58:S58)</f>
        <v/>
      </c>
      <c r="X58" s="13" t="inlineStr">
        <is>
          <t>U2026-14</t>
        </is>
      </c>
      <c r="Y58" s="14">
        <f>SUMIFS('J1 Journaal'!$K:$K,'J1 Journaal'!$E:$E,$B58)-SUMIFS('J1 Journaal'!$L:$L,'J1 Journaal'!$E:$E,$B58)</f>
        <v/>
      </c>
      <c r="Z58" s="13" t="n"/>
    </row>
    <row r="59">
      <c r="A59" s="12" t="n">
        <v>4</v>
      </c>
      <c r="B59" s="13" t="inlineStr">
        <is>
          <t>Q4CA1</t>
        </is>
      </c>
      <c r="C59" s="8" t="inlineStr">
        <is>
          <t>REMEDIERING</t>
        </is>
      </c>
      <c r="D59" s="13" t="inlineStr">
        <is>
          <t>K4</t>
        </is>
      </c>
      <c r="E59" s="13" t="inlineStr">
        <is>
          <t>CN-AK</t>
        </is>
      </c>
      <c r="F59" s="13" t="inlineStr">
        <is>
          <t>retour</t>
        </is>
      </c>
      <c r="G59" s="16" t="n">
        <v>46305</v>
      </c>
      <c r="I59" s="13" t="inlineStr">
        <is>
          <t>CN-2026-061</t>
        </is>
      </c>
      <c r="J59" s="13" t="inlineStr">
        <is>
          <t>Velomax bv</t>
        </is>
      </c>
      <c r="K59" s="13" t="inlineStr">
        <is>
          <t>Fietsatelier Noor bv</t>
        </is>
      </c>
      <c r="L59" s="13" t="inlineStr">
        <is>
          <t>2026-1003</t>
        </is>
      </c>
      <c r="M59" s="13" t="inlineStr">
        <is>
          <t>1 e-bike met defect display, teruggestuurd</t>
        </is>
      </c>
      <c r="N59" s="14">
        <f>SUMIFS('J1 Lijnen'!$J:$J,'J1 Lijnen'!$A:$A,$B59,'J1 Lijnen'!$K:$K,0.21,'J1 Lijnen'!$E:$E,"&lt;&gt;verpakking")</f>
        <v/>
      </c>
      <c r="O59" s="14">
        <f>SUMIFS('J1 Lijnen'!$L:$L,'J1 Lijnen'!$A:$A,$B59,'J1 Lijnen'!$K:$K,0.21)</f>
        <v/>
      </c>
      <c r="P59" s="14">
        <f>SUMIFS('J1 Lijnen'!$J:$J,'J1 Lijnen'!$A:$A,$B59,'J1 Lijnen'!$K:$K,0.06)</f>
        <v/>
      </c>
      <c r="Q59" s="14">
        <f>SUMIFS('J1 Lijnen'!$L:$L,'J1 Lijnen'!$A:$A,$B59,'J1 Lijnen'!$K:$K,0.06)</f>
        <v/>
      </c>
      <c r="R59" s="14">
        <f>SUMIFS('J1 Lijnen'!$J:$J,'J1 Lijnen'!$A:$A,$B59,'J1 Lijnen'!$E:$E,"verpakking")</f>
        <v/>
      </c>
      <c r="S59" s="14">
        <f>-SUMIFS('J1 Lijnen'!$J:$J,'J1 Lijnen'!$A:$A,$B59,'J1 Lijnen'!$E:$E,"financiële korting")</f>
        <v/>
      </c>
      <c r="T59" s="17">
        <f>SUM(N59:S59)</f>
        <v/>
      </c>
      <c r="X59" s="13" t="inlineStr">
        <is>
          <t>U2026-14</t>
        </is>
      </c>
      <c r="Y59" s="14">
        <f>SUMIFS('J1 Journaal'!$K:$K,'J1 Journaal'!$E:$E,$B59)-SUMIFS('J1 Journaal'!$L:$L,'J1 Journaal'!$E:$E,$B59)</f>
        <v/>
      </c>
      <c r="Z59" s="13" t="n"/>
    </row>
    <row r="60">
      <c r="A60" s="12" t="n">
        <v>5</v>
      </c>
      <c r="B60" s="13" t="inlineStr">
        <is>
          <t>Q4CV1</t>
        </is>
      </c>
      <c r="C60" s="8" t="inlineStr">
        <is>
          <t>REMEDIERING</t>
        </is>
      </c>
      <c r="D60" s="13" t="inlineStr">
        <is>
          <t>K4</t>
        </is>
      </c>
      <c r="E60" s="13" t="inlineStr">
        <is>
          <t>CN-VK</t>
        </is>
      </c>
      <c r="F60" s="13" t="inlineStr">
        <is>
          <t>retour</t>
        </is>
      </c>
      <c r="G60" s="16" t="n">
        <v>46309</v>
      </c>
      <c r="I60" s="13" t="inlineStr">
        <is>
          <t>CN-2026-008</t>
        </is>
      </c>
      <c r="J60" s="13" t="inlineStr">
        <is>
          <t>Fietsatelier Noor bv</t>
        </is>
      </c>
      <c r="K60" s="13" t="inlineStr">
        <is>
          <t>Brouwerij Van Acker bv</t>
        </is>
      </c>
      <c r="L60" s="13" t="inlineStr">
        <is>
          <t>2026-015</t>
        </is>
      </c>
      <c r="M60" s="13" t="inlineStr">
        <is>
          <t>1 fiets te veel geleverd, teruggebracht</t>
        </is>
      </c>
      <c r="N60" s="14">
        <f>SUMIFS('J1 Lijnen'!$J:$J,'J1 Lijnen'!$A:$A,$B60,'J1 Lijnen'!$K:$K,0.21,'J1 Lijnen'!$E:$E,"&lt;&gt;verpakking")</f>
        <v/>
      </c>
      <c r="O60" s="14">
        <f>SUMIFS('J1 Lijnen'!$L:$L,'J1 Lijnen'!$A:$A,$B60,'J1 Lijnen'!$K:$K,0.21)</f>
        <v/>
      </c>
      <c r="P60" s="14">
        <f>SUMIFS('J1 Lijnen'!$J:$J,'J1 Lijnen'!$A:$A,$B60,'J1 Lijnen'!$K:$K,0.06)</f>
        <v/>
      </c>
      <c r="Q60" s="14">
        <f>SUMIFS('J1 Lijnen'!$L:$L,'J1 Lijnen'!$A:$A,$B60,'J1 Lijnen'!$K:$K,0.06)</f>
        <v/>
      </c>
      <c r="R60" s="14">
        <f>SUMIFS('J1 Lijnen'!$J:$J,'J1 Lijnen'!$A:$A,$B60,'J1 Lijnen'!$E:$E,"verpakking")</f>
        <v/>
      </c>
      <c r="S60" s="14">
        <f>-SUMIFS('J1 Lijnen'!$J:$J,'J1 Lijnen'!$A:$A,$B60,'J1 Lijnen'!$E:$E,"financiële korting")</f>
        <v/>
      </c>
      <c r="T60" s="17">
        <f>SUM(N60:S60)</f>
        <v/>
      </c>
      <c r="X60" s="13" t="inlineStr">
        <is>
          <t>U2026-14</t>
        </is>
      </c>
      <c r="Y60" s="14">
        <f>SUMIFS('J1 Journaal'!$K:$K,'J1 Journaal'!$E:$E,$B60)-SUMIFS('J1 Journaal'!$L:$L,'J1 Journaal'!$E:$E,$B60)</f>
        <v/>
      </c>
      <c r="Z60" s="13" t="n"/>
    </row>
    <row r="61">
      <c r="A61" s="12" t="n">
        <v>7</v>
      </c>
      <c r="B61" s="13" t="inlineStr">
        <is>
          <t>Q4V2</t>
        </is>
      </c>
      <c r="C61" s="8" t="inlineStr">
        <is>
          <t>REMEDIERING</t>
        </is>
      </c>
      <c r="D61" s="13" t="inlineStr">
        <is>
          <t>K4</t>
        </is>
      </c>
      <c r="E61" s="13" t="inlineStr">
        <is>
          <t>VK</t>
        </is>
      </c>
      <c r="F61" s="13" t="inlineStr">
        <is>
          <t>handelsgoederen</t>
        </is>
      </c>
      <c r="G61" s="16" t="n">
        <v>46318</v>
      </c>
      <c r="H61" s="16">
        <f>G61+30</f>
        <v/>
      </c>
      <c r="I61" s="13" t="inlineStr">
        <is>
          <t>2026-016</t>
        </is>
      </c>
      <c r="J61" s="13" t="inlineStr">
        <is>
          <t>Fietsatelier Noor bv</t>
        </is>
      </c>
      <c r="K61" s="13" t="inlineStr">
        <is>
          <t>Architectenbureau Dubois srl</t>
        </is>
      </c>
      <c r="M61" s="13" t="n"/>
      <c r="N61" s="14">
        <f>SUMIFS('J1 Lijnen'!$J:$J,'J1 Lijnen'!$A:$A,$B61,'J1 Lijnen'!$K:$K,0.21,'J1 Lijnen'!$E:$E,"&lt;&gt;verpakking")</f>
        <v/>
      </c>
      <c r="O61" s="14">
        <f>SUMIFS('J1 Lijnen'!$L:$L,'J1 Lijnen'!$A:$A,$B61,'J1 Lijnen'!$K:$K,0.21)</f>
        <v/>
      </c>
      <c r="P61" s="14">
        <f>SUMIFS('J1 Lijnen'!$J:$J,'J1 Lijnen'!$A:$A,$B61,'J1 Lijnen'!$K:$K,0.06)</f>
        <v/>
      </c>
      <c r="Q61" s="14">
        <f>SUMIFS('J1 Lijnen'!$L:$L,'J1 Lijnen'!$A:$A,$B61,'J1 Lijnen'!$K:$K,0.06)</f>
        <v/>
      </c>
      <c r="R61" s="14">
        <f>SUMIFS('J1 Lijnen'!$J:$J,'J1 Lijnen'!$A:$A,$B61,'J1 Lijnen'!$E:$E,"verpakking")</f>
        <v/>
      </c>
      <c r="S61" s="14">
        <f>-SUMIFS('J1 Lijnen'!$J:$J,'J1 Lijnen'!$A:$A,$B61,'J1 Lijnen'!$E:$E,"financiële korting")</f>
        <v/>
      </c>
      <c r="T61" s="17">
        <f>SUM(N61:S61)</f>
        <v/>
      </c>
      <c r="X61" s="13" t="inlineStr">
        <is>
          <t>U2026-15</t>
        </is>
      </c>
      <c r="Y61" s="14">
        <f>SUMIFS('J1 Journaal'!$K:$K,'J1 Journaal'!$E:$E,$B61)-SUMIFS('J1 Journaal'!$L:$L,'J1 Journaal'!$E:$E,$B61)</f>
        <v/>
      </c>
      <c r="Z61" s="13" t="n"/>
    </row>
    <row r="62">
      <c r="A62" s="12" t="n">
        <v>8</v>
      </c>
      <c r="B62" s="13" t="inlineStr">
        <is>
          <t>Q4A3</t>
        </is>
      </c>
      <c r="C62" s="8" t="inlineStr">
        <is>
          <t>REMEDIERING</t>
        </is>
      </c>
      <c r="D62" s="13" t="inlineStr">
        <is>
          <t>K4</t>
        </is>
      </c>
      <c r="E62" s="13" t="inlineStr">
        <is>
          <t>AK</t>
        </is>
      </c>
      <c r="F62" s="13" t="inlineStr">
        <is>
          <t>diensten</t>
        </is>
      </c>
      <c r="G62" s="16" t="n">
        <v>46329</v>
      </c>
      <c r="H62" s="16">
        <f>G62+30</f>
        <v/>
      </c>
      <c r="I62" s="13" t="inlineStr">
        <is>
          <t>NL-26-11-2207</t>
        </is>
      </c>
      <c r="J62" s="13" t="inlineStr">
        <is>
          <t>Netlink bv</t>
        </is>
      </c>
      <c r="K62" s="13" t="inlineStr">
        <is>
          <t>Fietsatelier Noor bv</t>
        </is>
      </c>
      <c r="M62" s="13" t="n"/>
      <c r="N62" s="14">
        <f>SUMIFS('J1 Lijnen'!$J:$J,'J1 Lijnen'!$A:$A,$B62,'J1 Lijnen'!$K:$K,0.21,'J1 Lijnen'!$E:$E,"&lt;&gt;verpakking")</f>
        <v/>
      </c>
      <c r="O62" s="14">
        <f>SUMIFS('J1 Lijnen'!$L:$L,'J1 Lijnen'!$A:$A,$B62,'J1 Lijnen'!$K:$K,0.21)</f>
        <v/>
      </c>
      <c r="P62" s="14">
        <f>SUMIFS('J1 Lijnen'!$J:$J,'J1 Lijnen'!$A:$A,$B62,'J1 Lijnen'!$K:$K,0.06)</f>
        <v/>
      </c>
      <c r="Q62" s="14">
        <f>SUMIFS('J1 Lijnen'!$L:$L,'J1 Lijnen'!$A:$A,$B62,'J1 Lijnen'!$K:$K,0.06)</f>
        <v/>
      </c>
      <c r="R62" s="14">
        <f>SUMIFS('J1 Lijnen'!$J:$J,'J1 Lijnen'!$A:$A,$B62,'J1 Lijnen'!$E:$E,"verpakking")</f>
        <v/>
      </c>
      <c r="S62" s="14">
        <f>-SUMIFS('J1 Lijnen'!$J:$J,'J1 Lijnen'!$A:$A,$B62,'J1 Lijnen'!$E:$E,"financiële korting")</f>
        <v/>
      </c>
      <c r="T62" s="17">
        <f>SUM(N62:S62)</f>
        <v/>
      </c>
      <c r="X62" s="13" t="inlineStr">
        <is>
          <t>U2026-15</t>
        </is>
      </c>
      <c r="Y62" s="14">
        <f>SUMIFS('J1 Journaal'!$K:$K,'J1 Journaal'!$E:$E,$B62)-SUMIFS('J1 Journaal'!$L:$L,'J1 Journaal'!$E:$E,$B62)</f>
        <v/>
      </c>
      <c r="Z62" s="13" t="n"/>
    </row>
    <row r="63">
      <c r="A63" s="12" t="n">
        <v>10</v>
      </c>
      <c r="B63" s="13" t="inlineStr">
        <is>
          <t>Q4V3</t>
        </is>
      </c>
      <c r="C63" s="8" t="inlineStr">
        <is>
          <t>REMEDIERING</t>
        </is>
      </c>
      <c r="D63" s="13" t="inlineStr">
        <is>
          <t>K4</t>
        </is>
      </c>
      <c r="E63" s="13" t="inlineStr">
        <is>
          <t>VK</t>
        </is>
      </c>
      <c r="F63" s="13" t="inlineStr">
        <is>
          <t>herstellingen</t>
        </is>
      </c>
      <c r="G63" s="16" t="n">
        <v>46344</v>
      </c>
      <c r="H63" s="16">
        <f>G63+30</f>
        <v/>
      </c>
      <c r="I63" s="13" t="inlineStr">
        <is>
          <t>2026-017</t>
        </is>
      </c>
      <c r="J63" s="13" t="inlineStr">
        <is>
          <t>Fietsatelier Noor bv</t>
        </is>
      </c>
      <c r="K63" s="13" t="inlineStr">
        <is>
          <t>Snelpost bv</t>
        </is>
      </c>
      <c r="M63" s="13" t="n"/>
      <c r="N63" s="14">
        <f>SUMIFS('J1 Lijnen'!$J:$J,'J1 Lijnen'!$A:$A,$B63,'J1 Lijnen'!$K:$K,0.21,'J1 Lijnen'!$E:$E,"&lt;&gt;verpakking")</f>
        <v/>
      </c>
      <c r="O63" s="14">
        <f>SUMIFS('J1 Lijnen'!$L:$L,'J1 Lijnen'!$A:$A,$B63,'J1 Lijnen'!$K:$K,0.21)</f>
        <v/>
      </c>
      <c r="P63" s="14">
        <f>SUMIFS('J1 Lijnen'!$J:$J,'J1 Lijnen'!$A:$A,$B63,'J1 Lijnen'!$K:$K,0.06)</f>
        <v/>
      </c>
      <c r="Q63" s="14">
        <f>SUMIFS('J1 Lijnen'!$L:$L,'J1 Lijnen'!$A:$A,$B63,'J1 Lijnen'!$K:$K,0.06)</f>
        <v/>
      </c>
      <c r="R63" s="14">
        <f>SUMIFS('J1 Lijnen'!$J:$J,'J1 Lijnen'!$A:$A,$B63,'J1 Lijnen'!$E:$E,"verpakking")</f>
        <v/>
      </c>
      <c r="S63" s="14">
        <f>-SUMIFS('J1 Lijnen'!$J:$J,'J1 Lijnen'!$A:$A,$B63,'J1 Lijnen'!$E:$E,"financiële korting")</f>
        <v/>
      </c>
      <c r="T63" s="17">
        <f>SUM(N63:S63)</f>
        <v/>
      </c>
      <c r="X63" s="13" t="inlineStr">
        <is>
          <t>U2026-16</t>
        </is>
      </c>
      <c r="Y63" s="14">
        <f>SUMIFS('J1 Journaal'!$K:$K,'J1 Journaal'!$E:$E,$B63)-SUMIFS('J1 Journaal'!$L:$L,'J1 Journaal'!$E:$E,$B63)</f>
        <v/>
      </c>
      <c r="Z63" s="13" t="n"/>
    </row>
    <row r="64">
      <c r="A64" s="12" t="n">
        <v>11</v>
      </c>
      <c r="B64" s="13" t="inlineStr">
        <is>
          <t>Q4CV2</t>
        </is>
      </c>
      <c r="C64" s="8" t="inlineStr">
        <is>
          <t>REMEDIERING</t>
        </is>
      </c>
      <c r="D64" s="13" t="inlineStr">
        <is>
          <t>K4</t>
        </is>
      </c>
      <c r="E64" s="13" t="inlineStr">
        <is>
          <t>CN-VK</t>
        </is>
      </c>
      <c r="F64" s="13" t="inlineStr">
        <is>
          <t>retour</t>
        </is>
      </c>
      <c r="G64" s="16" t="n">
        <v>46346</v>
      </c>
      <c r="I64" s="13" t="inlineStr">
        <is>
          <t>CN-2026-009</t>
        </is>
      </c>
      <c r="J64" s="13" t="inlineStr">
        <is>
          <t>Fietsatelier Noor bv</t>
        </is>
      </c>
      <c r="K64" s="13" t="inlineStr">
        <is>
          <t>Architectenbureau Dubois srl</t>
        </is>
      </c>
      <c r="L64" s="13" t="inlineStr">
        <is>
          <t>2026-016</t>
        </is>
      </c>
      <c r="M64" s="13" t="inlineStr">
        <is>
          <t>1 e-bike teruggenomen: verkeerde framemaat (factuur was al betaald)</t>
        </is>
      </c>
      <c r="N64" s="14">
        <f>SUMIFS('J1 Lijnen'!$J:$J,'J1 Lijnen'!$A:$A,$B64,'J1 Lijnen'!$K:$K,0.21,'J1 Lijnen'!$E:$E,"&lt;&gt;verpakking")</f>
        <v/>
      </c>
      <c r="O64" s="14">
        <f>SUMIFS('J1 Lijnen'!$L:$L,'J1 Lijnen'!$A:$A,$B64,'J1 Lijnen'!$K:$K,0.21)</f>
        <v/>
      </c>
      <c r="P64" s="14">
        <f>SUMIFS('J1 Lijnen'!$J:$J,'J1 Lijnen'!$A:$A,$B64,'J1 Lijnen'!$K:$K,0.06)</f>
        <v/>
      </c>
      <c r="Q64" s="14">
        <f>SUMIFS('J1 Lijnen'!$L:$L,'J1 Lijnen'!$A:$A,$B64,'J1 Lijnen'!$K:$K,0.06)</f>
        <v/>
      </c>
      <c r="R64" s="14">
        <f>SUMIFS('J1 Lijnen'!$J:$J,'J1 Lijnen'!$A:$A,$B64,'J1 Lijnen'!$E:$E,"verpakking")</f>
        <v/>
      </c>
      <c r="S64" s="14">
        <f>-SUMIFS('J1 Lijnen'!$J:$J,'J1 Lijnen'!$A:$A,$B64,'J1 Lijnen'!$E:$E,"financiële korting")</f>
        <v/>
      </c>
      <c r="T64" s="17">
        <f>SUM(N64:S64)</f>
        <v/>
      </c>
      <c r="X64" s="13" t="inlineStr">
        <is>
          <t>U2026-16</t>
        </is>
      </c>
      <c r="Y64" s="14">
        <f>SUMIFS('J1 Journaal'!$K:$K,'J1 Journaal'!$E:$E,$B64)-SUMIFS('J1 Journaal'!$L:$L,'J1 Journaal'!$E:$E,$B64)</f>
        <v/>
      </c>
      <c r="Z64" s="13" t="n"/>
    </row>
    <row r="65">
      <c r="A65" s="12" t="n">
        <v>13</v>
      </c>
      <c r="B65" s="13" t="inlineStr">
        <is>
          <t>Q4D1</t>
        </is>
      </c>
      <c r="C65" s="8" t="inlineStr">
        <is>
          <t>REMEDIERING</t>
        </is>
      </c>
      <c r="D65" s="13" t="inlineStr">
        <is>
          <t>K4</t>
        </is>
      </c>
      <c r="E65" s="13" t="inlineStr">
        <is>
          <t>DO</t>
        </is>
      </c>
      <c r="F65" s="13" t="inlineStr">
        <is>
          <t>dagontvangst</t>
        </is>
      </c>
      <c r="G65" s="16" t="n">
        <v>46368</v>
      </c>
      <c r="I65" s="13" t="inlineStr">
        <is>
          <t>DO-2026-06</t>
        </is>
      </c>
      <c r="J65" s="13" t="inlineStr">
        <is>
          <t>Fietsatelier Noor bv</t>
        </is>
      </c>
      <c r="K65" s="13" t="inlineStr">
        <is>
          <t>particulieren (kasticket)</t>
        </is>
      </c>
      <c r="M65" s="13" t="inlineStr">
        <is>
          <t>Dagontvangsten winkel (verkopen aan particulieren)</t>
        </is>
      </c>
      <c r="N65" s="14">
        <f>SUMIFS('J1 Lijnen'!$J:$J,'J1 Lijnen'!$A:$A,$B65,'J1 Lijnen'!$K:$K,0.21,'J1 Lijnen'!$E:$E,"&lt;&gt;verpakking")</f>
        <v/>
      </c>
      <c r="O65" s="14">
        <f>SUMIFS('J1 Lijnen'!$L:$L,'J1 Lijnen'!$A:$A,$B65,'J1 Lijnen'!$K:$K,0.21)</f>
        <v/>
      </c>
      <c r="P65" s="14">
        <f>SUMIFS('J1 Lijnen'!$J:$J,'J1 Lijnen'!$A:$A,$B65,'J1 Lijnen'!$K:$K,0.06)</f>
        <v/>
      </c>
      <c r="Q65" s="14">
        <f>SUMIFS('J1 Lijnen'!$L:$L,'J1 Lijnen'!$A:$A,$B65,'J1 Lijnen'!$K:$K,0.06)</f>
        <v/>
      </c>
      <c r="R65" s="14">
        <f>SUMIFS('J1 Lijnen'!$J:$J,'J1 Lijnen'!$A:$A,$B65,'J1 Lijnen'!$E:$E,"verpakking")</f>
        <v/>
      </c>
      <c r="S65" s="14">
        <f>-SUMIFS('J1 Lijnen'!$J:$J,'J1 Lijnen'!$A:$A,$B65,'J1 Lijnen'!$E:$E,"financiële korting")</f>
        <v/>
      </c>
      <c r="T65" s="17">
        <f>SUM(N65:S65)</f>
        <v/>
      </c>
      <c r="V65" s="14">
        <f>T65-W65</f>
        <v/>
      </c>
      <c r="W65" s="14" t="n">
        <v>3000</v>
      </c>
      <c r="X65" s="13" t="inlineStr">
        <is>
          <t>Q4D1K, U2026-17</t>
        </is>
      </c>
      <c r="Y65" s="14">
        <f>SUMIFS('J1 Journaal'!$K:$K,'J1 Journaal'!$E:$E,$B65)-SUMIFS('J1 Journaal'!$L:$L,'J1 Journaal'!$E:$E,$B65)</f>
        <v/>
      </c>
      <c r="Z65" s="13" t="n"/>
    </row>
    <row r="66">
      <c r="A66" s="12" t="n">
        <v>14</v>
      </c>
      <c r="B66" s="13" t="inlineStr">
        <is>
          <t>Q4D1K</t>
        </is>
      </c>
      <c r="C66" s="8" t="inlineStr">
        <is>
          <t>REMEDIERING</t>
        </is>
      </c>
      <c r="D66" s="13" t="inlineStr">
        <is>
          <t>K4</t>
        </is>
      </c>
      <c r="E66" s="13" t="inlineStr">
        <is>
          <t>KAS</t>
        </is>
      </c>
      <c r="F66" s="13" t="inlineStr">
        <is>
          <t>ontvangst</t>
        </is>
      </c>
      <c r="G66" s="16" t="n">
        <v>46368</v>
      </c>
      <c r="I66" s="13" t="inlineStr">
        <is>
          <t>Kasboek DO-2026-06</t>
        </is>
      </c>
      <c r="J66" s="13" t="inlineStr">
        <is>
          <t>Fietsatelier Noor bv</t>
        </is>
      </c>
      <c r="K66" s="13" t="inlineStr">
        <is>
          <t>Fietsatelier Noor bv</t>
        </is>
      </c>
      <c r="L66" s="13" t="inlineStr">
        <is>
          <t>DO-2026-06</t>
        </is>
      </c>
      <c r="M66" s="13" t="inlineStr">
        <is>
          <t>Contant deel van dagontvangst DO-2026-06 (laat de vordering op de klanten dalen)</t>
        </is>
      </c>
      <c r="T66" s="17" t="n">
        <v>661</v>
      </c>
      <c r="V66" s="14" t="n">
        <v>661</v>
      </c>
      <c r="Y66" s="14">
        <f>SUMIFS('J1 Journaal'!$K:$K,'J1 Journaal'!$E:$E,$B66)-SUMIFS('J1 Journaal'!$L:$L,'J1 Journaal'!$E:$E,$B66)</f>
        <v/>
      </c>
    </row>
    <row r="67">
      <c r="A67" s="12" t="n">
        <v>1</v>
      </c>
      <c r="B67" s="13" t="inlineStr">
        <is>
          <t>B1</t>
        </is>
      </c>
      <c r="C67" s="9" t="inlineStr">
        <is>
          <t>BOEKHOUDER</t>
        </is>
      </c>
      <c r="D67" s="13" t="inlineStr">
        <is>
          <t>K4</t>
        </is>
      </c>
      <c r="E67" s="13" t="inlineStr">
        <is>
          <t>AK</t>
        </is>
      </c>
      <c r="F67" s="13" t="inlineStr">
        <is>
          <t>handelsgoederen</t>
        </is>
      </c>
      <c r="G67" s="16" t="n">
        <v>46384</v>
      </c>
      <c r="H67" s="16">
        <f>G67+30</f>
        <v/>
      </c>
      <c r="I67" s="13" t="inlineStr">
        <is>
          <t>2026-1288</t>
        </is>
      </c>
      <c r="J67" s="13" t="inlineStr">
        <is>
          <t>Velomax bv</t>
        </is>
      </c>
      <c r="K67" s="13" t="inlineStr">
        <is>
          <t>Fietsatelier Noor bv</t>
        </is>
      </c>
      <c r="M67" s="13" t="n"/>
      <c r="N67" s="14">
        <f>SUMIFS('J1 Lijnen'!$J:$J,'J1 Lijnen'!$A:$A,$B67,'J1 Lijnen'!$K:$K,0.21,'J1 Lijnen'!$E:$E,"&lt;&gt;verpakking")</f>
        <v/>
      </c>
      <c r="O67" s="14">
        <f>SUMIFS('J1 Lijnen'!$L:$L,'J1 Lijnen'!$A:$A,$B67,'J1 Lijnen'!$K:$K,0.21)</f>
        <v/>
      </c>
      <c r="P67" s="14">
        <f>SUMIFS('J1 Lijnen'!$J:$J,'J1 Lijnen'!$A:$A,$B67,'J1 Lijnen'!$K:$K,0.06)</f>
        <v/>
      </c>
      <c r="Q67" s="14">
        <f>SUMIFS('J1 Lijnen'!$L:$L,'J1 Lijnen'!$A:$A,$B67,'J1 Lijnen'!$K:$K,0.06)</f>
        <v/>
      </c>
      <c r="R67" s="14">
        <f>SUMIFS('J1 Lijnen'!$J:$J,'J1 Lijnen'!$A:$A,$B67,'J1 Lijnen'!$E:$E,"verpakking")</f>
        <v/>
      </c>
      <c r="S67" s="14">
        <f>-SUMIFS('J1 Lijnen'!$J:$J,'J1 Lijnen'!$A:$A,$B67,'J1 Lijnen'!$E:$E,"financiële korting")</f>
        <v/>
      </c>
      <c r="T67" s="17">
        <f>SUM(N67:S67)</f>
        <v/>
      </c>
      <c r="X67" s="13" t="inlineStr">
        <is>
          <t>U2027-01</t>
        </is>
      </c>
      <c r="Y67" s="14">
        <f>SUMIFS('J1 Journaal'!$K:$K,'J1 Journaal'!$E:$E,$B67)-SUMIFS('J1 Journaal'!$L:$L,'J1 Journaal'!$E:$E,$B67)</f>
        <v/>
      </c>
      <c r="Z67" s="13" t="inlineStr">
        <is>
          <t>blijft open op 31/12, betaald in jaar 2</t>
        </is>
      </c>
    </row>
    <row r="68">
      <c r="A68" s="12" t="n">
        <v>2</v>
      </c>
      <c r="B68" s="13" t="inlineStr">
        <is>
          <t>B2</t>
        </is>
      </c>
      <c r="C68" s="9" t="inlineStr">
        <is>
          <t>BOEKHOUDER</t>
        </is>
      </c>
      <c r="D68" s="13" t="inlineStr">
        <is>
          <t>K4</t>
        </is>
      </c>
      <c r="E68" s="13" t="inlineStr">
        <is>
          <t>VK</t>
        </is>
      </c>
      <c r="F68" s="13" t="inlineStr">
        <is>
          <t>handelsgoederen</t>
        </is>
      </c>
      <c r="G68" s="16" t="n">
        <v>46385</v>
      </c>
      <c r="H68" s="16">
        <f>G68+30</f>
        <v/>
      </c>
      <c r="I68" s="13" t="inlineStr">
        <is>
          <t>2026-018</t>
        </is>
      </c>
      <c r="J68" s="13" t="inlineStr">
        <is>
          <t>Fietsatelier Noor bv</t>
        </is>
      </c>
      <c r="K68" s="13" t="inlineStr">
        <is>
          <t>Velocity Deelfietsen bv</t>
        </is>
      </c>
      <c r="M68" s="13" t="n"/>
      <c r="N68" s="14">
        <f>SUMIFS('J1 Lijnen'!$J:$J,'J1 Lijnen'!$A:$A,$B68,'J1 Lijnen'!$K:$K,0.21,'J1 Lijnen'!$E:$E,"&lt;&gt;verpakking")</f>
        <v/>
      </c>
      <c r="O68" s="14">
        <f>SUMIFS('J1 Lijnen'!$L:$L,'J1 Lijnen'!$A:$A,$B68,'J1 Lijnen'!$K:$K,0.21)</f>
        <v/>
      </c>
      <c r="P68" s="14">
        <f>SUMIFS('J1 Lijnen'!$J:$J,'J1 Lijnen'!$A:$A,$B68,'J1 Lijnen'!$K:$K,0.06)</f>
        <v/>
      </c>
      <c r="Q68" s="14">
        <f>SUMIFS('J1 Lijnen'!$L:$L,'J1 Lijnen'!$A:$A,$B68,'J1 Lijnen'!$K:$K,0.06)</f>
        <v/>
      </c>
      <c r="R68" s="14">
        <f>SUMIFS('J1 Lijnen'!$J:$J,'J1 Lijnen'!$A:$A,$B68,'J1 Lijnen'!$E:$E,"verpakking")</f>
        <v/>
      </c>
      <c r="S68" s="14">
        <f>-SUMIFS('J1 Lijnen'!$J:$J,'J1 Lijnen'!$A:$A,$B68,'J1 Lijnen'!$E:$E,"financiële korting")</f>
        <v/>
      </c>
      <c r="T68" s="17">
        <f>SUM(N68:S68)</f>
        <v/>
      </c>
      <c r="X68" s="13" t="inlineStr">
        <is>
          <t>U2027-01</t>
        </is>
      </c>
      <c r="Y68" s="14">
        <f>SUMIFS('J1 Journaal'!$K:$K,'J1 Journaal'!$E:$E,$B68)-SUMIFS('J1 Journaal'!$L:$L,'J1 Journaal'!$E:$E,$B68)</f>
        <v/>
      </c>
      <c r="Z68" s="13" t="inlineStr">
        <is>
          <t>blijft open op 31/12, ontvangen in jaar 2</t>
        </is>
      </c>
    </row>
    <row r="69">
      <c r="A69" s="12" t="n">
        <v>3</v>
      </c>
      <c r="B69" s="13" t="inlineStr">
        <is>
          <t>AF1-1</t>
        </is>
      </c>
      <c r="C69" s="9" t="inlineStr">
        <is>
          <t>BOEKHOUDER</t>
        </is>
      </c>
      <c r="D69" s="13" t="inlineStr">
        <is>
          <t>K4</t>
        </is>
      </c>
      <c r="E69" s="13" t="inlineStr">
        <is>
          <t>MEMO</t>
        </is>
      </c>
      <c r="F69" s="13" t="inlineStr">
        <is>
          <t>btw-verrekening</t>
        </is>
      </c>
      <c r="G69" s="16" t="n">
        <v>46387</v>
      </c>
      <c r="I69" s="13" t="inlineStr">
        <is>
          <t>AF1-1</t>
        </is>
      </c>
      <c r="M69" s="13" t="inlineStr">
        <is>
          <t>Btw-verrekening 2026</t>
        </is>
      </c>
      <c r="Y69" s="14">
        <f>SUMIFS('J1 Journaal'!$K:$K,'J1 Journaal'!$E:$E,$B69)-SUMIFS('J1 Journaal'!$L:$L,'J1 Journaal'!$E:$E,$B69)</f>
        <v/>
      </c>
    </row>
    <row r="70">
      <c r="A70" s="12" t="n">
        <v>4</v>
      </c>
      <c r="B70" s="13" t="inlineStr">
        <is>
          <t>AF1-2</t>
        </is>
      </c>
      <c r="C70" s="9" t="inlineStr">
        <is>
          <t>BOEKHOUDER</t>
        </is>
      </c>
      <c r="D70" s="13" t="inlineStr">
        <is>
          <t>K4</t>
        </is>
      </c>
      <c r="E70" s="13" t="inlineStr">
        <is>
          <t>MEMO</t>
        </is>
      </c>
      <c r="F70" s="13" t="inlineStr">
        <is>
          <t>voorraadwijziging</t>
        </is>
      </c>
      <c r="G70" s="16" t="n">
        <v>46387</v>
      </c>
      <c r="I70" s="13" t="inlineStr">
        <is>
          <t>AF1-2</t>
        </is>
      </c>
      <c r="M70" s="13" t="inlineStr">
        <is>
          <t>Voorraadwijziging 2026 (inventaris 31/12)</t>
        </is>
      </c>
      <c r="Y70" s="14">
        <f>SUMIFS('J1 Journaal'!$K:$K,'J1 Journaal'!$E:$E,$B70)-SUMIFS('J1 Journaal'!$L:$L,'J1 Journaal'!$E:$E,$B70)</f>
        <v/>
      </c>
    </row>
    <row r="71">
      <c r="A71" s="12" t="n">
        <v>5</v>
      </c>
      <c r="B71" s="13" t="inlineStr">
        <is>
          <t>AF1-3</t>
        </is>
      </c>
      <c r="C71" s="9" t="inlineStr">
        <is>
          <t>BOEKHOUDER</t>
        </is>
      </c>
      <c r="D71" s="13" t="inlineStr">
        <is>
          <t>K4</t>
        </is>
      </c>
      <c r="E71" s="13" t="inlineStr">
        <is>
          <t>MEMO</t>
        </is>
      </c>
      <c r="F71" s="13" t="inlineStr">
        <is>
          <t>afschrijvingen</t>
        </is>
      </c>
      <c r="G71" s="16" t="n">
        <v>46387</v>
      </c>
      <c r="I71" s="13" t="inlineStr">
        <is>
          <t>AF1-3</t>
        </is>
      </c>
      <c r="M71" s="13" t="inlineStr">
        <is>
          <t>Afschrijvingen 2026</t>
        </is>
      </c>
      <c r="Y71" s="14">
        <f>SUMIFS('J1 Journaal'!$K:$K,'J1 Journaal'!$E:$E,$B71)-SUMIFS('J1 Journaal'!$L:$L,'J1 Journaal'!$E:$E,$B71)</f>
        <v/>
      </c>
    </row>
    <row r="72">
      <c r="A72" s="12" t="n">
        <v>6</v>
      </c>
      <c r="B72" s="13" t="inlineStr">
        <is>
          <t>AF1-4</t>
        </is>
      </c>
      <c r="C72" s="9" t="inlineStr">
        <is>
          <t>BOEKHOUDER</t>
        </is>
      </c>
      <c r="D72" s="13" t="inlineStr">
        <is>
          <t>K4</t>
        </is>
      </c>
      <c r="E72" s="13" t="inlineStr">
        <is>
          <t>MEMO</t>
        </is>
      </c>
      <c r="F72" s="13" t="inlineStr">
        <is>
          <t>resultaat</t>
        </is>
      </c>
      <c r="G72" s="16" t="n">
        <v>46387</v>
      </c>
      <c r="I72" s="13" t="inlineStr">
        <is>
          <t>AF1-4</t>
        </is>
      </c>
      <c r="M72" s="13" t="inlineStr">
        <is>
          <t>Resultaat 2026 naar overgedragen winst</t>
        </is>
      </c>
      <c r="Y72" s="14">
        <f>SUMIFS('J1 Journaal'!$K:$K,'J1 Journaal'!$E:$E,$B72)-SUMIFS('J1 Journaal'!$L:$L,'J1 Journaal'!$E:$E,$B72)</f>
        <v/>
      </c>
    </row>
  </sheetData>
  <autoFilter ref="A1:Z72"/>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J50"/>
  <sheetViews>
    <sheetView zoomScaleNormal="100" workbookViewId="0">
      <pane ySplit="1" topLeftCell="A2" activePane="bottomLeft" state="frozen"/>
      <selection pane="bottomLeft" activeCell="A1" sqref="A1"/>
    </sheetView>
  </sheetViews>
  <sheetFormatPr baseColWidth="8" defaultColWidth="8.6328125" defaultRowHeight="14.5"/>
  <cols>
    <col width="8" customWidth="1" min="1" max="1"/>
    <col width="11" customWidth="1" min="2" max="2"/>
    <col width="13" customWidth="1" min="3" max="3"/>
    <col width="8" customWidth="1" min="4" max="4"/>
    <col width="11" customWidth="1" min="5" max="5"/>
    <col width="5" customWidth="1" min="6" max="6"/>
    <col width="64" customWidth="1" min="7" max="7"/>
    <col width="22" customWidth="1" min="8" max="8"/>
    <col width="12" customWidth="1" min="9" max="10"/>
  </cols>
  <sheetData>
    <row r="1" ht="30" customHeight="1">
      <c r="A1" s="1" t="inlineStr">
        <is>
          <t>Volgorde in set</t>
        </is>
      </c>
      <c r="B1" s="1" t="inlineStr">
        <is>
          <t>Uittreksel</t>
        </is>
      </c>
      <c r="C1" s="1" t="inlineStr">
        <is>
          <t>Set</t>
        </is>
      </c>
      <c r="D1" s="1" t="inlineStr">
        <is>
          <t>Kwartaal</t>
        </is>
      </c>
      <c r="E1" s="1" t="inlineStr">
        <is>
          <t>Datum</t>
        </is>
      </c>
      <c r="F1" s="1" t="inlineStr">
        <is>
          <t>Lijn</t>
        </is>
      </c>
      <c r="G1" s="1" t="inlineStr">
        <is>
          <t>Omschrijving op het uittreksel</t>
        </is>
      </c>
      <c r="H1" s="1" t="inlineStr">
        <is>
          <t>Verwijst naar (ID)</t>
        </is>
      </c>
      <c r="I1" s="1" t="inlineStr">
        <is>
          <t>Bedrag</t>
        </is>
      </c>
      <c r="J1" s="1" t="inlineStr">
        <is>
          <t>Saldo na lijn</t>
        </is>
      </c>
    </row>
    <row r="2">
      <c r="G2" s="2" t="inlineStr">
        <is>
          <t>Saldo bank bij de start van het jaar</t>
        </is>
      </c>
      <c r="J2" s="17" t="n">
        <v>10500</v>
      </c>
    </row>
    <row r="3">
      <c r="A3" s="12" t="n">
        <v>6</v>
      </c>
      <c r="B3" s="12" t="n">
        <v>1</v>
      </c>
      <c r="C3" s="4" t="inlineStr">
        <is>
          <t>CURSUS</t>
        </is>
      </c>
      <c r="D3" s="13" t="inlineStr">
        <is>
          <t>K1</t>
        </is>
      </c>
      <c r="E3" s="16" t="n">
        <v>46042</v>
      </c>
      <c r="F3" s="12" t="n">
        <v>1</v>
      </c>
      <c r="G3" s="13" t="inlineStr">
        <is>
          <t>Overschrijving naar Velomax bv, factuur 2026-118</t>
        </is>
      </c>
      <c r="H3" s="13" t="inlineStr">
        <is>
          <t>C01</t>
        </is>
      </c>
      <c r="I3" s="14" t="n">
        <v>-4840</v>
      </c>
      <c r="J3" s="14">
        <f>J2+I3</f>
        <v/>
      </c>
    </row>
    <row r="4">
      <c r="A4" s="12" t="n">
        <v>6</v>
      </c>
      <c r="B4" s="12" t="n">
        <v>1</v>
      </c>
      <c r="C4" s="4" t="inlineStr">
        <is>
          <t>CURSUS</t>
        </is>
      </c>
      <c r="D4" s="13" t="inlineStr">
        <is>
          <t>K1</t>
        </is>
      </c>
      <c r="E4" s="16" t="n">
        <v>46042</v>
      </c>
      <c r="F4" s="12" t="n">
        <v>2</v>
      </c>
      <c r="G4" s="13" t="inlineStr">
        <is>
          <t>Overschrijving naar Stroomkracht nv, factuur SK-26-0457</t>
        </is>
      </c>
      <c r="H4" s="13" t="inlineStr">
        <is>
          <t>C02</t>
        </is>
      </c>
      <c r="I4" s="14" t="n">
        <v>-242</v>
      </c>
      <c r="J4" s="14">
        <f>J3+I4</f>
        <v/>
      </c>
    </row>
    <row r="5">
      <c r="A5" s="12" t="n">
        <v>6</v>
      </c>
      <c r="B5" s="12" t="n">
        <v>1</v>
      </c>
      <c r="C5" s="4" t="inlineStr">
        <is>
          <t>CURSUS</t>
        </is>
      </c>
      <c r="D5" s="13" t="inlineStr">
        <is>
          <t>K1</t>
        </is>
      </c>
      <c r="E5" s="16" t="n">
        <v>46042</v>
      </c>
      <c r="F5" s="12" t="n">
        <v>3</v>
      </c>
      <c r="G5" s="13" t="inlineStr">
        <is>
          <t>Overschrijving naar Deprez Werkplaatsinrichting bv, factuur DW-2026-012</t>
        </is>
      </c>
      <c r="H5" s="13" t="inlineStr">
        <is>
          <t>C03</t>
        </is>
      </c>
      <c r="I5" s="14" t="n">
        <v>-1815</v>
      </c>
      <c r="J5" s="17">
        <f>J4+I5</f>
        <v/>
      </c>
    </row>
    <row r="6">
      <c r="A6" s="12" t="n">
        <v>11</v>
      </c>
      <c r="B6" s="12" t="n">
        <v>2</v>
      </c>
      <c r="C6" s="4" t="inlineStr">
        <is>
          <t>CURSUS</t>
        </is>
      </c>
      <c r="D6" s="13" t="inlineStr">
        <is>
          <t>K1</t>
        </is>
      </c>
      <c r="E6" s="16" t="n">
        <v>46050</v>
      </c>
      <c r="F6" s="12" t="n">
        <v>1</v>
      </c>
      <c r="G6" s="13" t="inlineStr">
        <is>
          <t>Overschrijving van Snelpost bv, factuur 2026-001</t>
        </is>
      </c>
      <c r="H6" s="13" t="inlineStr">
        <is>
          <t>C04</t>
        </is>
      </c>
      <c r="I6" s="14" t="n">
        <v>7260</v>
      </c>
      <c r="J6" s="17">
        <f>J5+I6</f>
        <v/>
      </c>
    </row>
    <row r="7">
      <c r="A7" s="12" t="n">
        <v>12</v>
      </c>
      <c r="B7" s="12" t="n">
        <v>3</v>
      </c>
      <c r="C7" s="4" t="inlineStr">
        <is>
          <t>CURSUS</t>
        </is>
      </c>
      <c r="D7" s="13" t="inlineStr">
        <is>
          <t>K1</t>
        </is>
      </c>
      <c r="E7" s="16" t="n">
        <v>46052</v>
      </c>
      <c r="F7" s="12" t="n">
        <v>1</v>
      </c>
      <c r="G7" s="13" t="inlineStr">
        <is>
          <t>Overschrijving van Hotel De Linde bv, factuur 2026-002 - creditnota CN-2026-001</t>
        </is>
      </c>
      <c r="H7" s="13" t="inlineStr">
        <is>
          <t>C05, C06</t>
        </is>
      </c>
      <c r="I7" s="14" t="n">
        <v>2178</v>
      </c>
      <c r="J7" s="14">
        <f>J6+I7</f>
        <v/>
      </c>
    </row>
    <row r="8">
      <c r="A8" s="12" t="n">
        <v>12</v>
      </c>
      <c r="B8" s="12" t="n">
        <v>3</v>
      </c>
      <c r="C8" s="4" t="inlineStr">
        <is>
          <t>CURSUS</t>
        </is>
      </c>
      <c r="D8" s="13" t="inlineStr">
        <is>
          <t>K1</t>
        </is>
      </c>
      <c r="E8" s="16" t="n">
        <v>46052</v>
      </c>
      <c r="F8" s="12" t="n">
        <v>2</v>
      </c>
      <c r="G8" s="13" t="inlineStr">
        <is>
          <t>Terugbetaling door Velomax bv, creditnota CN-2026-007</t>
        </is>
      </c>
      <c r="H8" s="13" t="inlineStr">
        <is>
          <t>C07</t>
        </is>
      </c>
      <c r="I8" s="14" t="n">
        <v>484</v>
      </c>
      <c r="J8" s="14">
        <f>J7+I8</f>
        <v/>
      </c>
    </row>
    <row r="9">
      <c r="A9" s="12" t="n">
        <v>12</v>
      </c>
      <c r="B9" s="12" t="n">
        <v>3</v>
      </c>
      <c r="C9" s="4" t="inlineStr">
        <is>
          <t>CURSUS</t>
        </is>
      </c>
      <c r="D9" s="13" t="inlineStr">
        <is>
          <t>K1</t>
        </is>
      </c>
      <c r="E9" s="16" t="n">
        <v>46052</v>
      </c>
      <c r="F9" s="12" t="n">
        <v>3</v>
      </c>
      <c r="G9" s="13" t="inlineStr">
        <is>
          <t>Bancontact-ontvangsten 24/01/2026</t>
        </is>
      </c>
      <c r="H9" s="13" t="inlineStr">
        <is>
          <t>C08</t>
        </is>
      </c>
      <c r="I9" s="14" t="n">
        <v>1000</v>
      </c>
      <c r="J9" s="17">
        <f>J8+I9</f>
        <v/>
      </c>
    </row>
    <row r="10">
      <c r="A10" s="12" t="n">
        <v>23</v>
      </c>
      <c r="B10" s="12" t="n">
        <v>4</v>
      </c>
      <c r="C10" s="5" t="inlineStr">
        <is>
          <t>VERPLICHT</t>
        </is>
      </c>
      <c r="D10" s="13" t="inlineStr">
        <is>
          <t>K1</t>
        </is>
      </c>
      <c r="E10" s="16" t="n">
        <v>46063</v>
      </c>
      <c r="F10" s="12" t="n">
        <v>1</v>
      </c>
      <c r="G10" s="13" t="inlineStr">
        <is>
          <t>Bancontact-ontvangsten 07/02/2026</t>
        </is>
      </c>
      <c r="H10" s="13" t="inlineStr">
        <is>
          <t>D1</t>
        </is>
      </c>
      <c r="I10" s="14" t="n">
        <v>1500</v>
      </c>
      <c r="J10" s="17">
        <f>J9+I10</f>
        <v/>
      </c>
    </row>
    <row r="11">
      <c r="A11" s="12" t="n">
        <v>24</v>
      </c>
      <c r="B11" s="12" t="n">
        <v>5</v>
      </c>
      <c r="C11" s="5" t="inlineStr">
        <is>
          <t>VERPLICHT</t>
        </is>
      </c>
      <c r="D11" s="13" t="inlineStr">
        <is>
          <t>K1</t>
        </is>
      </c>
      <c r="E11" s="16" t="n">
        <v>46073</v>
      </c>
      <c r="F11" s="12" t="n">
        <v>1</v>
      </c>
      <c r="G11" s="13" t="inlineStr">
        <is>
          <t>Bancontact-ontvangsten 14/02/2026</t>
        </is>
      </c>
      <c r="H11" s="13" t="inlineStr">
        <is>
          <t>D2</t>
        </is>
      </c>
      <c r="I11" s="14" t="n">
        <v>2500</v>
      </c>
      <c r="J11" s="14">
        <f>J10+I11</f>
        <v/>
      </c>
    </row>
    <row r="12">
      <c r="A12" s="12" t="n">
        <v>24</v>
      </c>
      <c r="B12" s="12" t="n">
        <v>5</v>
      </c>
      <c r="C12" s="5" t="inlineStr">
        <is>
          <t>VERPLICHT</t>
        </is>
      </c>
      <c r="D12" s="13" t="inlineStr">
        <is>
          <t>K1</t>
        </is>
      </c>
      <c r="E12" s="16" t="n">
        <v>46073</v>
      </c>
      <c r="F12" s="12" t="n">
        <v>2</v>
      </c>
      <c r="G12" s="13" t="inlineStr">
        <is>
          <t>Overschrijving van Bouwbedrijf Janssens &amp; Zonen bv, factuur 2026-004</t>
        </is>
      </c>
      <c r="H12" s="13" t="inlineStr">
        <is>
          <t>V2</t>
        </is>
      </c>
      <c r="I12" s="14" t="n">
        <v>6292</v>
      </c>
      <c r="J12" s="14">
        <f>J11+I12</f>
        <v/>
      </c>
    </row>
    <row r="13">
      <c r="A13" s="12" t="n">
        <v>24</v>
      </c>
      <c r="B13" s="12" t="n">
        <v>5</v>
      </c>
      <c r="C13" s="5" t="inlineStr">
        <is>
          <t>VERPLICHT</t>
        </is>
      </c>
      <c r="D13" s="13" t="inlineStr">
        <is>
          <t>K1</t>
        </is>
      </c>
      <c r="E13" s="16" t="n">
        <v>46073</v>
      </c>
      <c r="F13" s="12" t="n">
        <v>3</v>
      </c>
      <c r="G13" s="13" t="inlineStr">
        <is>
          <t>Overschrijving naar Spaakwerk bv, factuur SW-1032</t>
        </is>
      </c>
      <c r="H13" s="13" t="inlineStr">
        <is>
          <t>A2</t>
        </is>
      </c>
      <c r="I13" s="14" t="n">
        <v>-484</v>
      </c>
      <c r="J13" s="14">
        <f>J12+I13</f>
        <v/>
      </c>
    </row>
    <row r="14">
      <c r="A14" s="12" t="n">
        <v>24</v>
      </c>
      <c r="B14" s="12" t="n">
        <v>5</v>
      </c>
      <c r="C14" s="5" t="inlineStr">
        <is>
          <t>VERPLICHT</t>
        </is>
      </c>
      <c r="D14" s="13" t="inlineStr">
        <is>
          <t>K1</t>
        </is>
      </c>
      <c r="E14" s="16" t="n">
        <v>46073</v>
      </c>
      <c r="F14" s="12" t="n">
        <v>4</v>
      </c>
      <c r="G14" s="13" t="inlineStr">
        <is>
          <t>Overschrijving naar HelmHuis bv, factuur HH-26-077 - creditnota HH-CN-26-004</t>
        </is>
      </c>
      <c r="H14" s="13" t="inlineStr">
        <is>
          <t>A3, CA2</t>
        </is>
      </c>
      <c r="I14" s="14" t="n">
        <v>-968</v>
      </c>
      <c r="J14" s="17">
        <f>J13+I14</f>
        <v/>
      </c>
    </row>
    <row r="15">
      <c r="A15" s="12" t="n">
        <v>25</v>
      </c>
      <c r="B15" s="12" t="n">
        <v>6</v>
      </c>
      <c r="C15" s="5" t="inlineStr">
        <is>
          <t>VERPLICHT</t>
        </is>
      </c>
      <c r="D15" s="13" t="inlineStr">
        <is>
          <t>K1</t>
        </is>
      </c>
      <c r="E15" s="16" t="n">
        <v>46080</v>
      </c>
      <c r="F15" s="12" t="n">
        <v>1</v>
      </c>
      <c r="G15" s="13" t="inlineStr">
        <is>
          <t>Overschrijving naar Velomax bv, factuur 2026-205 - creditnota CN-2026-015</t>
        </is>
      </c>
      <c r="H15" s="13" t="inlineStr">
        <is>
          <t>A1, CA1</t>
        </is>
      </c>
      <c r="I15" s="14" t="n">
        <v>-16940</v>
      </c>
      <c r="J15" s="14">
        <f>J14+I15</f>
        <v/>
      </c>
    </row>
    <row r="16">
      <c r="A16" s="12" t="n">
        <v>25</v>
      </c>
      <c r="B16" s="12" t="n">
        <v>6</v>
      </c>
      <c r="C16" s="5" t="inlineStr">
        <is>
          <t>VERPLICHT</t>
        </is>
      </c>
      <c r="D16" s="13" t="inlineStr">
        <is>
          <t>K1</t>
        </is>
      </c>
      <c r="E16" s="16" t="n">
        <v>46080</v>
      </c>
      <c r="F16" s="12" t="n">
        <v>2</v>
      </c>
      <c r="G16" s="13" t="inlineStr">
        <is>
          <t>Overschrijving van Velocity Deelfietsen bv, factuur 2026-003 - creditnota CN-2026-002</t>
        </is>
      </c>
      <c r="H16" s="13" t="inlineStr">
        <is>
          <t>V1, CV1</t>
        </is>
      </c>
      <c r="I16" s="14" t="n">
        <v>5082</v>
      </c>
      <c r="J16" s="14">
        <f>J15+I16</f>
        <v/>
      </c>
    </row>
    <row r="17">
      <c r="A17" s="12" t="n">
        <v>25</v>
      </c>
      <c r="B17" s="12" t="n">
        <v>6</v>
      </c>
      <c r="C17" s="5" t="inlineStr">
        <is>
          <t>VERPLICHT</t>
        </is>
      </c>
      <c r="D17" s="13" t="inlineStr">
        <is>
          <t>K1</t>
        </is>
      </c>
      <c r="E17" s="16" t="n">
        <v>46080</v>
      </c>
      <c r="F17" s="12" t="n">
        <v>3</v>
      </c>
      <c r="G17" s="13" t="inlineStr">
        <is>
          <t>Overschrijving van Architectenbureau Dubois srl, factuur 2026-005</t>
        </is>
      </c>
      <c r="H17" s="13" t="inlineStr">
        <is>
          <t>V3</t>
        </is>
      </c>
      <c r="I17" s="14" t="n">
        <v>7260</v>
      </c>
      <c r="J17" s="14">
        <f>J16+I17</f>
        <v/>
      </c>
    </row>
    <row r="18">
      <c r="A18" s="12" t="n">
        <v>25</v>
      </c>
      <c r="B18" s="12" t="n">
        <v>6</v>
      </c>
      <c r="C18" s="5" t="inlineStr">
        <is>
          <t>VERPLICHT</t>
        </is>
      </c>
      <c r="D18" s="13" t="inlineStr">
        <is>
          <t>K1</t>
        </is>
      </c>
      <c r="E18" s="16" t="n">
        <v>46080</v>
      </c>
      <c r="F18" s="12" t="n">
        <v>4</v>
      </c>
      <c r="G18" s="13" t="inlineStr">
        <is>
          <t>Overschrijving naar Drukkerij Peeters bv, factuur DP-2026-031</t>
        </is>
      </c>
      <c r="H18" s="13" t="inlineStr">
        <is>
          <t>A4</t>
        </is>
      </c>
      <c r="I18" s="14" t="n">
        <v>-605</v>
      </c>
      <c r="J18" s="14">
        <f>J17+I18</f>
        <v/>
      </c>
    </row>
    <row r="19">
      <c r="A19" s="12" t="n">
        <v>25</v>
      </c>
      <c r="B19" s="12" t="n">
        <v>6</v>
      </c>
      <c r="C19" s="5" t="inlineStr">
        <is>
          <t>VERPLICHT</t>
        </is>
      </c>
      <c r="D19" s="13" t="inlineStr">
        <is>
          <t>K1</t>
        </is>
      </c>
      <c r="E19" s="16" t="n">
        <v>46080</v>
      </c>
      <c r="F19" s="12" t="n">
        <v>5</v>
      </c>
      <c r="G19" s="13" t="inlineStr">
        <is>
          <t>Overschrijving naar Kassatech bv, factuur KT-0458</t>
        </is>
      </c>
      <c r="H19" s="13" t="inlineStr">
        <is>
          <t>A5</t>
        </is>
      </c>
      <c r="I19" s="14" t="n">
        <v>-1452</v>
      </c>
      <c r="J19" s="14">
        <f>J18+I19</f>
        <v/>
      </c>
    </row>
    <row r="20">
      <c r="A20" s="12" t="n">
        <v>25</v>
      </c>
      <c r="B20" s="12" t="n">
        <v>6</v>
      </c>
      <c r="C20" s="5" t="inlineStr">
        <is>
          <t>VERPLICHT</t>
        </is>
      </c>
      <c r="D20" s="13" t="inlineStr">
        <is>
          <t>K1</t>
        </is>
      </c>
      <c r="E20" s="16" t="n">
        <v>46080</v>
      </c>
      <c r="F20" s="12" t="n">
        <v>6</v>
      </c>
      <c r="G20" s="13" t="inlineStr">
        <is>
          <t>Bancontact-ontvangsten 21/02/2026</t>
        </is>
      </c>
      <c r="H20" s="13" t="inlineStr">
        <is>
          <t>D3</t>
        </is>
      </c>
      <c r="I20" s="14" t="n">
        <v>1000</v>
      </c>
      <c r="J20" s="17">
        <f>J19+I20</f>
        <v/>
      </c>
    </row>
    <row r="21">
      <c r="A21" s="12" t="n">
        <v>26</v>
      </c>
      <c r="B21" s="12" t="n">
        <v>7</v>
      </c>
      <c r="C21" s="5" t="inlineStr">
        <is>
          <t>VERPLICHT</t>
        </is>
      </c>
      <c r="D21" s="13" t="inlineStr">
        <is>
          <t>K1</t>
        </is>
      </c>
      <c r="E21" s="16" t="n">
        <v>46087</v>
      </c>
      <c r="F21" s="12" t="n">
        <v>1</v>
      </c>
      <c r="G21" s="13" t="inlineStr">
        <is>
          <t>Terugbetaling door Spaakwerk bv, creditnota SW-CN-118</t>
        </is>
      </c>
      <c r="H21" s="13" t="inlineStr">
        <is>
          <t>CA3</t>
        </is>
      </c>
      <c r="I21" s="14" t="n">
        <v>121</v>
      </c>
      <c r="J21" s="14">
        <f>J20+I21</f>
        <v/>
      </c>
    </row>
    <row r="22">
      <c r="A22" s="12" t="n">
        <v>26</v>
      </c>
      <c r="B22" s="12" t="n">
        <v>7</v>
      </c>
      <c r="C22" s="5" t="inlineStr">
        <is>
          <t>VERPLICHT</t>
        </is>
      </c>
      <c r="D22" s="13" t="inlineStr">
        <is>
          <t>K1</t>
        </is>
      </c>
      <c r="E22" s="16" t="n">
        <v>46087</v>
      </c>
      <c r="F22" s="12" t="n">
        <v>2</v>
      </c>
      <c r="G22" s="13" t="inlineStr">
        <is>
          <t>Terugbetaling aan Architectenbureau Dubois srl, creditnota CN-2026-004</t>
        </is>
      </c>
      <c r="H22" s="13" t="inlineStr">
        <is>
          <t>CV3</t>
        </is>
      </c>
      <c r="I22" s="14" t="n">
        <v>-2420</v>
      </c>
      <c r="J22" s="14">
        <f>J21+I22</f>
        <v/>
      </c>
    </row>
    <row r="23">
      <c r="A23" s="12" t="n">
        <v>26</v>
      </c>
      <c r="B23" s="12" t="n">
        <v>7</v>
      </c>
      <c r="C23" s="5" t="inlineStr">
        <is>
          <t>VERPLICHT</t>
        </is>
      </c>
      <c r="D23" s="13" t="inlineStr">
        <is>
          <t>K1</t>
        </is>
      </c>
      <c r="E23" s="16" t="n">
        <v>46087</v>
      </c>
      <c r="F23" s="12" t="n">
        <v>3</v>
      </c>
      <c r="G23" s="13" t="inlineStr">
        <is>
          <t>Overschrijving van Snelpost bv, factuur 2026-006</t>
        </is>
      </c>
      <c r="H23" s="13" t="inlineStr">
        <is>
          <t>V4</t>
        </is>
      </c>
      <c r="I23" s="14" t="n">
        <v>636</v>
      </c>
      <c r="J23" s="14">
        <f>J22+I23</f>
        <v/>
      </c>
    </row>
    <row r="24">
      <c r="A24" s="12" t="n">
        <v>26</v>
      </c>
      <c r="B24" s="12" t="n">
        <v>7</v>
      </c>
      <c r="C24" s="5" t="inlineStr">
        <is>
          <t>VERPLICHT</t>
        </is>
      </c>
      <c r="D24" s="13" t="inlineStr">
        <is>
          <t>K1</t>
        </is>
      </c>
      <c r="E24" s="16" t="n">
        <v>46087</v>
      </c>
      <c r="F24" s="12" t="n">
        <v>4</v>
      </c>
      <c r="G24" s="13" t="inlineStr">
        <is>
          <t>Overschrijving van Koffiebar Da Silva, factuur 2026-007 - creditnota CN-2026-003</t>
        </is>
      </c>
      <c r="H24" s="13" t="inlineStr">
        <is>
          <t>V5, CV2</t>
        </is>
      </c>
      <c r="I24" s="14" t="n">
        <v>1573</v>
      </c>
      <c r="J24" s="17">
        <f>J23+I24</f>
        <v/>
      </c>
    </row>
    <row r="25">
      <c r="A25" s="12" t="n">
        <v>8</v>
      </c>
      <c r="B25" s="12" t="n">
        <v>8</v>
      </c>
      <c r="C25" s="6" t="inlineStr">
        <is>
          <t>OEFEN</t>
        </is>
      </c>
      <c r="D25" s="13" t="inlineStr">
        <is>
          <t>K2</t>
        </is>
      </c>
      <c r="E25" s="16" t="n">
        <v>46136</v>
      </c>
      <c r="F25" s="12" t="n">
        <v>1</v>
      </c>
      <c r="G25" s="13" t="inlineStr">
        <is>
          <t>Overschrijving naar Velomax bv, factuur 2026-411 - creditnota CN-2026-029</t>
        </is>
      </c>
      <c r="H25" s="13" t="inlineStr">
        <is>
          <t>Q2A1, Q2CA1</t>
        </is>
      </c>
      <c r="I25" s="14" t="n">
        <v>-11979</v>
      </c>
      <c r="J25" s="14">
        <f>J24+I25</f>
        <v/>
      </c>
    </row>
    <row r="26">
      <c r="A26" s="12" t="n">
        <v>8</v>
      </c>
      <c r="B26" s="12" t="n">
        <v>8</v>
      </c>
      <c r="C26" s="6" t="inlineStr">
        <is>
          <t>OEFEN</t>
        </is>
      </c>
      <c r="D26" s="13" t="inlineStr">
        <is>
          <t>K2</t>
        </is>
      </c>
      <c r="E26" s="16" t="n">
        <v>46136</v>
      </c>
      <c r="F26" s="12" t="n">
        <v>2</v>
      </c>
      <c r="G26" s="13" t="inlineStr">
        <is>
          <t>Overschrijving van Camping De Vlinder bv, factuur 2026-008 - creditnota CN-2026-005</t>
        </is>
      </c>
      <c r="H26" s="13" t="inlineStr">
        <is>
          <t>Q2V1, Q2CV1</t>
        </is>
      </c>
      <c r="I26" s="14" t="n">
        <v>5566</v>
      </c>
      <c r="J26" s="14">
        <f>J25+I26</f>
        <v/>
      </c>
    </row>
    <row r="27">
      <c r="A27" s="12" t="n">
        <v>8</v>
      </c>
      <c r="B27" s="12" t="n">
        <v>8</v>
      </c>
      <c r="C27" s="6" t="inlineStr">
        <is>
          <t>OEFEN</t>
        </is>
      </c>
      <c r="D27" s="13" t="inlineStr">
        <is>
          <t>K2</t>
        </is>
      </c>
      <c r="E27" s="16" t="n">
        <v>46136</v>
      </c>
      <c r="F27" s="12" t="n">
        <v>3</v>
      </c>
      <c r="G27" s="13" t="inlineStr">
        <is>
          <t>Overschrijving naar Stroomkracht nv, factuur SK-26-1290</t>
        </is>
      </c>
      <c r="H27" s="13" t="inlineStr">
        <is>
          <t>Q2A2</t>
        </is>
      </c>
      <c r="I27" s="14" t="n">
        <v>-484</v>
      </c>
      <c r="J27" s="17">
        <f>J26+I27</f>
        <v/>
      </c>
    </row>
    <row r="28">
      <c r="A28" s="12" t="n">
        <v>11</v>
      </c>
      <c r="B28" s="12" t="n">
        <v>9</v>
      </c>
      <c r="C28" s="6" t="inlineStr">
        <is>
          <t>OEFEN</t>
        </is>
      </c>
      <c r="D28" s="13" t="inlineStr">
        <is>
          <t>K2</t>
        </is>
      </c>
      <c r="E28" s="16" t="n">
        <v>46157</v>
      </c>
      <c r="F28" s="12" t="n">
        <v>1</v>
      </c>
      <c r="G28" s="13" t="inlineStr">
        <is>
          <t>Overschrijving van Bytewise bv, factuur 2026-009</t>
        </is>
      </c>
      <c r="H28" s="13" t="inlineStr">
        <is>
          <t>Q2V2</t>
        </is>
      </c>
      <c r="I28" s="14" t="n">
        <v>4961</v>
      </c>
      <c r="J28" s="14">
        <f>J27+I28</f>
        <v/>
      </c>
    </row>
    <row r="29">
      <c r="A29" s="12" t="n">
        <v>11</v>
      </c>
      <c r="B29" s="12" t="n">
        <v>9</v>
      </c>
      <c r="C29" s="6" t="inlineStr">
        <is>
          <t>OEFEN</t>
        </is>
      </c>
      <c r="D29" s="13" t="inlineStr">
        <is>
          <t>K2</t>
        </is>
      </c>
      <c r="E29" s="16" t="n">
        <v>46157</v>
      </c>
      <c r="F29" s="12" t="n">
        <v>2</v>
      </c>
      <c r="G29" s="13" t="inlineStr">
        <is>
          <t>Overschrijving naar Deprez Werkplaatsinrichting bv, factuur DW-2026-087</t>
        </is>
      </c>
      <c r="H29" s="13" t="inlineStr">
        <is>
          <t>Q2A3</t>
        </is>
      </c>
      <c r="I29" s="14" t="n">
        <v>-605</v>
      </c>
      <c r="J29" s="14">
        <f>J28+I29</f>
        <v/>
      </c>
    </row>
    <row r="30">
      <c r="A30" s="12" t="n">
        <v>11</v>
      </c>
      <c r="B30" s="12" t="n">
        <v>9</v>
      </c>
      <c r="C30" s="6" t="inlineStr">
        <is>
          <t>OEFEN</t>
        </is>
      </c>
      <c r="D30" s="13" t="inlineStr">
        <is>
          <t>K2</t>
        </is>
      </c>
      <c r="E30" s="16" t="n">
        <v>46157</v>
      </c>
      <c r="F30" s="12" t="n">
        <v>3</v>
      </c>
      <c r="G30" s="13" t="inlineStr">
        <is>
          <t>Overschrijving naar Spaakwerk bv, factuur SW-1290</t>
        </is>
      </c>
      <c r="H30" s="13" t="inlineStr">
        <is>
          <t>Q2A4</t>
        </is>
      </c>
      <c r="I30" s="14" t="n">
        <v>-1089</v>
      </c>
      <c r="J30" s="17">
        <f>J29+I30</f>
        <v/>
      </c>
    </row>
    <row r="31">
      <c r="A31" s="12" t="n">
        <v>17</v>
      </c>
      <c r="B31" s="12" t="n">
        <v>10</v>
      </c>
      <c r="C31" s="6" t="inlineStr">
        <is>
          <t>OEFEN</t>
        </is>
      </c>
      <c r="D31" s="13" t="inlineStr">
        <is>
          <t>K2</t>
        </is>
      </c>
      <c r="E31" s="16" t="n">
        <v>46183</v>
      </c>
      <c r="F31" s="12" t="n">
        <v>1</v>
      </c>
      <c r="G31" s="13" t="inlineStr">
        <is>
          <t>Overschrijving van Snelpost bv, factuur 2026-010</t>
        </is>
      </c>
      <c r="H31" s="13" t="inlineStr">
        <is>
          <t>Q2V3</t>
        </is>
      </c>
      <c r="I31" s="14" t="n">
        <v>954</v>
      </c>
      <c r="J31" s="14">
        <f>J30+I31</f>
        <v/>
      </c>
    </row>
    <row r="32">
      <c r="A32" s="12" t="n">
        <v>17</v>
      </c>
      <c r="B32" s="12" t="n">
        <v>10</v>
      </c>
      <c r="C32" s="6" t="inlineStr">
        <is>
          <t>OEFEN</t>
        </is>
      </c>
      <c r="D32" s="13" t="inlineStr">
        <is>
          <t>K2</t>
        </is>
      </c>
      <c r="E32" s="16" t="n">
        <v>46183</v>
      </c>
      <c r="F32" s="12" t="n">
        <v>2</v>
      </c>
      <c r="G32" s="13" t="inlineStr">
        <is>
          <t>Terugbetaling door Spaakwerk bv, creditnota SW-CN-171</t>
        </is>
      </c>
      <c r="H32" s="13" t="inlineStr">
        <is>
          <t>Q2CA2</t>
        </is>
      </c>
      <c r="I32" s="14" t="n">
        <v>121</v>
      </c>
      <c r="J32" s="14">
        <f>J31+I32</f>
        <v/>
      </c>
    </row>
    <row r="33">
      <c r="A33" s="12" t="n">
        <v>17</v>
      </c>
      <c r="B33" s="12" t="n">
        <v>10</v>
      </c>
      <c r="C33" s="6" t="inlineStr">
        <is>
          <t>OEFEN</t>
        </is>
      </c>
      <c r="D33" s="13" t="inlineStr">
        <is>
          <t>K2</t>
        </is>
      </c>
      <c r="E33" s="16" t="n">
        <v>46183</v>
      </c>
      <c r="F33" s="12" t="n">
        <v>3</v>
      </c>
      <c r="G33" s="13" t="inlineStr">
        <is>
          <t>Overschrijving van Studio Kowalski bv, factuur 2026-011</t>
        </is>
      </c>
      <c r="H33" s="13" t="inlineStr">
        <is>
          <t>Q2V4</t>
        </is>
      </c>
      <c r="I33" s="14" t="n">
        <v>1573</v>
      </c>
      <c r="J33" s="14">
        <f>J32+I33</f>
        <v/>
      </c>
    </row>
    <row r="34">
      <c r="A34" s="12" t="n">
        <v>17</v>
      </c>
      <c r="B34" s="12" t="n">
        <v>10</v>
      </c>
      <c r="C34" s="6" t="inlineStr">
        <is>
          <t>OEFEN</t>
        </is>
      </c>
      <c r="D34" s="13" t="inlineStr">
        <is>
          <t>K2</t>
        </is>
      </c>
      <c r="E34" s="16" t="n">
        <v>46183</v>
      </c>
      <c r="F34" s="12" t="n">
        <v>4</v>
      </c>
      <c r="G34" s="13" t="inlineStr">
        <is>
          <t>Terugbetaling aan Bytewise bv, creditnota CN-2026-006</t>
        </is>
      </c>
      <c r="H34" s="13" t="inlineStr">
        <is>
          <t>Q2CV2</t>
        </is>
      </c>
      <c r="I34" s="14" t="n">
        <v>-2420</v>
      </c>
      <c r="J34" s="14">
        <f>J33+I34</f>
        <v/>
      </c>
    </row>
    <row r="35">
      <c r="A35" s="12" t="n">
        <v>17</v>
      </c>
      <c r="B35" s="12" t="n">
        <v>10</v>
      </c>
      <c r="C35" s="6" t="inlineStr">
        <is>
          <t>OEFEN</t>
        </is>
      </c>
      <c r="D35" s="13" t="inlineStr">
        <is>
          <t>K2</t>
        </is>
      </c>
      <c r="E35" s="16" t="n">
        <v>46183</v>
      </c>
      <c r="F35" s="12" t="n">
        <v>5</v>
      </c>
      <c r="G35" s="13" t="inlineStr">
        <is>
          <t>Bancontact-ontvangsten 06/06/2026</t>
        </is>
      </c>
      <c r="H35" s="13" t="inlineStr">
        <is>
          <t>Q2D1</t>
        </is>
      </c>
      <c r="I35" s="14" t="n">
        <v>2000</v>
      </c>
      <c r="J35" s="17">
        <f>J34+I35</f>
        <v/>
      </c>
    </row>
    <row r="36">
      <c r="A36" s="12" t="n">
        <v>7</v>
      </c>
      <c r="B36" s="12" t="n">
        <v>11</v>
      </c>
      <c r="C36" s="7" t="inlineStr">
        <is>
          <t>TJ</t>
        </is>
      </c>
      <c r="D36" s="13" t="inlineStr">
        <is>
          <t>K3</t>
        </is>
      </c>
      <c r="E36" s="16" t="n">
        <v>46227</v>
      </c>
      <c r="F36" s="12" t="n">
        <v>1</v>
      </c>
      <c r="G36" s="13" t="inlineStr">
        <is>
          <t>Overschrijving naar Velomax bv, factuur 2026-702 - creditnota CN-2026-044</t>
        </is>
      </c>
      <c r="H36" s="13" t="inlineStr">
        <is>
          <t>Q3A1, Q3CA1</t>
        </is>
      </c>
      <c r="I36" s="14" t="n">
        <v>-11132</v>
      </c>
      <c r="J36" s="14">
        <f>J35+I36</f>
        <v/>
      </c>
    </row>
    <row r="37">
      <c r="A37" s="12" t="n">
        <v>7</v>
      </c>
      <c r="B37" s="12" t="n">
        <v>11</v>
      </c>
      <c r="C37" s="7" t="inlineStr">
        <is>
          <t>TJ</t>
        </is>
      </c>
      <c r="D37" s="13" t="inlineStr">
        <is>
          <t>K3</t>
        </is>
      </c>
      <c r="E37" s="16" t="n">
        <v>46227</v>
      </c>
      <c r="F37" s="12" t="n">
        <v>2</v>
      </c>
      <c r="G37" s="13" t="inlineStr">
        <is>
          <t>Overschrijving naar Boekhoudkantoor Nowak, factuur BN-2026-061</t>
        </is>
      </c>
      <c r="H37" s="13" t="inlineStr">
        <is>
          <t>Q3A2</t>
        </is>
      </c>
      <c r="I37" s="14" t="n">
        <v>-968</v>
      </c>
      <c r="J37" s="14">
        <f>J36+I37</f>
        <v/>
      </c>
    </row>
    <row r="38">
      <c r="A38" s="12" t="n">
        <v>7</v>
      </c>
      <c r="B38" s="12" t="n">
        <v>11</v>
      </c>
      <c r="C38" s="7" t="inlineStr">
        <is>
          <t>TJ</t>
        </is>
      </c>
      <c r="D38" s="13" t="inlineStr">
        <is>
          <t>K3</t>
        </is>
      </c>
      <c r="E38" s="16" t="n">
        <v>46227</v>
      </c>
      <c r="F38" s="12" t="n">
        <v>3</v>
      </c>
      <c r="G38" s="13" t="inlineStr">
        <is>
          <t>Overschrijving van Hotel De Linde bv, factuur 2026-012 - creditnota CN-2026-007</t>
        </is>
      </c>
      <c r="H38" s="13" t="inlineStr">
        <is>
          <t>Q3V1, Q3CV1</t>
        </is>
      </c>
      <c r="I38" s="14" t="n">
        <v>2420</v>
      </c>
      <c r="J38" s="17">
        <f>J37+I38</f>
        <v/>
      </c>
    </row>
    <row r="39">
      <c r="A39" s="12" t="n">
        <v>9</v>
      </c>
      <c r="B39" s="12" t="n">
        <v>12</v>
      </c>
      <c r="C39" s="7" t="inlineStr">
        <is>
          <t>TJ</t>
        </is>
      </c>
      <c r="D39" s="13" t="inlineStr">
        <is>
          <t>K3</t>
        </is>
      </c>
      <c r="E39" s="16" t="n">
        <v>46251</v>
      </c>
      <c r="F39" s="12" t="n">
        <v>1</v>
      </c>
      <c r="G39" s="13" t="inlineStr">
        <is>
          <t>Overschrijving van Bouwbedrijf Janssens &amp; Zonen bv, factuur 2026-013</t>
        </is>
      </c>
      <c r="H39" s="13" t="inlineStr">
        <is>
          <t>Q3V2</t>
        </is>
      </c>
      <c r="I39" s="14" t="n">
        <v>7986</v>
      </c>
      <c r="J39" s="14">
        <f>J38+I39</f>
        <v/>
      </c>
    </row>
    <row r="40">
      <c r="A40" s="12" t="n">
        <v>9</v>
      </c>
      <c r="B40" s="12" t="n">
        <v>12</v>
      </c>
      <c r="C40" s="7" t="inlineStr">
        <is>
          <t>TJ</t>
        </is>
      </c>
      <c r="D40" s="13" t="inlineStr">
        <is>
          <t>K3</t>
        </is>
      </c>
      <c r="E40" s="16" t="n">
        <v>46251</v>
      </c>
      <c r="F40" s="12" t="n">
        <v>2</v>
      </c>
      <c r="G40" s="13" t="inlineStr">
        <is>
          <t>Overschrijving naar HelmHuis bv, factuur HH-26-311</t>
        </is>
      </c>
      <c r="H40" s="13" t="inlineStr">
        <is>
          <t>Q3A3</t>
        </is>
      </c>
      <c r="I40" s="14" t="n">
        <v>-1210</v>
      </c>
      <c r="J40" s="17">
        <f>J39+I40</f>
        <v/>
      </c>
    </row>
    <row r="41">
      <c r="A41" s="12" t="n">
        <v>12</v>
      </c>
      <c r="B41" s="12" t="n">
        <v>13</v>
      </c>
      <c r="C41" s="7" t="inlineStr">
        <is>
          <t>TJ</t>
        </is>
      </c>
      <c r="D41" s="13" t="inlineStr">
        <is>
          <t>K3</t>
        </is>
      </c>
      <c r="E41" s="16" t="n">
        <v>46269</v>
      </c>
      <c r="F41" s="12" t="n">
        <v>1</v>
      </c>
      <c r="G41" s="13" t="inlineStr">
        <is>
          <t>Terugbetaling door HelmHuis bv, creditnota HH-CN-26-019</t>
        </is>
      </c>
      <c r="H41" s="13" t="inlineStr">
        <is>
          <t>Q3CA2</t>
        </is>
      </c>
      <c r="I41" s="14" t="n">
        <v>363</v>
      </c>
      <c r="J41" s="14">
        <f>J40+I41</f>
        <v/>
      </c>
    </row>
    <row r="42">
      <c r="A42" s="12" t="n">
        <v>12</v>
      </c>
      <c r="B42" s="12" t="n">
        <v>13</v>
      </c>
      <c r="C42" s="7" t="inlineStr">
        <is>
          <t>TJ</t>
        </is>
      </c>
      <c r="D42" s="13" t="inlineStr">
        <is>
          <t>K3</t>
        </is>
      </c>
      <c r="E42" s="16" t="n">
        <v>46269</v>
      </c>
      <c r="F42" s="12" t="n">
        <v>2</v>
      </c>
      <c r="G42" s="13" t="inlineStr">
        <is>
          <t>Overschrijving van Velocity Deelfietsen bv, factuur 2026-014</t>
        </is>
      </c>
      <c r="H42" s="13" t="inlineStr">
        <is>
          <t>Q3V3</t>
        </is>
      </c>
      <c r="I42" s="14" t="n">
        <v>1060</v>
      </c>
      <c r="J42" s="17">
        <f>J41+I42</f>
        <v/>
      </c>
    </row>
    <row r="43">
      <c r="A43" s="12" t="n">
        <v>6</v>
      </c>
      <c r="B43" s="12" t="n">
        <v>14</v>
      </c>
      <c r="C43" s="8" t="inlineStr">
        <is>
          <t>REMEDIERING</t>
        </is>
      </c>
      <c r="D43" s="13" t="inlineStr">
        <is>
          <t>K4</t>
        </is>
      </c>
      <c r="E43" s="16" t="n">
        <v>46315</v>
      </c>
      <c r="F43" s="12" t="n">
        <v>1</v>
      </c>
      <c r="G43" s="13" t="inlineStr">
        <is>
          <t>Overschrijving naar Velomax bv, factuur 2026-1003 - creditnota CN-2026-061</t>
        </is>
      </c>
      <c r="H43" s="13" t="inlineStr">
        <is>
          <t>Q4A1, Q4CA1</t>
        </is>
      </c>
      <c r="I43" s="14" t="n">
        <v>-6292</v>
      </c>
      <c r="J43" s="14">
        <f>J42+I43</f>
        <v/>
      </c>
    </row>
    <row r="44">
      <c r="A44" s="12" t="n">
        <v>6</v>
      </c>
      <c r="B44" s="12" t="n">
        <v>14</v>
      </c>
      <c r="C44" s="8" t="inlineStr">
        <is>
          <t>REMEDIERING</t>
        </is>
      </c>
      <c r="D44" s="13" t="inlineStr">
        <is>
          <t>K4</t>
        </is>
      </c>
      <c r="E44" s="16" t="n">
        <v>46315</v>
      </c>
      <c r="F44" s="12" t="n">
        <v>2</v>
      </c>
      <c r="G44" s="13" t="inlineStr">
        <is>
          <t>Overschrijving naar Kassatech bv, factuur KT-0981</t>
        </is>
      </c>
      <c r="H44" s="13" t="inlineStr">
        <is>
          <t>Q4A2</t>
        </is>
      </c>
      <c r="I44" s="14" t="n">
        <v>-1089</v>
      </c>
      <c r="J44" s="14">
        <f>J43+I44</f>
        <v/>
      </c>
    </row>
    <row r="45">
      <c r="A45" s="12" t="n">
        <v>6</v>
      </c>
      <c r="B45" s="12" t="n">
        <v>14</v>
      </c>
      <c r="C45" s="8" t="inlineStr">
        <is>
          <t>REMEDIERING</t>
        </is>
      </c>
      <c r="D45" s="13" t="inlineStr">
        <is>
          <t>K4</t>
        </is>
      </c>
      <c r="E45" s="16" t="n">
        <v>46315</v>
      </c>
      <c r="F45" s="12" t="n">
        <v>3</v>
      </c>
      <c r="G45" s="13" t="inlineStr">
        <is>
          <t>Overschrijving van Brouwerij Van Acker bv, factuur 2026-015 - creditnota CN-2026-008</t>
        </is>
      </c>
      <c r="H45" s="13" t="inlineStr">
        <is>
          <t>Q4V1, Q4CV1</t>
        </is>
      </c>
      <c r="I45" s="14" t="n">
        <v>4477</v>
      </c>
      <c r="J45" s="17">
        <f>J44+I45</f>
        <v/>
      </c>
    </row>
    <row r="46">
      <c r="A46" s="12" t="n">
        <v>9</v>
      </c>
      <c r="B46" s="12" t="n">
        <v>15</v>
      </c>
      <c r="C46" s="8" t="inlineStr">
        <is>
          <t>REMEDIERING</t>
        </is>
      </c>
      <c r="D46" s="13" t="inlineStr">
        <is>
          <t>K4</t>
        </is>
      </c>
      <c r="E46" s="16" t="n">
        <v>46332</v>
      </c>
      <c r="F46" s="12" t="n">
        <v>1</v>
      </c>
      <c r="G46" s="13" t="inlineStr">
        <is>
          <t>Overschrijving van Architectenbureau Dubois srl, factuur 2026-016</t>
        </is>
      </c>
      <c r="H46" s="13" t="inlineStr">
        <is>
          <t>Q4V2</t>
        </is>
      </c>
      <c r="I46" s="14" t="n">
        <v>4840</v>
      </c>
      <c r="J46" s="14">
        <f>J45+I46</f>
        <v/>
      </c>
    </row>
    <row r="47">
      <c r="A47" s="12" t="n">
        <v>9</v>
      </c>
      <c r="B47" s="12" t="n">
        <v>15</v>
      </c>
      <c r="C47" s="8" t="inlineStr">
        <is>
          <t>REMEDIERING</t>
        </is>
      </c>
      <c r="D47" s="13" t="inlineStr">
        <is>
          <t>K4</t>
        </is>
      </c>
      <c r="E47" s="16" t="n">
        <v>46332</v>
      </c>
      <c r="F47" s="12" t="n">
        <v>2</v>
      </c>
      <c r="G47" s="13" t="inlineStr">
        <is>
          <t>Overschrijving naar Netlink bv, factuur NL-26-11-2207</t>
        </is>
      </c>
      <c r="H47" s="13" t="inlineStr">
        <is>
          <t>Q4A3</t>
        </is>
      </c>
      <c r="I47" s="14" t="n">
        <v>-363</v>
      </c>
      <c r="J47" s="17">
        <f>J46+I47</f>
        <v/>
      </c>
    </row>
    <row r="48">
      <c r="A48" s="12" t="n">
        <v>12</v>
      </c>
      <c r="B48" s="12" t="n">
        <v>16</v>
      </c>
      <c r="C48" s="8" t="inlineStr">
        <is>
          <t>REMEDIERING</t>
        </is>
      </c>
      <c r="D48" s="13" t="inlineStr">
        <is>
          <t>K4</t>
        </is>
      </c>
      <c r="E48" s="16" t="n">
        <v>46360</v>
      </c>
      <c r="F48" s="12" t="n">
        <v>1</v>
      </c>
      <c r="G48" s="13" t="inlineStr">
        <is>
          <t>Overschrijving van Snelpost bv, factuur 2026-017</t>
        </is>
      </c>
      <c r="H48" s="13" t="inlineStr">
        <is>
          <t>Q4V3</t>
        </is>
      </c>
      <c r="I48" s="14" t="n">
        <v>1272</v>
      </c>
      <c r="J48" s="14">
        <f>J47+I48</f>
        <v/>
      </c>
    </row>
    <row r="49">
      <c r="A49" s="12" t="n">
        <v>12</v>
      </c>
      <c r="B49" s="12" t="n">
        <v>16</v>
      </c>
      <c r="C49" s="8" t="inlineStr">
        <is>
          <t>REMEDIERING</t>
        </is>
      </c>
      <c r="D49" s="13" t="inlineStr">
        <is>
          <t>K4</t>
        </is>
      </c>
      <c r="E49" s="16" t="n">
        <v>46360</v>
      </c>
      <c r="F49" s="12" t="n">
        <v>2</v>
      </c>
      <c r="G49" s="13" t="inlineStr">
        <is>
          <t>Terugbetaling aan Architectenbureau Dubois srl, creditnota CN-2026-009</t>
        </is>
      </c>
      <c r="H49" s="13" t="inlineStr">
        <is>
          <t>Q4CV2</t>
        </is>
      </c>
      <c r="I49" s="14" t="n">
        <v>-2420</v>
      </c>
      <c r="J49" s="17">
        <f>J48+I49</f>
        <v/>
      </c>
    </row>
    <row r="50">
      <c r="A50" s="12" t="n">
        <v>15</v>
      </c>
      <c r="B50" s="12" t="n">
        <v>17</v>
      </c>
      <c r="C50" s="8" t="inlineStr">
        <is>
          <t>REMEDIERING</t>
        </is>
      </c>
      <c r="D50" s="13" t="inlineStr">
        <is>
          <t>K4</t>
        </is>
      </c>
      <c r="E50" s="16" t="n">
        <v>46372</v>
      </c>
      <c r="F50" s="12" t="n">
        <v>1</v>
      </c>
      <c r="G50" s="13" t="inlineStr">
        <is>
          <t>Bancontact-ontvangsten 12/12/2026</t>
        </is>
      </c>
      <c r="H50" s="13" t="inlineStr">
        <is>
          <t>Q4D1</t>
        </is>
      </c>
      <c r="I50" s="14" t="n">
        <v>3000</v>
      </c>
      <c r="J50" s="17">
        <f>J49+I50</f>
        <v/>
      </c>
    </row>
  </sheetData>
  <autoFilter ref="A1:J50"/>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346"/>
  <sheetViews>
    <sheetView zoomScaleNormal="100" workbookViewId="0">
      <pane ySplit="1" topLeftCell="A2" activePane="bottomLeft" state="frozen"/>
      <selection pane="bottomLeft" activeCell="A1" sqref="A1"/>
    </sheetView>
  </sheetViews>
  <sheetFormatPr baseColWidth="8" defaultColWidth="8.6328125" defaultRowHeight="14.5"/>
  <cols>
    <col width="7" customWidth="1" min="1" max="1"/>
    <col width="11" customWidth="1" min="2" max="2"/>
    <col width="13" customWidth="1" min="3" max="3"/>
    <col width="8" customWidth="1" min="4" max="4"/>
    <col width="10" customWidth="1" min="5" max="5"/>
    <col width="22" customWidth="1" min="6" max="6"/>
    <col width="9" customWidth="1" min="7" max="7"/>
    <col width="40" customWidth="1" min="8" max="8"/>
    <col width="8" customWidth="1" min="9" max="9"/>
    <col width="5" customWidth="1" min="10" max="10"/>
    <col width="12" customWidth="1" min="11" max="12"/>
    <col width="58" customWidth="1" min="13" max="13"/>
    <col width="9" customWidth="1" min="14" max="14"/>
  </cols>
  <sheetData>
    <row r="1" ht="30" customHeight="1">
      <c r="A1" s="1" t="inlineStr">
        <is>
          <t>Volgnr</t>
        </is>
      </c>
      <c r="B1" s="1" t="inlineStr">
        <is>
          <t>Datum</t>
        </is>
      </c>
      <c r="C1" s="1" t="inlineStr">
        <is>
          <t>Set</t>
        </is>
      </c>
      <c r="D1" s="1" t="inlineStr">
        <is>
          <t>Kwartaal</t>
        </is>
      </c>
      <c r="E1" s="1" t="inlineStr">
        <is>
          <t>Document</t>
        </is>
      </c>
      <c r="F1" s="1" t="inlineStr">
        <is>
          <t>Documentnr / uittreksel</t>
        </is>
      </c>
      <c r="G1" s="1" t="inlineStr">
        <is>
          <t>Rekening</t>
        </is>
      </c>
      <c r="H1" s="1" t="inlineStr">
        <is>
          <t>Rekeningnaam</t>
        </is>
      </c>
      <c r="I1" s="1" t="inlineStr">
        <is>
          <t>A/P/K/O</t>
        </is>
      </c>
      <c r="J1" s="1" t="inlineStr">
        <is>
          <t>+/-</t>
        </is>
      </c>
      <c r="K1" s="1" t="inlineStr">
        <is>
          <t>Debet</t>
        </is>
      </c>
      <c r="L1" s="1" t="inlineStr">
        <is>
          <t>Credit</t>
        </is>
      </c>
      <c r="M1" s="1" t="inlineStr">
        <is>
          <t>Redenering</t>
        </is>
      </c>
      <c r="N1" s="1" t="inlineStr">
        <is>
          <t>Afsluiting</t>
        </is>
      </c>
    </row>
    <row r="2">
      <c r="A2" s="12" t="n">
        <v>1</v>
      </c>
      <c r="B2" s="16" t="n">
        <v>46027</v>
      </c>
      <c r="C2" s="4" t="inlineStr">
        <is>
          <t>CURSUS</t>
        </is>
      </c>
      <c r="D2" s="13" t="inlineStr">
        <is>
          <t>K1</t>
        </is>
      </c>
      <c r="E2" s="13" t="inlineStr">
        <is>
          <t>C01</t>
        </is>
      </c>
      <c r="F2" s="13" t="inlineStr">
        <is>
          <t>2026-118</t>
        </is>
      </c>
      <c r="G2" s="13" t="n">
        <v>604000</v>
      </c>
      <c r="H2" s="13">
        <f>INDEX('MAR 2e graad'!$B$2:$B$58,MATCH(G2,'MAR 2e graad'!$A$2:$A$58,0))</f>
        <v/>
      </c>
      <c r="I2" s="13">
        <f>INDEX('MAR 2e graad'!$C$2:$C$58,MATCH(G2,'MAR 2e graad'!$A$2:$A$58,0))</f>
        <v/>
      </c>
      <c r="J2" s="13">
        <f>IF(OR(I2="A",I2="K"),IF(K2&gt;0,"+","-"),IF(L2&gt;0,"+","-"))</f>
        <v/>
      </c>
      <c r="K2" s="14" t="n">
        <v>4000</v>
      </c>
      <c r="L2" s="14" t="n"/>
      <c r="M2" s="13" t="inlineStr">
        <is>
          <t>de kosten voor handelsgoederen stijgen</t>
        </is>
      </c>
      <c r="N2" s="13" t="inlineStr">
        <is>
          <t>nee</t>
        </is>
      </c>
    </row>
    <row r="3">
      <c r="A3" s="12" t="n">
        <v>2</v>
      </c>
      <c r="B3" s="16" t="n">
        <v>46027</v>
      </c>
      <c r="C3" s="4" t="inlineStr">
        <is>
          <t>CURSUS</t>
        </is>
      </c>
      <c r="D3" s="13" t="inlineStr">
        <is>
          <t>K1</t>
        </is>
      </c>
      <c r="E3" s="13" t="inlineStr">
        <is>
          <t>C01</t>
        </is>
      </c>
      <c r="F3" s="13" t="inlineStr">
        <is>
          <t>2026-118</t>
        </is>
      </c>
      <c r="G3" s="13" t="n">
        <v>411100</v>
      </c>
      <c r="H3" s="13">
        <f>INDEX('MAR 2e graad'!$B$2:$B$58,MATCH(G3,'MAR 2e graad'!$A$2:$A$58,0))</f>
        <v/>
      </c>
      <c r="I3" s="13">
        <f>INDEX('MAR 2e graad'!$C$2:$C$58,MATCH(G3,'MAR 2e graad'!$A$2:$A$58,0))</f>
        <v/>
      </c>
      <c r="J3" s="13">
        <f>IF(OR(I3="A",I3="K"),IF(K3&gt;0,"+","-"),IF(L3&gt;0,"+","-"))</f>
        <v/>
      </c>
      <c r="K3" s="14" t="n">
        <v>840</v>
      </c>
      <c r="L3" s="14" t="n"/>
      <c r="M3" s="13" t="inlineStr">
        <is>
          <t>de vordering op de overheid (aftrekbare btw) stijgt</t>
        </is>
      </c>
      <c r="N3" s="13" t="inlineStr">
        <is>
          <t>nee</t>
        </is>
      </c>
    </row>
    <row r="4">
      <c r="A4" s="12" t="n">
        <v>3</v>
      </c>
      <c r="B4" s="16" t="n">
        <v>46027</v>
      </c>
      <c r="C4" s="4" t="inlineStr">
        <is>
          <t>CURSUS</t>
        </is>
      </c>
      <c r="D4" s="13" t="inlineStr">
        <is>
          <t>K1</t>
        </is>
      </c>
      <c r="E4" s="13" t="inlineStr">
        <is>
          <t>C01</t>
        </is>
      </c>
      <c r="F4" s="13" t="inlineStr">
        <is>
          <t>2026-118</t>
        </is>
      </c>
      <c r="G4" s="13" t="n">
        <v>440000</v>
      </c>
      <c r="H4" s="13">
        <f>INDEX('MAR 2e graad'!$B$2:$B$58,MATCH(G4,'MAR 2e graad'!$A$2:$A$58,0))</f>
        <v/>
      </c>
      <c r="I4" s="13">
        <f>INDEX('MAR 2e graad'!$C$2:$C$58,MATCH(G4,'MAR 2e graad'!$A$2:$A$58,0))</f>
        <v/>
      </c>
      <c r="J4" s="13">
        <f>IF(OR(I4="A",I4="K"),IF(K4&gt;0,"+","-"),IF(L4&gt;0,"+","-"))</f>
        <v/>
      </c>
      <c r="K4" s="14" t="n"/>
      <c r="L4" s="14" t="n">
        <v>4840</v>
      </c>
      <c r="M4" s="13" t="inlineStr">
        <is>
          <t>de schuld aan de leverancier stijgt</t>
        </is>
      </c>
      <c r="N4" s="13" t="inlineStr">
        <is>
          <t>nee</t>
        </is>
      </c>
    </row>
    <row r="5">
      <c r="A5" s="12" t="n">
        <v>4</v>
      </c>
      <c r="B5" s="16" t="n">
        <v>46029</v>
      </c>
      <c r="C5" s="4" t="inlineStr">
        <is>
          <t>CURSUS</t>
        </is>
      </c>
      <c r="D5" s="13" t="inlineStr">
        <is>
          <t>K1</t>
        </is>
      </c>
      <c r="E5" s="13" t="inlineStr">
        <is>
          <t>C02</t>
        </is>
      </c>
      <c r="F5" s="13" t="inlineStr">
        <is>
          <t>SK-26-0457</t>
        </is>
      </c>
      <c r="G5" s="13" t="n">
        <v>612700</v>
      </c>
      <c r="H5" s="13">
        <f>INDEX('MAR 2e graad'!$B$2:$B$58,MATCH(G5,'MAR 2e graad'!$A$2:$A$58,0))</f>
        <v/>
      </c>
      <c r="I5" s="13">
        <f>INDEX('MAR 2e graad'!$C$2:$C$58,MATCH(G5,'MAR 2e graad'!$A$2:$A$58,0))</f>
        <v/>
      </c>
      <c r="J5" s="13">
        <f>IF(OR(I5="A",I5="K"),IF(K5&gt;0,"+","-"),IF(L5&gt;0,"+","-"))</f>
        <v/>
      </c>
      <c r="K5" s="14" t="n">
        <v>200</v>
      </c>
      <c r="L5" s="14" t="n"/>
      <c r="M5" s="13" t="inlineStr">
        <is>
          <t>de kosten voor diensten en diverse goederen stijgen</t>
        </is>
      </c>
      <c r="N5" s="13" t="inlineStr">
        <is>
          <t>nee</t>
        </is>
      </c>
    </row>
    <row r="6">
      <c r="A6" s="12" t="n">
        <v>5</v>
      </c>
      <c r="B6" s="16" t="n">
        <v>46029</v>
      </c>
      <c r="C6" s="4" t="inlineStr">
        <is>
          <t>CURSUS</t>
        </is>
      </c>
      <c r="D6" s="13" t="inlineStr">
        <is>
          <t>K1</t>
        </is>
      </c>
      <c r="E6" s="13" t="inlineStr">
        <is>
          <t>C02</t>
        </is>
      </c>
      <c r="F6" s="13" t="inlineStr">
        <is>
          <t>SK-26-0457</t>
        </is>
      </c>
      <c r="G6" s="13" t="n">
        <v>411100</v>
      </c>
      <c r="H6" s="13">
        <f>INDEX('MAR 2e graad'!$B$2:$B$58,MATCH(G6,'MAR 2e graad'!$A$2:$A$58,0))</f>
        <v/>
      </c>
      <c r="I6" s="13">
        <f>INDEX('MAR 2e graad'!$C$2:$C$58,MATCH(G6,'MAR 2e graad'!$A$2:$A$58,0))</f>
        <v/>
      </c>
      <c r="J6" s="13">
        <f>IF(OR(I6="A",I6="K"),IF(K6&gt;0,"+","-"),IF(L6&gt;0,"+","-"))</f>
        <v/>
      </c>
      <c r="K6" s="14" t="n">
        <v>42</v>
      </c>
      <c r="L6" s="14" t="n"/>
      <c r="M6" s="13" t="inlineStr">
        <is>
          <t>de vordering op de overheid (aftrekbare btw) stijgt</t>
        </is>
      </c>
      <c r="N6" s="13" t="inlineStr">
        <is>
          <t>nee</t>
        </is>
      </c>
    </row>
    <row r="7">
      <c r="A7" s="12" t="n">
        <v>6</v>
      </c>
      <c r="B7" s="16" t="n">
        <v>46029</v>
      </c>
      <c r="C7" s="4" t="inlineStr">
        <is>
          <t>CURSUS</t>
        </is>
      </c>
      <c r="D7" s="13" t="inlineStr">
        <is>
          <t>K1</t>
        </is>
      </c>
      <c r="E7" s="13" t="inlineStr">
        <is>
          <t>C02</t>
        </is>
      </c>
      <c r="F7" s="13" t="inlineStr">
        <is>
          <t>SK-26-0457</t>
        </is>
      </c>
      <c r="G7" s="13" t="n">
        <v>440000</v>
      </c>
      <c r="H7" s="13">
        <f>INDEX('MAR 2e graad'!$B$2:$B$58,MATCH(G7,'MAR 2e graad'!$A$2:$A$58,0))</f>
        <v/>
      </c>
      <c r="I7" s="13">
        <f>INDEX('MAR 2e graad'!$C$2:$C$58,MATCH(G7,'MAR 2e graad'!$A$2:$A$58,0))</f>
        <v/>
      </c>
      <c r="J7" s="13">
        <f>IF(OR(I7="A",I7="K"),IF(K7&gt;0,"+","-"),IF(L7&gt;0,"+","-"))</f>
        <v/>
      </c>
      <c r="K7" s="14" t="n"/>
      <c r="L7" s="14" t="n">
        <v>242</v>
      </c>
      <c r="M7" s="13" t="inlineStr">
        <is>
          <t>de schuld aan de leverancier stijgt</t>
        </is>
      </c>
      <c r="N7" s="13" t="inlineStr">
        <is>
          <t>nee</t>
        </is>
      </c>
    </row>
    <row r="8">
      <c r="A8" s="12" t="n">
        <v>7</v>
      </c>
      <c r="B8" s="16" t="n">
        <v>46031</v>
      </c>
      <c r="C8" s="4" t="inlineStr">
        <is>
          <t>CURSUS</t>
        </is>
      </c>
      <c r="D8" s="13" t="inlineStr">
        <is>
          <t>K1</t>
        </is>
      </c>
      <c r="E8" s="13" t="inlineStr">
        <is>
          <t>C03</t>
        </is>
      </c>
      <c r="F8" s="13" t="inlineStr">
        <is>
          <t>DW-2026-012</t>
        </is>
      </c>
      <c r="G8" s="13" t="n">
        <v>230000</v>
      </c>
      <c r="H8" s="13">
        <f>INDEX('MAR 2e graad'!$B$2:$B$58,MATCH(G8,'MAR 2e graad'!$A$2:$A$58,0))</f>
        <v/>
      </c>
      <c r="I8" s="13">
        <f>INDEX('MAR 2e graad'!$C$2:$C$58,MATCH(G8,'MAR 2e graad'!$A$2:$A$58,0))</f>
        <v/>
      </c>
      <c r="J8" s="13">
        <f>IF(OR(I8="A",I8="K"),IF(K8&gt;0,"+","-"),IF(L8&gt;0,"+","-"))</f>
        <v/>
      </c>
      <c r="K8" s="14" t="n">
        <v>1500</v>
      </c>
      <c r="L8" s="14" t="n"/>
      <c r="M8" s="13" t="inlineStr">
        <is>
          <t>het vast actief stijgt</t>
        </is>
      </c>
      <c r="N8" s="13" t="inlineStr">
        <is>
          <t>nee</t>
        </is>
      </c>
    </row>
    <row r="9">
      <c r="A9" s="12" t="n">
        <v>8</v>
      </c>
      <c r="B9" s="16" t="n">
        <v>46031</v>
      </c>
      <c r="C9" s="4" t="inlineStr">
        <is>
          <t>CURSUS</t>
        </is>
      </c>
      <c r="D9" s="13" t="inlineStr">
        <is>
          <t>K1</t>
        </is>
      </c>
      <c r="E9" s="13" t="inlineStr">
        <is>
          <t>C03</t>
        </is>
      </c>
      <c r="F9" s="13" t="inlineStr">
        <is>
          <t>DW-2026-012</t>
        </is>
      </c>
      <c r="G9" s="13" t="n">
        <v>411100</v>
      </c>
      <c r="H9" s="13">
        <f>INDEX('MAR 2e graad'!$B$2:$B$58,MATCH(G9,'MAR 2e graad'!$A$2:$A$58,0))</f>
        <v/>
      </c>
      <c r="I9" s="13">
        <f>INDEX('MAR 2e graad'!$C$2:$C$58,MATCH(G9,'MAR 2e graad'!$A$2:$A$58,0))</f>
        <v/>
      </c>
      <c r="J9" s="13">
        <f>IF(OR(I9="A",I9="K"),IF(K9&gt;0,"+","-"),IF(L9&gt;0,"+","-"))</f>
        <v/>
      </c>
      <c r="K9" s="14" t="n">
        <v>315</v>
      </c>
      <c r="L9" s="14" t="n"/>
      <c r="M9" s="13" t="inlineStr">
        <is>
          <t>de vordering op de overheid (aftrekbare btw) stijgt</t>
        </is>
      </c>
      <c r="N9" s="13" t="inlineStr">
        <is>
          <t>nee</t>
        </is>
      </c>
    </row>
    <row r="10">
      <c r="A10" s="12" t="n">
        <v>9</v>
      </c>
      <c r="B10" s="16" t="n">
        <v>46031</v>
      </c>
      <c r="C10" s="4" t="inlineStr">
        <is>
          <t>CURSUS</t>
        </is>
      </c>
      <c r="D10" s="13" t="inlineStr">
        <is>
          <t>K1</t>
        </is>
      </c>
      <c r="E10" s="13" t="inlineStr">
        <is>
          <t>C03</t>
        </is>
      </c>
      <c r="F10" s="13" t="inlineStr">
        <is>
          <t>DW-2026-012</t>
        </is>
      </c>
      <c r="G10" s="13" t="n">
        <v>440000</v>
      </c>
      <c r="H10" s="13">
        <f>INDEX('MAR 2e graad'!$B$2:$B$58,MATCH(G10,'MAR 2e graad'!$A$2:$A$58,0))</f>
        <v/>
      </c>
      <c r="I10" s="13">
        <f>INDEX('MAR 2e graad'!$C$2:$C$58,MATCH(G10,'MAR 2e graad'!$A$2:$A$58,0))</f>
        <v/>
      </c>
      <c r="J10" s="13">
        <f>IF(OR(I10="A",I10="K"),IF(K10&gt;0,"+","-"),IF(L10&gt;0,"+","-"))</f>
        <v/>
      </c>
      <c r="K10" s="14" t="n"/>
      <c r="L10" s="14" t="n">
        <v>1815</v>
      </c>
      <c r="M10" s="13" t="inlineStr">
        <is>
          <t>de schuld aan de leverancier stijgt</t>
        </is>
      </c>
      <c r="N10" s="13" t="inlineStr">
        <is>
          <t>nee</t>
        </is>
      </c>
    </row>
    <row r="11">
      <c r="A11" s="12" t="n">
        <v>10</v>
      </c>
      <c r="B11" s="16" t="n">
        <v>46036</v>
      </c>
      <c r="C11" s="4" t="inlineStr">
        <is>
          <t>CURSUS</t>
        </is>
      </c>
      <c r="D11" s="13" t="inlineStr">
        <is>
          <t>K1</t>
        </is>
      </c>
      <c r="E11" s="13" t="inlineStr">
        <is>
          <t>C04</t>
        </is>
      </c>
      <c r="F11" s="13" t="inlineStr">
        <is>
          <t>2026-001</t>
        </is>
      </c>
      <c r="G11" s="13" t="n">
        <v>400000</v>
      </c>
      <c r="H11" s="13">
        <f>INDEX('MAR 2e graad'!$B$2:$B$58,MATCH(G11,'MAR 2e graad'!$A$2:$A$58,0))</f>
        <v/>
      </c>
      <c r="I11" s="13">
        <f>INDEX('MAR 2e graad'!$C$2:$C$58,MATCH(G11,'MAR 2e graad'!$A$2:$A$58,0))</f>
        <v/>
      </c>
      <c r="J11" s="13">
        <f>IF(OR(I11="A",I11="K"),IF(K11&gt;0,"+","-"),IF(L11&gt;0,"+","-"))</f>
        <v/>
      </c>
      <c r="K11" s="14" t="n">
        <v>7260</v>
      </c>
      <c r="L11" s="14" t="n"/>
      <c r="M11" s="13" t="inlineStr">
        <is>
          <t>de vordering op de klant stijgt</t>
        </is>
      </c>
      <c r="N11" s="13" t="inlineStr">
        <is>
          <t>nee</t>
        </is>
      </c>
    </row>
    <row r="12">
      <c r="A12" s="12" t="n">
        <v>11</v>
      </c>
      <c r="B12" s="16" t="n">
        <v>46036</v>
      </c>
      <c r="C12" s="4" t="inlineStr">
        <is>
          <t>CURSUS</t>
        </is>
      </c>
      <c r="D12" s="13" t="inlineStr">
        <is>
          <t>K1</t>
        </is>
      </c>
      <c r="E12" s="13" t="inlineStr">
        <is>
          <t>C04</t>
        </is>
      </c>
      <c r="F12" s="13" t="inlineStr">
        <is>
          <t>2026-001</t>
        </is>
      </c>
      <c r="G12" s="13" t="n">
        <v>704000</v>
      </c>
      <c r="H12" s="13">
        <f>INDEX('MAR 2e graad'!$B$2:$B$58,MATCH(G12,'MAR 2e graad'!$A$2:$A$58,0))</f>
        <v/>
      </c>
      <c r="I12" s="13">
        <f>INDEX('MAR 2e graad'!$C$2:$C$58,MATCH(G12,'MAR 2e graad'!$A$2:$A$58,0))</f>
        <v/>
      </c>
      <c r="J12" s="13">
        <f>IF(OR(I12="A",I12="K"),IF(K12&gt;0,"+","-"),IF(L12&gt;0,"+","-"))</f>
        <v/>
      </c>
      <c r="K12" s="14" t="n"/>
      <c r="L12" s="14" t="n">
        <v>6000</v>
      </c>
      <c r="M12" s="13" t="inlineStr">
        <is>
          <t>de omzet stijgt</t>
        </is>
      </c>
      <c r="N12" s="13" t="inlineStr">
        <is>
          <t>nee</t>
        </is>
      </c>
    </row>
    <row r="13">
      <c r="A13" s="12" t="n">
        <v>12</v>
      </c>
      <c r="B13" s="16" t="n">
        <v>46036</v>
      </c>
      <c r="C13" s="4" t="inlineStr">
        <is>
          <t>CURSUS</t>
        </is>
      </c>
      <c r="D13" s="13" t="inlineStr">
        <is>
          <t>K1</t>
        </is>
      </c>
      <c r="E13" s="13" t="inlineStr">
        <is>
          <t>C04</t>
        </is>
      </c>
      <c r="F13" s="13" t="inlineStr">
        <is>
          <t>2026-001</t>
        </is>
      </c>
      <c r="G13" s="13" t="n">
        <v>451100</v>
      </c>
      <c r="H13" s="13">
        <f>INDEX('MAR 2e graad'!$B$2:$B$58,MATCH(G13,'MAR 2e graad'!$A$2:$A$58,0))</f>
        <v/>
      </c>
      <c r="I13" s="13">
        <f>INDEX('MAR 2e graad'!$C$2:$C$58,MATCH(G13,'MAR 2e graad'!$A$2:$A$58,0))</f>
        <v/>
      </c>
      <c r="J13" s="13">
        <f>IF(OR(I13="A",I13="K"),IF(K13&gt;0,"+","-"),IF(L13&gt;0,"+","-"))</f>
        <v/>
      </c>
      <c r="K13" s="14" t="n"/>
      <c r="L13" s="14" t="n">
        <v>1260</v>
      </c>
      <c r="M13" s="13" t="inlineStr">
        <is>
          <t>de schuld aan de overheid (verschuldigde btw) stijgt</t>
        </is>
      </c>
      <c r="N13" s="13" t="inlineStr">
        <is>
          <t>nee</t>
        </is>
      </c>
    </row>
    <row r="14">
      <c r="A14" s="12" t="n">
        <v>13</v>
      </c>
      <c r="B14" s="16" t="n">
        <v>46041</v>
      </c>
      <c r="C14" s="4" t="inlineStr">
        <is>
          <t>CURSUS</t>
        </is>
      </c>
      <c r="D14" s="13" t="inlineStr">
        <is>
          <t>K1</t>
        </is>
      </c>
      <c r="E14" s="13" t="inlineStr">
        <is>
          <t>C05</t>
        </is>
      </c>
      <c r="F14" s="13" t="inlineStr">
        <is>
          <t>2026-002</t>
        </is>
      </c>
      <c r="G14" s="13" t="n">
        <v>400000</v>
      </c>
      <c r="H14" s="13">
        <f>INDEX('MAR 2e graad'!$B$2:$B$58,MATCH(G14,'MAR 2e graad'!$A$2:$A$58,0))</f>
        <v/>
      </c>
      <c r="I14" s="13">
        <f>INDEX('MAR 2e graad'!$C$2:$C$58,MATCH(G14,'MAR 2e graad'!$A$2:$A$58,0))</f>
        <v/>
      </c>
      <c r="J14" s="13">
        <f>IF(OR(I14="A",I14="K"),IF(K14&gt;0,"+","-"),IF(L14&gt;0,"+","-"))</f>
        <v/>
      </c>
      <c r="K14" s="14" t="n">
        <v>2904</v>
      </c>
      <c r="L14" s="14" t="n"/>
      <c r="M14" s="13" t="inlineStr">
        <is>
          <t>de vordering op de klant stijgt</t>
        </is>
      </c>
      <c r="N14" s="13" t="inlineStr">
        <is>
          <t>nee</t>
        </is>
      </c>
    </row>
    <row r="15">
      <c r="A15" s="12" t="n">
        <v>14</v>
      </c>
      <c r="B15" s="16" t="n">
        <v>46041</v>
      </c>
      <c r="C15" s="4" t="inlineStr">
        <is>
          <t>CURSUS</t>
        </is>
      </c>
      <c r="D15" s="13" t="inlineStr">
        <is>
          <t>K1</t>
        </is>
      </c>
      <c r="E15" s="13" t="inlineStr">
        <is>
          <t>C05</t>
        </is>
      </c>
      <c r="F15" s="13" t="inlineStr">
        <is>
          <t>2026-002</t>
        </is>
      </c>
      <c r="G15" s="13" t="n">
        <v>704000</v>
      </c>
      <c r="H15" s="13">
        <f>INDEX('MAR 2e graad'!$B$2:$B$58,MATCH(G15,'MAR 2e graad'!$A$2:$A$58,0))</f>
        <v/>
      </c>
      <c r="I15" s="13">
        <f>INDEX('MAR 2e graad'!$C$2:$C$58,MATCH(G15,'MAR 2e graad'!$A$2:$A$58,0))</f>
        <v/>
      </c>
      <c r="J15" s="13">
        <f>IF(OR(I15="A",I15="K"),IF(K15&gt;0,"+","-"),IF(L15&gt;0,"+","-"))</f>
        <v/>
      </c>
      <c r="K15" s="14" t="n"/>
      <c r="L15" s="14" t="n">
        <v>2400</v>
      </c>
      <c r="M15" s="13" t="inlineStr">
        <is>
          <t>de omzet stijgt</t>
        </is>
      </c>
      <c r="N15" s="13" t="inlineStr">
        <is>
          <t>nee</t>
        </is>
      </c>
    </row>
    <row r="16">
      <c r="A16" s="12" t="n">
        <v>15</v>
      </c>
      <c r="B16" s="16" t="n">
        <v>46041</v>
      </c>
      <c r="C16" s="4" t="inlineStr">
        <is>
          <t>CURSUS</t>
        </is>
      </c>
      <c r="D16" s="13" t="inlineStr">
        <is>
          <t>K1</t>
        </is>
      </c>
      <c r="E16" s="13" t="inlineStr">
        <is>
          <t>C05</t>
        </is>
      </c>
      <c r="F16" s="13" t="inlineStr">
        <is>
          <t>2026-002</t>
        </is>
      </c>
      <c r="G16" s="13" t="n">
        <v>451100</v>
      </c>
      <c r="H16" s="13">
        <f>INDEX('MAR 2e graad'!$B$2:$B$58,MATCH(G16,'MAR 2e graad'!$A$2:$A$58,0))</f>
        <v/>
      </c>
      <c r="I16" s="13">
        <f>INDEX('MAR 2e graad'!$C$2:$C$58,MATCH(G16,'MAR 2e graad'!$A$2:$A$58,0))</f>
        <v/>
      </c>
      <c r="J16" s="13">
        <f>IF(OR(I16="A",I16="K"),IF(K16&gt;0,"+","-"),IF(L16&gt;0,"+","-"))</f>
        <v/>
      </c>
      <c r="K16" s="14" t="n"/>
      <c r="L16" s="14" t="n">
        <v>504</v>
      </c>
      <c r="M16" s="13" t="inlineStr">
        <is>
          <t>de schuld aan de overheid (verschuldigde btw) stijgt</t>
        </is>
      </c>
      <c r="N16" s="13" t="inlineStr">
        <is>
          <t>nee</t>
        </is>
      </c>
    </row>
    <row r="17">
      <c r="A17" s="12" t="n">
        <v>16</v>
      </c>
      <c r="B17" s="16" t="n">
        <v>46042</v>
      </c>
      <c r="C17" s="4" t="inlineStr">
        <is>
          <t>CURSUS</t>
        </is>
      </c>
      <c r="D17" s="13" t="inlineStr">
        <is>
          <t>K1</t>
        </is>
      </c>
      <c r="E17" s="13" t="inlineStr">
        <is>
          <t>U2026-01/1</t>
        </is>
      </c>
      <c r="F17" s="13" t="inlineStr">
        <is>
          <t>uittreksel U2026-01/1</t>
        </is>
      </c>
      <c r="G17" s="13" t="n">
        <v>440000</v>
      </c>
      <c r="H17" s="13">
        <f>INDEX('MAR 2e graad'!$B$2:$B$58,MATCH(G17,'MAR 2e graad'!$A$2:$A$58,0))</f>
        <v/>
      </c>
      <c r="I17" s="13">
        <f>INDEX('MAR 2e graad'!$C$2:$C$58,MATCH(G17,'MAR 2e graad'!$A$2:$A$58,0))</f>
        <v/>
      </c>
      <c r="J17" s="13">
        <f>IF(OR(I17="A",I17="K"),IF(K17&gt;0,"+","-"),IF(L17&gt;0,"+","-"))</f>
        <v/>
      </c>
      <c r="K17" s="14" t="n">
        <v>4840</v>
      </c>
      <c r="L17" s="14" t="n"/>
      <c r="M17" s="13" t="inlineStr">
        <is>
          <t>de schuld aan de leverancier daalt</t>
        </is>
      </c>
      <c r="N17" s="13" t="inlineStr">
        <is>
          <t>nee</t>
        </is>
      </c>
    </row>
    <row r="18">
      <c r="A18" s="12" t="n">
        <v>17</v>
      </c>
      <c r="B18" s="16" t="n">
        <v>46042</v>
      </c>
      <c r="C18" s="4" t="inlineStr">
        <is>
          <t>CURSUS</t>
        </is>
      </c>
      <c r="D18" s="13" t="inlineStr">
        <is>
          <t>K1</t>
        </is>
      </c>
      <c r="E18" s="13" t="inlineStr">
        <is>
          <t>U2026-01/1</t>
        </is>
      </c>
      <c r="F18" s="13" t="inlineStr">
        <is>
          <t>uittreksel U2026-01/1</t>
        </is>
      </c>
      <c r="G18" s="13" t="n">
        <v>550000</v>
      </c>
      <c r="H18" s="13">
        <f>INDEX('MAR 2e graad'!$B$2:$B$58,MATCH(G18,'MAR 2e graad'!$A$2:$A$58,0))</f>
        <v/>
      </c>
      <c r="I18" s="13">
        <f>INDEX('MAR 2e graad'!$C$2:$C$58,MATCH(G18,'MAR 2e graad'!$A$2:$A$58,0))</f>
        <v/>
      </c>
      <c r="J18" s="13">
        <f>IF(OR(I18="A",I18="K"),IF(K18&gt;0,"+","-"),IF(L18&gt;0,"+","-"))</f>
        <v/>
      </c>
      <c r="K18" s="14" t="n"/>
      <c r="L18" s="14" t="n">
        <v>4840</v>
      </c>
      <c r="M18" s="13" t="inlineStr">
        <is>
          <t>de bank daalt</t>
        </is>
      </c>
      <c r="N18" s="13" t="inlineStr">
        <is>
          <t>nee</t>
        </is>
      </c>
    </row>
    <row r="19">
      <c r="A19" s="12" t="n">
        <v>18</v>
      </c>
      <c r="B19" s="16" t="n">
        <v>46042</v>
      </c>
      <c r="C19" s="4" t="inlineStr">
        <is>
          <t>CURSUS</t>
        </is>
      </c>
      <c r="D19" s="13" t="inlineStr">
        <is>
          <t>K1</t>
        </is>
      </c>
      <c r="E19" s="13" t="inlineStr">
        <is>
          <t>U2026-01/2</t>
        </is>
      </c>
      <c r="F19" s="13" t="inlineStr">
        <is>
          <t>uittreksel U2026-01/2</t>
        </is>
      </c>
      <c r="G19" s="13" t="n">
        <v>440000</v>
      </c>
      <c r="H19" s="13">
        <f>INDEX('MAR 2e graad'!$B$2:$B$58,MATCH(G19,'MAR 2e graad'!$A$2:$A$58,0))</f>
        <v/>
      </c>
      <c r="I19" s="13">
        <f>INDEX('MAR 2e graad'!$C$2:$C$58,MATCH(G19,'MAR 2e graad'!$A$2:$A$58,0))</f>
        <v/>
      </c>
      <c r="J19" s="13">
        <f>IF(OR(I19="A",I19="K"),IF(K19&gt;0,"+","-"),IF(L19&gt;0,"+","-"))</f>
        <v/>
      </c>
      <c r="K19" s="14" t="n">
        <v>242</v>
      </c>
      <c r="L19" s="14" t="n"/>
      <c r="M19" s="13" t="inlineStr">
        <is>
          <t>de schuld aan de leverancier daalt</t>
        </is>
      </c>
      <c r="N19" s="13" t="inlineStr">
        <is>
          <t>nee</t>
        </is>
      </c>
    </row>
    <row r="20">
      <c r="A20" s="12" t="n">
        <v>19</v>
      </c>
      <c r="B20" s="16" t="n">
        <v>46042</v>
      </c>
      <c r="C20" s="4" t="inlineStr">
        <is>
          <t>CURSUS</t>
        </is>
      </c>
      <c r="D20" s="13" t="inlineStr">
        <is>
          <t>K1</t>
        </is>
      </c>
      <c r="E20" s="13" t="inlineStr">
        <is>
          <t>U2026-01/2</t>
        </is>
      </c>
      <c r="F20" s="13" t="inlineStr">
        <is>
          <t>uittreksel U2026-01/2</t>
        </is>
      </c>
      <c r="G20" s="13" t="n">
        <v>550000</v>
      </c>
      <c r="H20" s="13">
        <f>INDEX('MAR 2e graad'!$B$2:$B$58,MATCH(G20,'MAR 2e graad'!$A$2:$A$58,0))</f>
        <v/>
      </c>
      <c r="I20" s="13">
        <f>INDEX('MAR 2e graad'!$C$2:$C$58,MATCH(G20,'MAR 2e graad'!$A$2:$A$58,0))</f>
        <v/>
      </c>
      <c r="J20" s="13">
        <f>IF(OR(I20="A",I20="K"),IF(K20&gt;0,"+","-"),IF(L20&gt;0,"+","-"))</f>
        <v/>
      </c>
      <c r="K20" s="14" t="n"/>
      <c r="L20" s="14" t="n">
        <v>242</v>
      </c>
      <c r="M20" s="13" t="inlineStr">
        <is>
          <t>de bank daalt</t>
        </is>
      </c>
      <c r="N20" s="13" t="inlineStr">
        <is>
          <t>nee</t>
        </is>
      </c>
    </row>
    <row r="21">
      <c r="A21" s="12" t="n">
        <v>20</v>
      </c>
      <c r="B21" s="16" t="n">
        <v>46042</v>
      </c>
      <c r="C21" s="4" t="inlineStr">
        <is>
          <t>CURSUS</t>
        </is>
      </c>
      <c r="D21" s="13" t="inlineStr">
        <is>
          <t>K1</t>
        </is>
      </c>
      <c r="E21" s="13" t="inlineStr">
        <is>
          <t>U2026-01/3</t>
        </is>
      </c>
      <c r="F21" s="13" t="inlineStr">
        <is>
          <t>uittreksel U2026-01/3</t>
        </is>
      </c>
      <c r="G21" s="13" t="n">
        <v>440000</v>
      </c>
      <c r="H21" s="13">
        <f>INDEX('MAR 2e graad'!$B$2:$B$58,MATCH(G21,'MAR 2e graad'!$A$2:$A$58,0))</f>
        <v/>
      </c>
      <c r="I21" s="13">
        <f>INDEX('MAR 2e graad'!$C$2:$C$58,MATCH(G21,'MAR 2e graad'!$A$2:$A$58,0))</f>
        <v/>
      </c>
      <c r="J21" s="13">
        <f>IF(OR(I21="A",I21="K"),IF(K21&gt;0,"+","-"),IF(L21&gt;0,"+","-"))</f>
        <v/>
      </c>
      <c r="K21" s="14" t="n">
        <v>1815</v>
      </c>
      <c r="L21" s="14" t="n"/>
      <c r="M21" s="13" t="inlineStr">
        <is>
          <t>de schuld aan de leverancier daalt</t>
        </is>
      </c>
      <c r="N21" s="13" t="inlineStr">
        <is>
          <t>nee</t>
        </is>
      </c>
    </row>
    <row r="22">
      <c r="A22" s="12" t="n">
        <v>21</v>
      </c>
      <c r="B22" s="16" t="n">
        <v>46042</v>
      </c>
      <c r="C22" s="4" t="inlineStr">
        <is>
          <t>CURSUS</t>
        </is>
      </c>
      <c r="D22" s="13" t="inlineStr">
        <is>
          <t>K1</t>
        </is>
      </c>
      <c r="E22" s="13" t="inlineStr">
        <is>
          <t>U2026-01/3</t>
        </is>
      </c>
      <c r="F22" s="13" t="inlineStr">
        <is>
          <t>uittreksel U2026-01/3</t>
        </is>
      </c>
      <c r="G22" s="13" t="n">
        <v>550000</v>
      </c>
      <c r="H22" s="13">
        <f>INDEX('MAR 2e graad'!$B$2:$B$58,MATCH(G22,'MAR 2e graad'!$A$2:$A$58,0))</f>
        <v/>
      </c>
      <c r="I22" s="13">
        <f>INDEX('MAR 2e graad'!$C$2:$C$58,MATCH(G22,'MAR 2e graad'!$A$2:$A$58,0))</f>
        <v/>
      </c>
      <c r="J22" s="13">
        <f>IF(OR(I22="A",I22="K"),IF(K22&gt;0,"+","-"),IF(L22&gt;0,"+","-"))</f>
        <v/>
      </c>
      <c r="K22" s="14" t="n"/>
      <c r="L22" s="14" t="n">
        <v>1815</v>
      </c>
      <c r="M22" s="13" t="inlineStr">
        <is>
          <t>de bank daalt</t>
        </is>
      </c>
      <c r="N22" s="13" t="inlineStr">
        <is>
          <t>nee</t>
        </is>
      </c>
    </row>
    <row r="23">
      <c r="A23" s="12" t="n">
        <v>22</v>
      </c>
      <c r="B23" s="16" t="n">
        <v>46043</v>
      </c>
      <c r="C23" s="4" t="inlineStr">
        <is>
          <t>CURSUS</t>
        </is>
      </c>
      <c r="D23" s="13" t="inlineStr">
        <is>
          <t>K1</t>
        </is>
      </c>
      <c r="E23" s="13" t="inlineStr">
        <is>
          <t>C06</t>
        </is>
      </c>
      <c r="F23" s="13" t="inlineStr">
        <is>
          <t>CN-2026-001</t>
        </is>
      </c>
      <c r="G23" s="13" t="n">
        <v>400000</v>
      </c>
      <c r="H23" s="13">
        <f>INDEX('MAR 2e graad'!$B$2:$B$58,MATCH(G23,'MAR 2e graad'!$A$2:$A$58,0))</f>
        <v/>
      </c>
      <c r="I23" s="13">
        <f>INDEX('MAR 2e graad'!$C$2:$C$58,MATCH(G23,'MAR 2e graad'!$A$2:$A$58,0))</f>
        <v/>
      </c>
      <c r="J23" s="13">
        <f>IF(OR(I23="A",I23="K"),IF(K23&gt;0,"+","-"),IF(L23&gt;0,"+","-"))</f>
        <v/>
      </c>
      <c r="K23" s="14" t="n"/>
      <c r="L23" s="14" t="n">
        <v>726</v>
      </c>
      <c r="M23" s="13" t="inlineStr">
        <is>
          <t>de vordering op de klant daalt</t>
        </is>
      </c>
      <c r="N23" s="13" t="inlineStr">
        <is>
          <t>nee</t>
        </is>
      </c>
    </row>
    <row r="24">
      <c r="A24" s="12" t="n">
        <v>23</v>
      </c>
      <c r="B24" s="16" t="n">
        <v>46043</v>
      </c>
      <c r="C24" s="4" t="inlineStr">
        <is>
          <t>CURSUS</t>
        </is>
      </c>
      <c r="D24" s="13" t="inlineStr">
        <is>
          <t>K1</t>
        </is>
      </c>
      <c r="E24" s="13" t="inlineStr">
        <is>
          <t>C06</t>
        </is>
      </c>
      <c r="F24" s="13" t="inlineStr">
        <is>
          <t>CN-2026-001</t>
        </is>
      </c>
      <c r="G24" s="13" t="n">
        <v>704010</v>
      </c>
      <c r="H24" s="13">
        <f>INDEX('MAR 2e graad'!$B$2:$B$58,MATCH(G24,'MAR 2e graad'!$A$2:$A$58,0))</f>
        <v/>
      </c>
      <c r="I24" s="13">
        <f>INDEX('MAR 2e graad'!$C$2:$C$58,MATCH(G24,'MAR 2e graad'!$A$2:$A$58,0))</f>
        <v/>
      </c>
      <c r="J24" s="13">
        <f>IF(OR(I24="A",I24="K"),IF(K24&gt;0,"+","-"),IF(L24&gt;0,"+","-"))</f>
        <v/>
      </c>
      <c r="K24" s="14" t="n">
        <v>600</v>
      </c>
      <c r="L24" s="14" t="n"/>
      <c r="M24" s="13" t="inlineStr">
        <is>
          <t>de omzet daalt (retour)</t>
        </is>
      </c>
      <c r="N24" s="13" t="inlineStr">
        <is>
          <t>nee</t>
        </is>
      </c>
    </row>
    <row r="25">
      <c r="A25" s="12" t="n">
        <v>24</v>
      </c>
      <c r="B25" s="16" t="n">
        <v>46043</v>
      </c>
      <c r="C25" s="4" t="inlineStr">
        <is>
          <t>CURSUS</t>
        </is>
      </c>
      <c r="D25" s="13" t="inlineStr">
        <is>
          <t>K1</t>
        </is>
      </c>
      <c r="E25" s="13" t="inlineStr">
        <is>
          <t>C06</t>
        </is>
      </c>
      <c r="F25" s="13" t="inlineStr">
        <is>
          <t>CN-2026-001</t>
        </is>
      </c>
      <c r="G25" s="13" t="n">
        <v>411200</v>
      </c>
      <c r="H25" s="13">
        <f>INDEX('MAR 2e graad'!$B$2:$B$58,MATCH(G25,'MAR 2e graad'!$A$2:$A$58,0))</f>
        <v/>
      </c>
      <c r="I25" s="13">
        <f>INDEX('MAR 2e graad'!$C$2:$C$58,MATCH(G25,'MAR 2e graad'!$A$2:$A$58,0))</f>
        <v/>
      </c>
      <c r="J25" s="13">
        <f>IF(OR(I25="A",I25="K"),IF(K25&gt;0,"+","-"),IF(L25&gt;0,"+","-"))</f>
        <v/>
      </c>
      <c r="K25" s="14" t="n">
        <v>126</v>
      </c>
      <c r="L25" s="14" t="n"/>
      <c r="M25" s="13" t="inlineStr">
        <is>
          <t>de vordering op de overheid stijgt (btw op uitgaande creditnota)</t>
        </is>
      </c>
      <c r="N25" s="13" t="inlineStr">
        <is>
          <t>nee</t>
        </is>
      </c>
    </row>
    <row r="26">
      <c r="A26" s="12" t="n">
        <v>25</v>
      </c>
      <c r="B26" s="16" t="n">
        <v>46044</v>
      </c>
      <c r="C26" s="4" t="inlineStr">
        <is>
          <t>CURSUS</t>
        </is>
      </c>
      <c r="D26" s="13" t="inlineStr">
        <is>
          <t>K1</t>
        </is>
      </c>
      <c r="E26" s="13" t="inlineStr">
        <is>
          <t>C07</t>
        </is>
      </c>
      <c r="F26" s="13" t="inlineStr">
        <is>
          <t>CN-2026-007</t>
        </is>
      </c>
      <c r="G26" s="13" t="n">
        <v>604010</v>
      </c>
      <c r="H26" s="13">
        <f>INDEX('MAR 2e graad'!$B$2:$B$58,MATCH(G26,'MAR 2e graad'!$A$2:$A$58,0))</f>
        <v/>
      </c>
      <c r="I26" s="13">
        <f>INDEX('MAR 2e graad'!$C$2:$C$58,MATCH(G26,'MAR 2e graad'!$A$2:$A$58,0))</f>
        <v/>
      </c>
      <c r="J26" s="13">
        <f>IF(OR(I26="A",I26="K"),IF(K26&gt;0,"+","-"),IF(L26&gt;0,"+","-"))</f>
        <v/>
      </c>
      <c r="K26" s="14" t="n"/>
      <c r="L26" s="14" t="n">
        <v>400</v>
      </c>
      <c r="M26" s="13" t="inlineStr">
        <is>
          <t>de kosten voor handelsgoederen dalen (retour)</t>
        </is>
      </c>
      <c r="N26" s="13" t="inlineStr">
        <is>
          <t>nee</t>
        </is>
      </c>
    </row>
    <row r="27">
      <c r="A27" s="12" t="n">
        <v>26</v>
      </c>
      <c r="B27" s="16" t="n">
        <v>46044</v>
      </c>
      <c r="C27" s="4" t="inlineStr">
        <is>
          <t>CURSUS</t>
        </is>
      </c>
      <c r="D27" s="13" t="inlineStr">
        <is>
          <t>K1</t>
        </is>
      </c>
      <c r="E27" s="13" t="inlineStr">
        <is>
          <t>C07</t>
        </is>
      </c>
      <c r="F27" s="13" t="inlineStr">
        <is>
          <t>CN-2026-007</t>
        </is>
      </c>
      <c r="G27" s="13" t="n">
        <v>451200</v>
      </c>
      <c r="H27" s="13">
        <f>INDEX('MAR 2e graad'!$B$2:$B$58,MATCH(G27,'MAR 2e graad'!$A$2:$A$58,0))</f>
        <v/>
      </c>
      <c r="I27" s="13">
        <f>INDEX('MAR 2e graad'!$C$2:$C$58,MATCH(G27,'MAR 2e graad'!$A$2:$A$58,0))</f>
        <v/>
      </c>
      <c r="J27" s="13">
        <f>IF(OR(I27="A",I27="K"),IF(K27&gt;0,"+","-"),IF(L27&gt;0,"+","-"))</f>
        <v/>
      </c>
      <c r="K27" s="14" t="n"/>
      <c r="L27" s="14" t="n">
        <v>84</v>
      </c>
      <c r="M27" s="13" t="inlineStr">
        <is>
          <t>de schuld aan de overheid stijgt (btw op inkomende creditnota)</t>
        </is>
      </c>
      <c r="N27" s="13" t="inlineStr">
        <is>
          <t>nee</t>
        </is>
      </c>
    </row>
    <row r="28">
      <c r="A28" s="12" t="n">
        <v>27</v>
      </c>
      <c r="B28" s="16" t="n">
        <v>46044</v>
      </c>
      <c r="C28" s="4" t="inlineStr">
        <is>
          <t>CURSUS</t>
        </is>
      </c>
      <c r="D28" s="13" t="inlineStr">
        <is>
          <t>K1</t>
        </is>
      </c>
      <c r="E28" s="13" t="inlineStr">
        <is>
          <t>C07</t>
        </is>
      </c>
      <c r="F28" s="13" t="inlineStr">
        <is>
          <t>CN-2026-007</t>
        </is>
      </c>
      <c r="G28" s="13" t="n">
        <v>440000</v>
      </c>
      <c r="H28" s="13">
        <f>INDEX('MAR 2e graad'!$B$2:$B$58,MATCH(G28,'MAR 2e graad'!$A$2:$A$58,0))</f>
        <v/>
      </c>
      <c r="I28" s="13">
        <f>INDEX('MAR 2e graad'!$C$2:$C$58,MATCH(G28,'MAR 2e graad'!$A$2:$A$58,0))</f>
        <v/>
      </c>
      <c r="J28" s="13">
        <f>IF(OR(I28="A",I28="K"),IF(K28&gt;0,"+","-"),IF(L28&gt;0,"+","-"))</f>
        <v/>
      </c>
      <c r="K28" s="14" t="n">
        <v>484</v>
      </c>
      <c r="L28" s="14" t="n"/>
      <c r="M28" s="13" t="inlineStr">
        <is>
          <t>de schuld aan de leverancier daalt</t>
        </is>
      </c>
      <c r="N28" s="13" t="inlineStr">
        <is>
          <t>nee</t>
        </is>
      </c>
    </row>
    <row r="29">
      <c r="A29" s="12" t="n">
        <v>28</v>
      </c>
      <c r="B29" s="16" t="n">
        <v>46046</v>
      </c>
      <c r="C29" s="4" t="inlineStr">
        <is>
          <t>CURSUS</t>
        </is>
      </c>
      <c r="D29" s="13" t="inlineStr">
        <is>
          <t>K1</t>
        </is>
      </c>
      <c r="E29" s="13" t="inlineStr">
        <is>
          <t>C08</t>
        </is>
      </c>
      <c r="F29" s="13" t="inlineStr">
        <is>
          <t>DO-2026-01</t>
        </is>
      </c>
      <c r="G29" s="13" t="n">
        <v>400000</v>
      </c>
      <c r="H29" s="13">
        <f>INDEX('MAR 2e graad'!$B$2:$B$58,MATCH(G29,'MAR 2e graad'!$A$2:$A$58,0))</f>
        <v/>
      </c>
      <c r="I29" s="13">
        <f>INDEX('MAR 2e graad'!$C$2:$C$58,MATCH(G29,'MAR 2e graad'!$A$2:$A$58,0))</f>
        <v/>
      </c>
      <c r="J29" s="13">
        <f>IF(OR(I29="A",I29="K"),IF(K29&gt;0,"+","-"),IF(L29&gt;0,"+","-"))</f>
        <v/>
      </c>
      <c r="K29" s="14" t="n">
        <v>1422</v>
      </c>
      <c r="L29" s="14" t="n"/>
      <c r="M29" s="13" t="inlineStr">
        <is>
          <t>de vordering op de klanten (dagontvangsten) stijgt</t>
        </is>
      </c>
      <c r="N29" s="13" t="inlineStr">
        <is>
          <t>nee</t>
        </is>
      </c>
    </row>
    <row r="30">
      <c r="A30" s="12" t="n">
        <v>29</v>
      </c>
      <c r="B30" s="16" t="n">
        <v>46046</v>
      </c>
      <c r="C30" s="4" t="inlineStr">
        <is>
          <t>CURSUS</t>
        </is>
      </c>
      <c r="D30" s="13" t="inlineStr">
        <is>
          <t>K1</t>
        </is>
      </c>
      <c r="E30" s="13" t="inlineStr">
        <is>
          <t>C08</t>
        </is>
      </c>
      <c r="F30" s="13" t="inlineStr">
        <is>
          <t>DO-2026-01</t>
        </is>
      </c>
      <c r="G30" s="13" t="n">
        <v>704000</v>
      </c>
      <c r="H30" s="13">
        <f>INDEX('MAR 2e graad'!$B$2:$B$58,MATCH(G30,'MAR 2e graad'!$A$2:$A$58,0))</f>
        <v/>
      </c>
      <c r="I30" s="13">
        <f>INDEX('MAR 2e graad'!$C$2:$C$58,MATCH(G30,'MAR 2e graad'!$A$2:$A$58,0))</f>
        <v/>
      </c>
      <c r="J30" s="13">
        <f>IF(OR(I30="A",I30="K"),IF(K30&gt;0,"+","-"),IF(L30&gt;0,"+","-"))</f>
        <v/>
      </c>
      <c r="K30" s="14" t="n"/>
      <c r="L30" s="14" t="n">
        <v>600</v>
      </c>
      <c r="M30" s="13" t="inlineStr">
        <is>
          <t>de omzet stijgt</t>
        </is>
      </c>
      <c r="N30" s="13" t="inlineStr">
        <is>
          <t>nee</t>
        </is>
      </c>
    </row>
    <row r="31">
      <c r="A31" s="12" t="n">
        <v>30</v>
      </c>
      <c r="B31" s="16" t="n">
        <v>46046</v>
      </c>
      <c r="C31" s="4" t="inlineStr">
        <is>
          <t>CURSUS</t>
        </is>
      </c>
      <c r="D31" s="13" t="inlineStr">
        <is>
          <t>K1</t>
        </is>
      </c>
      <c r="E31" s="13" t="inlineStr">
        <is>
          <t>C08</t>
        </is>
      </c>
      <c r="F31" s="13" t="inlineStr">
        <is>
          <t>DO-2026-01</t>
        </is>
      </c>
      <c r="G31" s="13" t="n">
        <v>704000</v>
      </c>
      <c r="H31" s="13">
        <f>INDEX('MAR 2e graad'!$B$2:$B$58,MATCH(G31,'MAR 2e graad'!$A$2:$A$58,0))</f>
        <v/>
      </c>
      <c r="I31" s="13">
        <f>INDEX('MAR 2e graad'!$C$2:$C$58,MATCH(G31,'MAR 2e graad'!$A$2:$A$58,0))</f>
        <v/>
      </c>
      <c r="J31" s="13">
        <f>IF(OR(I31="A",I31="K"),IF(K31&gt;0,"+","-"),IF(L31&gt;0,"+","-"))</f>
        <v/>
      </c>
      <c r="K31" s="14" t="n"/>
      <c r="L31" s="14" t="n">
        <v>300</v>
      </c>
      <c r="M31" s="13" t="inlineStr">
        <is>
          <t>de omzet stijgt</t>
        </is>
      </c>
      <c r="N31" s="13" t="inlineStr">
        <is>
          <t>nee</t>
        </is>
      </c>
    </row>
    <row r="32">
      <c r="A32" s="12" t="n">
        <v>31</v>
      </c>
      <c r="B32" s="16" t="n">
        <v>46046</v>
      </c>
      <c r="C32" s="4" t="inlineStr">
        <is>
          <t>CURSUS</t>
        </is>
      </c>
      <c r="D32" s="13" t="inlineStr">
        <is>
          <t>K1</t>
        </is>
      </c>
      <c r="E32" s="13" t="inlineStr">
        <is>
          <t>C08</t>
        </is>
      </c>
      <c r="F32" s="13" t="inlineStr">
        <is>
          <t>DO-2026-01</t>
        </is>
      </c>
      <c r="G32" s="13" t="n">
        <v>704000</v>
      </c>
      <c r="H32" s="13">
        <f>INDEX('MAR 2e graad'!$B$2:$B$58,MATCH(G32,'MAR 2e graad'!$A$2:$A$58,0))</f>
        <v/>
      </c>
      <c r="I32" s="13">
        <f>INDEX('MAR 2e graad'!$C$2:$C$58,MATCH(G32,'MAR 2e graad'!$A$2:$A$58,0))</f>
        <v/>
      </c>
      <c r="J32" s="13">
        <f>IF(OR(I32="A",I32="K"),IF(K32&gt;0,"+","-"),IF(L32&gt;0,"+","-"))</f>
        <v/>
      </c>
      <c r="K32" s="14" t="n"/>
      <c r="L32" s="14" t="n">
        <v>100</v>
      </c>
      <c r="M32" s="13" t="inlineStr">
        <is>
          <t>de omzet stijgt</t>
        </is>
      </c>
      <c r="N32" s="13" t="inlineStr">
        <is>
          <t>nee</t>
        </is>
      </c>
    </row>
    <row r="33">
      <c r="A33" s="12" t="n">
        <v>32</v>
      </c>
      <c r="B33" s="16" t="n">
        <v>46046</v>
      </c>
      <c r="C33" s="4" t="inlineStr">
        <is>
          <t>CURSUS</t>
        </is>
      </c>
      <c r="D33" s="13" t="inlineStr">
        <is>
          <t>K1</t>
        </is>
      </c>
      <c r="E33" s="13" t="inlineStr">
        <is>
          <t>C08</t>
        </is>
      </c>
      <c r="F33" s="13" t="inlineStr">
        <is>
          <t>DO-2026-01</t>
        </is>
      </c>
      <c r="G33" s="13" t="n">
        <v>700000</v>
      </c>
      <c r="H33" s="13">
        <f>INDEX('MAR 2e graad'!$B$2:$B$58,MATCH(G33,'MAR 2e graad'!$A$2:$A$58,0))</f>
        <v/>
      </c>
      <c r="I33" s="13">
        <f>INDEX('MAR 2e graad'!$C$2:$C$58,MATCH(G33,'MAR 2e graad'!$A$2:$A$58,0))</f>
        <v/>
      </c>
      <c r="J33" s="13">
        <f>IF(OR(I33="A",I33="K"),IF(K33&gt;0,"+","-"),IF(L33&gt;0,"+","-"))</f>
        <v/>
      </c>
      <c r="K33" s="14" t="n"/>
      <c r="L33" s="14" t="n">
        <v>200</v>
      </c>
      <c r="M33" s="13" t="inlineStr">
        <is>
          <t>de omzet (diensten) stijgt</t>
        </is>
      </c>
      <c r="N33" s="13" t="inlineStr">
        <is>
          <t>nee</t>
        </is>
      </c>
    </row>
    <row r="34">
      <c r="A34" s="12" t="n">
        <v>33</v>
      </c>
      <c r="B34" s="16" t="n">
        <v>46046</v>
      </c>
      <c r="C34" s="4" t="inlineStr">
        <is>
          <t>CURSUS</t>
        </is>
      </c>
      <c r="D34" s="13" t="inlineStr">
        <is>
          <t>K1</t>
        </is>
      </c>
      <c r="E34" s="13" t="inlineStr">
        <is>
          <t>C08</t>
        </is>
      </c>
      <c r="F34" s="13" t="inlineStr">
        <is>
          <t>DO-2026-01</t>
        </is>
      </c>
      <c r="G34" s="13" t="n">
        <v>451100</v>
      </c>
      <c r="H34" s="13">
        <f>INDEX('MAR 2e graad'!$B$2:$B$58,MATCH(G34,'MAR 2e graad'!$A$2:$A$58,0))</f>
        <v/>
      </c>
      <c r="I34" s="13">
        <f>INDEX('MAR 2e graad'!$C$2:$C$58,MATCH(G34,'MAR 2e graad'!$A$2:$A$58,0))</f>
        <v/>
      </c>
      <c r="J34" s="13">
        <f>IF(OR(I34="A",I34="K"),IF(K34&gt;0,"+","-"),IF(L34&gt;0,"+","-"))</f>
        <v/>
      </c>
      <c r="K34" s="14" t="n"/>
      <c r="L34" s="14" t="n">
        <v>222</v>
      </c>
      <c r="M34" s="13" t="inlineStr">
        <is>
          <t>de schuld aan de overheid (verschuldigde btw) stijgt</t>
        </is>
      </c>
      <c r="N34" s="13" t="inlineStr">
        <is>
          <t>nee</t>
        </is>
      </c>
    </row>
    <row r="35">
      <c r="A35" s="12" t="n">
        <v>34</v>
      </c>
      <c r="B35" s="16" t="n">
        <v>46046</v>
      </c>
      <c r="C35" s="4" t="inlineStr">
        <is>
          <t>CURSUS</t>
        </is>
      </c>
      <c r="D35" s="13" t="inlineStr">
        <is>
          <t>K1</t>
        </is>
      </c>
      <c r="E35" s="13" t="inlineStr">
        <is>
          <t>C08K</t>
        </is>
      </c>
      <c r="F35" s="13" t="inlineStr">
        <is>
          <t>Kasboek DO-2026-01</t>
        </is>
      </c>
      <c r="G35" s="13" t="n">
        <v>570000</v>
      </c>
      <c r="H35" s="13">
        <f>INDEX('MAR 2e graad'!$B$2:$B$58,MATCH(G35,'MAR 2e graad'!$A$2:$A$58,0))</f>
        <v/>
      </c>
      <c r="I35" s="13">
        <f>INDEX('MAR 2e graad'!$C$2:$C$58,MATCH(G35,'MAR 2e graad'!$A$2:$A$58,0))</f>
        <v/>
      </c>
      <c r="J35" s="13">
        <f>IF(OR(I35="A",I35="K"),IF(K35&gt;0,"+","-"),IF(L35&gt;0,"+","-"))</f>
        <v/>
      </c>
      <c r="K35" s="14" t="n">
        <v>422</v>
      </c>
      <c r="L35" s="14" t="n"/>
      <c r="M35" s="13" t="inlineStr">
        <is>
          <t>de kas stijgt</t>
        </is>
      </c>
      <c r="N35" s="13" t="inlineStr">
        <is>
          <t>nee</t>
        </is>
      </c>
    </row>
    <row r="36">
      <c r="A36" s="12" t="n">
        <v>35</v>
      </c>
      <c r="B36" s="16" t="n">
        <v>46046</v>
      </c>
      <c r="C36" s="4" t="inlineStr">
        <is>
          <t>CURSUS</t>
        </is>
      </c>
      <c r="D36" s="13" t="inlineStr">
        <is>
          <t>K1</t>
        </is>
      </c>
      <c r="E36" s="13" t="inlineStr">
        <is>
          <t>C08K</t>
        </is>
      </c>
      <c r="F36" s="13" t="inlineStr">
        <is>
          <t>Kasboek DO-2026-01</t>
        </is>
      </c>
      <c r="G36" s="13" t="n">
        <v>400000</v>
      </c>
      <c r="H36" s="13">
        <f>INDEX('MAR 2e graad'!$B$2:$B$58,MATCH(G36,'MAR 2e graad'!$A$2:$A$58,0))</f>
        <v/>
      </c>
      <c r="I36" s="13">
        <f>INDEX('MAR 2e graad'!$C$2:$C$58,MATCH(G36,'MAR 2e graad'!$A$2:$A$58,0))</f>
        <v/>
      </c>
      <c r="J36" s="13">
        <f>IF(OR(I36="A",I36="K"),IF(K36&gt;0,"+","-"),IF(L36&gt;0,"+","-"))</f>
        <v/>
      </c>
      <c r="K36" s="14" t="n"/>
      <c r="L36" s="14" t="n">
        <v>422</v>
      </c>
      <c r="M36" s="13" t="inlineStr">
        <is>
          <t>de vordering op de klanten (contant betaald) daalt</t>
        </is>
      </c>
      <c r="N36" s="13" t="inlineStr">
        <is>
          <t>nee</t>
        </is>
      </c>
    </row>
    <row r="37">
      <c r="A37" s="12" t="n">
        <v>36</v>
      </c>
      <c r="B37" s="16" t="n">
        <v>46050</v>
      </c>
      <c r="C37" s="4" t="inlineStr">
        <is>
          <t>CURSUS</t>
        </is>
      </c>
      <c r="D37" s="13" t="inlineStr">
        <is>
          <t>K1</t>
        </is>
      </c>
      <c r="E37" s="13" t="inlineStr">
        <is>
          <t>U2026-02/1</t>
        </is>
      </c>
      <c r="F37" s="13" t="inlineStr">
        <is>
          <t>uittreksel U2026-02/1</t>
        </is>
      </c>
      <c r="G37" s="13" t="n">
        <v>550000</v>
      </c>
      <c r="H37" s="13">
        <f>INDEX('MAR 2e graad'!$B$2:$B$58,MATCH(G37,'MAR 2e graad'!$A$2:$A$58,0))</f>
        <v/>
      </c>
      <c r="I37" s="13">
        <f>INDEX('MAR 2e graad'!$C$2:$C$58,MATCH(G37,'MAR 2e graad'!$A$2:$A$58,0))</f>
        <v/>
      </c>
      <c r="J37" s="13">
        <f>IF(OR(I37="A",I37="K"),IF(K37&gt;0,"+","-"),IF(L37&gt;0,"+","-"))</f>
        <v/>
      </c>
      <c r="K37" s="14" t="n">
        <v>7260</v>
      </c>
      <c r="L37" s="14" t="n"/>
      <c r="M37" s="13" t="inlineStr">
        <is>
          <t>de bank stijgt</t>
        </is>
      </c>
      <c r="N37" s="13" t="inlineStr">
        <is>
          <t>nee</t>
        </is>
      </c>
    </row>
    <row r="38">
      <c r="A38" s="12" t="n">
        <v>37</v>
      </c>
      <c r="B38" s="16" t="n">
        <v>46050</v>
      </c>
      <c r="C38" s="4" t="inlineStr">
        <is>
          <t>CURSUS</t>
        </is>
      </c>
      <c r="D38" s="13" t="inlineStr">
        <is>
          <t>K1</t>
        </is>
      </c>
      <c r="E38" s="13" t="inlineStr">
        <is>
          <t>U2026-02/1</t>
        </is>
      </c>
      <c r="F38" s="13" t="inlineStr">
        <is>
          <t>uittreksel U2026-02/1</t>
        </is>
      </c>
      <c r="G38" s="13" t="n">
        <v>400000</v>
      </c>
      <c r="H38" s="13">
        <f>INDEX('MAR 2e graad'!$B$2:$B$58,MATCH(G38,'MAR 2e graad'!$A$2:$A$58,0))</f>
        <v/>
      </c>
      <c r="I38" s="13">
        <f>INDEX('MAR 2e graad'!$C$2:$C$58,MATCH(G38,'MAR 2e graad'!$A$2:$A$58,0))</f>
        <v/>
      </c>
      <c r="J38" s="13">
        <f>IF(OR(I38="A",I38="K"),IF(K38&gt;0,"+","-"),IF(L38&gt;0,"+","-"))</f>
        <v/>
      </c>
      <c r="K38" s="14" t="n"/>
      <c r="L38" s="14" t="n">
        <v>7260</v>
      </c>
      <c r="M38" s="13" t="inlineStr">
        <is>
          <t>de vordering op de klant daalt</t>
        </is>
      </c>
      <c r="N38" s="13" t="inlineStr">
        <is>
          <t>nee</t>
        </is>
      </c>
    </row>
    <row r="39">
      <c r="A39" s="12" t="n">
        <v>38</v>
      </c>
      <c r="B39" s="16" t="n">
        <v>46052</v>
      </c>
      <c r="C39" s="4" t="inlineStr">
        <is>
          <t>CURSUS</t>
        </is>
      </c>
      <c r="D39" s="13" t="inlineStr">
        <is>
          <t>K1</t>
        </is>
      </c>
      <c r="E39" s="13" t="inlineStr">
        <is>
          <t>U2026-03/1</t>
        </is>
      </c>
      <c r="F39" s="13" t="inlineStr">
        <is>
          <t>uittreksel U2026-03/1</t>
        </is>
      </c>
      <c r="G39" s="13" t="n">
        <v>550000</v>
      </c>
      <c r="H39" s="13">
        <f>INDEX('MAR 2e graad'!$B$2:$B$58,MATCH(G39,'MAR 2e graad'!$A$2:$A$58,0))</f>
        <v/>
      </c>
      <c r="I39" s="13">
        <f>INDEX('MAR 2e graad'!$C$2:$C$58,MATCH(G39,'MAR 2e graad'!$A$2:$A$58,0))</f>
        <v/>
      </c>
      <c r="J39" s="13">
        <f>IF(OR(I39="A",I39="K"),IF(K39&gt;0,"+","-"),IF(L39&gt;0,"+","-"))</f>
        <v/>
      </c>
      <c r="K39" s="14" t="n">
        <v>2178</v>
      </c>
      <c r="L39" s="14" t="n"/>
      <c r="M39" s="13" t="inlineStr">
        <is>
          <t>de bank stijgt</t>
        </is>
      </c>
      <c r="N39" s="13" t="inlineStr">
        <is>
          <t>nee</t>
        </is>
      </c>
    </row>
    <row r="40">
      <c r="A40" s="12" t="n">
        <v>39</v>
      </c>
      <c r="B40" s="16" t="n">
        <v>46052</v>
      </c>
      <c r="C40" s="4" t="inlineStr">
        <is>
          <t>CURSUS</t>
        </is>
      </c>
      <c r="D40" s="13" t="inlineStr">
        <is>
          <t>K1</t>
        </is>
      </c>
      <c r="E40" s="13" t="inlineStr">
        <is>
          <t>U2026-03/1</t>
        </is>
      </c>
      <c r="F40" s="13" t="inlineStr">
        <is>
          <t>uittreksel U2026-03/1</t>
        </is>
      </c>
      <c r="G40" s="13" t="n">
        <v>400000</v>
      </c>
      <c r="H40" s="13">
        <f>INDEX('MAR 2e graad'!$B$2:$B$58,MATCH(G40,'MAR 2e graad'!$A$2:$A$58,0))</f>
        <v/>
      </c>
      <c r="I40" s="13">
        <f>INDEX('MAR 2e graad'!$C$2:$C$58,MATCH(G40,'MAR 2e graad'!$A$2:$A$58,0))</f>
        <v/>
      </c>
      <c r="J40" s="13">
        <f>IF(OR(I40="A",I40="K"),IF(K40&gt;0,"+","-"),IF(L40&gt;0,"+","-"))</f>
        <v/>
      </c>
      <c r="K40" s="14" t="n"/>
      <c r="L40" s="14" t="n">
        <v>2178</v>
      </c>
      <c r="M40" s="13" t="inlineStr">
        <is>
          <t>de vordering op de klant daalt</t>
        </is>
      </c>
      <c r="N40" s="13" t="inlineStr">
        <is>
          <t>nee</t>
        </is>
      </c>
    </row>
    <row r="41">
      <c r="A41" s="12" t="n">
        <v>40</v>
      </c>
      <c r="B41" s="16" t="n">
        <v>46052</v>
      </c>
      <c r="C41" s="4" t="inlineStr">
        <is>
          <t>CURSUS</t>
        </is>
      </c>
      <c r="D41" s="13" t="inlineStr">
        <is>
          <t>K1</t>
        </is>
      </c>
      <c r="E41" s="13" t="inlineStr">
        <is>
          <t>U2026-03/2</t>
        </is>
      </c>
      <c r="F41" s="13" t="inlineStr">
        <is>
          <t>uittreksel U2026-03/2</t>
        </is>
      </c>
      <c r="G41" s="13" t="n">
        <v>550000</v>
      </c>
      <c r="H41" s="13">
        <f>INDEX('MAR 2e graad'!$B$2:$B$58,MATCH(G41,'MAR 2e graad'!$A$2:$A$58,0))</f>
        <v/>
      </c>
      <c r="I41" s="13">
        <f>INDEX('MAR 2e graad'!$C$2:$C$58,MATCH(G41,'MAR 2e graad'!$A$2:$A$58,0))</f>
        <v/>
      </c>
      <c r="J41" s="13">
        <f>IF(OR(I41="A",I41="K"),IF(K41&gt;0,"+","-"),IF(L41&gt;0,"+","-"))</f>
        <v/>
      </c>
      <c r="K41" s="14" t="n">
        <v>484</v>
      </c>
      <c r="L41" s="14" t="n"/>
      <c r="M41" s="13" t="inlineStr">
        <is>
          <t>de bank stijgt</t>
        </is>
      </c>
      <c r="N41" s="13" t="inlineStr">
        <is>
          <t>nee</t>
        </is>
      </c>
    </row>
    <row r="42">
      <c r="A42" s="12" t="n">
        <v>41</v>
      </c>
      <c r="B42" s="16" t="n">
        <v>46052</v>
      </c>
      <c r="C42" s="4" t="inlineStr">
        <is>
          <t>CURSUS</t>
        </is>
      </c>
      <c r="D42" s="13" t="inlineStr">
        <is>
          <t>K1</t>
        </is>
      </c>
      <c r="E42" s="13" t="inlineStr">
        <is>
          <t>U2026-03/2</t>
        </is>
      </c>
      <c r="F42" s="13" t="inlineStr">
        <is>
          <t>uittreksel U2026-03/2</t>
        </is>
      </c>
      <c r="G42" s="13" t="n">
        <v>440000</v>
      </c>
      <c r="H42" s="13">
        <f>INDEX('MAR 2e graad'!$B$2:$B$58,MATCH(G42,'MAR 2e graad'!$A$2:$A$58,0))</f>
        <v/>
      </c>
      <c r="I42" s="13">
        <f>INDEX('MAR 2e graad'!$C$2:$C$58,MATCH(G42,'MAR 2e graad'!$A$2:$A$58,0))</f>
        <v/>
      </c>
      <c r="J42" s="13">
        <f>IF(OR(I42="A",I42="K"),IF(K42&gt;0,"+","-"),IF(L42&gt;0,"+","-"))</f>
        <v/>
      </c>
      <c r="K42" s="14" t="n"/>
      <c r="L42" s="14" t="n">
        <v>484</v>
      </c>
      <c r="M42" s="13" t="inlineStr">
        <is>
          <t>de vordering op de leverancier (creditnota) daalt</t>
        </is>
      </c>
      <c r="N42" s="13" t="inlineStr">
        <is>
          <t>nee</t>
        </is>
      </c>
    </row>
    <row r="43">
      <c r="A43" s="12" t="n">
        <v>42</v>
      </c>
      <c r="B43" s="16" t="n">
        <v>46052</v>
      </c>
      <c r="C43" s="4" t="inlineStr">
        <is>
          <t>CURSUS</t>
        </is>
      </c>
      <c r="D43" s="13" t="inlineStr">
        <is>
          <t>K1</t>
        </is>
      </c>
      <c r="E43" s="13" t="inlineStr">
        <is>
          <t>U2026-03/3</t>
        </is>
      </c>
      <c r="F43" s="13" t="inlineStr">
        <is>
          <t>uittreksel U2026-03/3</t>
        </is>
      </c>
      <c r="G43" s="13" t="n">
        <v>550000</v>
      </c>
      <c r="H43" s="13">
        <f>INDEX('MAR 2e graad'!$B$2:$B$58,MATCH(G43,'MAR 2e graad'!$A$2:$A$58,0))</f>
        <v/>
      </c>
      <c r="I43" s="13">
        <f>INDEX('MAR 2e graad'!$C$2:$C$58,MATCH(G43,'MAR 2e graad'!$A$2:$A$58,0))</f>
        <v/>
      </c>
      <c r="J43" s="13">
        <f>IF(OR(I43="A",I43="K"),IF(K43&gt;0,"+","-"),IF(L43&gt;0,"+","-"))</f>
        <v/>
      </c>
      <c r="K43" s="14" t="n">
        <v>1000</v>
      </c>
      <c r="L43" s="14" t="n"/>
      <c r="M43" s="13" t="inlineStr">
        <is>
          <t>de bank stijgt</t>
        </is>
      </c>
      <c r="N43" s="13" t="inlineStr">
        <is>
          <t>nee</t>
        </is>
      </c>
    </row>
    <row r="44">
      <c r="A44" s="12" t="n">
        <v>43</v>
      </c>
      <c r="B44" s="16" t="n">
        <v>46052</v>
      </c>
      <c r="C44" s="4" t="inlineStr">
        <is>
          <t>CURSUS</t>
        </is>
      </c>
      <c r="D44" s="13" t="inlineStr">
        <is>
          <t>K1</t>
        </is>
      </c>
      <c r="E44" s="13" t="inlineStr">
        <is>
          <t>U2026-03/3</t>
        </is>
      </c>
      <c r="F44" s="13" t="inlineStr">
        <is>
          <t>uittreksel U2026-03/3</t>
        </is>
      </c>
      <c r="G44" s="13" t="n">
        <v>400000</v>
      </c>
      <c r="H44" s="13">
        <f>INDEX('MAR 2e graad'!$B$2:$B$58,MATCH(G44,'MAR 2e graad'!$A$2:$A$58,0))</f>
        <v/>
      </c>
      <c r="I44" s="13">
        <f>INDEX('MAR 2e graad'!$C$2:$C$58,MATCH(G44,'MAR 2e graad'!$A$2:$A$58,0))</f>
        <v/>
      </c>
      <c r="J44" s="13">
        <f>IF(OR(I44="A",I44="K"),IF(K44&gt;0,"+","-"),IF(L44&gt;0,"+","-"))</f>
        <v/>
      </c>
      <c r="K44" s="14" t="n"/>
      <c r="L44" s="14" t="n">
        <v>1000</v>
      </c>
      <c r="M44" s="13" t="inlineStr">
        <is>
          <t>de vordering (bancontact) daalt</t>
        </is>
      </c>
      <c r="N44" s="13" t="inlineStr">
        <is>
          <t>nee</t>
        </is>
      </c>
    </row>
    <row r="45">
      <c r="A45" s="12" t="n">
        <v>44</v>
      </c>
      <c r="B45" s="16" t="n">
        <v>46055</v>
      </c>
      <c r="C45" s="5" t="inlineStr">
        <is>
          <t>VERPLICHT</t>
        </is>
      </c>
      <c r="D45" s="13" t="inlineStr">
        <is>
          <t>K1</t>
        </is>
      </c>
      <c r="E45" s="13" t="inlineStr">
        <is>
          <t>A1</t>
        </is>
      </c>
      <c r="F45" s="13" t="inlineStr">
        <is>
          <t>2026-205</t>
        </is>
      </c>
      <c r="G45" s="13" t="n">
        <v>604000</v>
      </c>
      <c r="H45" s="13">
        <f>INDEX('MAR 2e graad'!$B$2:$B$58,MATCH(G45,'MAR 2e graad'!$A$2:$A$58,0))</f>
        <v/>
      </c>
      <c r="I45" s="13">
        <f>INDEX('MAR 2e graad'!$C$2:$C$58,MATCH(G45,'MAR 2e graad'!$A$2:$A$58,0))</f>
        <v/>
      </c>
      <c r="J45" s="13">
        <f>IF(OR(I45="A",I45="K"),IF(K45&gt;0,"+","-"),IF(L45&gt;0,"+","-"))</f>
        <v/>
      </c>
      <c r="K45" s="14" t="n">
        <v>4800</v>
      </c>
      <c r="L45" s="14" t="n"/>
      <c r="M45" s="13" t="inlineStr">
        <is>
          <t>de kosten voor handelsgoederen stijgen</t>
        </is>
      </c>
      <c r="N45" s="13" t="inlineStr">
        <is>
          <t>nee</t>
        </is>
      </c>
    </row>
    <row r="46">
      <c r="A46" s="12" t="n">
        <v>45</v>
      </c>
      <c r="B46" s="16" t="n">
        <v>46055</v>
      </c>
      <c r="C46" s="5" t="inlineStr">
        <is>
          <t>VERPLICHT</t>
        </is>
      </c>
      <c r="D46" s="13" t="inlineStr">
        <is>
          <t>K1</t>
        </is>
      </c>
      <c r="E46" s="13" t="inlineStr">
        <is>
          <t>A1</t>
        </is>
      </c>
      <c r="F46" s="13" t="inlineStr">
        <is>
          <t>2026-205</t>
        </is>
      </c>
      <c r="G46" s="13" t="n">
        <v>604000</v>
      </c>
      <c r="H46" s="13">
        <f>INDEX('MAR 2e graad'!$B$2:$B$58,MATCH(G46,'MAR 2e graad'!$A$2:$A$58,0))</f>
        <v/>
      </c>
      <c r="I46" s="13">
        <f>INDEX('MAR 2e graad'!$C$2:$C$58,MATCH(G46,'MAR 2e graad'!$A$2:$A$58,0))</f>
        <v/>
      </c>
      <c r="J46" s="13">
        <f>IF(OR(I46="A",I46="K"),IF(K46&gt;0,"+","-"),IF(L46&gt;0,"+","-"))</f>
        <v/>
      </c>
      <c r="K46" s="14" t="n">
        <v>7000</v>
      </c>
      <c r="L46" s="14" t="n"/>
      <c r="M46" s="13" t="inlineStr">
        <is>
          <t>de kosten voor handelsgoederen stijgen</t>
        </is>
      </c>
      <c r="N46" s="13" t="inlineStr">
        <is>
          <t>nee</t>
        </is>
      </c>
    </row>
    <row r="47">
      <c r="A47" s="12" t="n">
        <v>46</v>
      </c>
      <c r="B47" s="16" t="n">
        <v>46055</v>
      </c>
      <c r="C47" s="5" t="inlineStr">
        <is>
          <t>VERPLICHT</t>
        </is>
      </c>
      <c r="D47" s="13" t="inlineStr">
        <is>
          <t>K1</t>
        </is>
      </c>
      <c r="E47" s="13" t="inlineStr">
        <is>
          <t>A1</t>
        </is>
      </c>
      <c r="F47" s="13" t="inlineStr">
        <is>
          <t>2026-205</t>
        </is>
      </c>
      <c r="G47" s="13" t="n">
        <v>604000</v>
      </c>
      <c r="H47" s="13">
        <f>INDEX('MAR 2e graad'!$B$2:$B$58,MATCH(G47,'MAR 2e graad'!$A$2:$A$58,0))</f>
        <v/>
      </c>
      <c r="I47" s="13">
        <f>INDEX('MAR 2e graad'!$C$2:$C$58,MATCH(G47,'MAR 2e graad'!$A$2:$A$58,0))</f>
        <v/>
      </c>
      <c r="J47" s="13">
        <f>IF(OR(I47="A",I47="K"),IF(K47&gt;0,"+","-"),IF(L47&gt;0,"+","-"))</f>
        <v/>
      </c>
      <c r="K47" s="14" t="n">
        <v>3600</v>
      </c>
      <c r="L47" s="14" t="n"/>
      <c r="M47" s="13" t="inlineStr">
        <is>
          <t>de kosten voor handelsgoederen stijgen</t>
        </is>
      </c>
      <c r="N47" s="13" t="inlineStr">
        <is>
          <t>nee</t>
        </is>
      </c>
    </row>
    <row r="48">
      <c r="A48" s="12" t="n">
        <v>47</v>
      </c>
      <c r="B48" s="16" t="n">
        <v>46055</v>
      </c>
      <c r="C48" s="5" t="inlineStr">
        <is>
          <t>VERPLICHT</t>
        </is>
      </c>
      <c r="D48" s="13" t="inlineStr">
        <is>
          <t>K1</t>
        </is>
      </c>
      <c r="E48" s="13" t="inlineStr">
        <is>
          <t>A1</t>
        </is>
      </c>
      <c r="F48" s="13" t="inlineStr">
        <is>
          <t>2026-205</t>
        </is>
      </c>
      <c r="G48" s="13" t="n">
        <v>411100</v>
      </c>
      <c r="H48" s="13">
        <f>INDEX('MAR 2e graad'!$B$2:$B$58,MATCH(G48,'MAR 2e graad'!$A$2:$A$58,0))</f>
        <v/>
      </c>
      <c r="I48" s="13">
        <f>INDEX('MAR 2e graad'!$C$2:$C$58,MATCH(G48,'MAR 2e graad'!$A$2:$A$58,0))</f>
        <v/>
      </c>
      <c r="J48" s="13">
        <f>IF(OR(I48="A",I48="K"),IF(K48&gt;0,"+","-"),IF(L48&gt;0,"+","-"))</f>
        <v/>
      </c>
      <c r="K48" s="14" t="n">
        <v>3234</v>
      </c>
      <c r="L48" s="14" t="n"/>
      <c r="M48" s="13" t="inlineStr">
        <is>
          <t>de vordering op de overheid (aftrekbare btw) stijgt</t>
        </is>
      </c>
      <c r="N48" s="13" t="inlineStr">
        <is>
          <t>nee</t>
        </is>
      </c>
    </row>
    <row r="49">
      <c r="A49" s="12" t="n">
        <v>48</v>
      </c>
      <c r="B49" s="16" t="n">
        <v>46055</v>
      </c>
      <c r="C49" s="5" t="inlineStr">
        <is>
          <t>VERPLICHT</t>
        </is>
      </c>
      <c r="D49" s="13" t="inlineStr">
        <is>
          <t>K1</t>
        </is>
      </c>
      <c r="E49" s="13" t="inlineStr">
        <is>
          <t>A1</t>
        </is>
      </c>
      <c r="F49" s="13" t="inlineStr">
        <is>
          <t>2026-205</t>
        </is>
      </c>
      <c r="G49" s="13" t="n">
        <v>440000</v>
      </c>
      <c r="H49" s="13">
        <f>INDEX('MAR 2e graad'!$B$2:$B$58,MATCH(G49,'MAR 2e graad'!$A$2:$A$58,0))</f>
        <v/>
      </c>
      <c r="I49" s="13">
        <f>INDEX('MAR 2e graad'!$C$2:$C$58,MATCH(G49,'MAR 2e graad'!$A$2:$A$58,0))</f>
        <v/>
      </c>
      <c r="J49" s="13">
        <f>IF(OR(I49="A",I49="K"),IF(K49&gt;0,"+","-"),IF(L49&gt;0,"+","-"))</f>
        <v/>
      </c>
      <c r="K49" s="14" t="n"/>
      <c r="L49" s="14" t="n">
        <v>18634</v>
      </c>
      <c r="M49" s="13" t="inlineStr">
        <is>
          <t>de schuld aan de leverancier stijgt</t>
        </is>
      </c>
      <c r="N49" s="13" t="inlineStr">
        <is>
          <t>nee</t>
        </is>
      </c>
    </row>
    <row r="50">
      <c r="A50" s="12" t="n">
        <v>49</v>
      </c>
      <c r="B50" s="16" t="n">
        <v>46056</v>
      </c>
      <c r="C50" s="5" t="inlineStr">
        <is>
          <t>VERPLICHT</t>
        </is>
      </c>
      <c r="D50" s="13" t="inlineStr">
        <is>
          <t>K1</t>
        </is>
      </c>
      <c r="E50" s="13" t="inlineStr">
        <is>
          <t>V1</t>
        </is>
      </c>
      <c r="F50" s="13" t="inlineStr">
        <is>
          <t>2026-003</t>
        </is>
      </c>
      <c r="G50" s="13" t="n">
        <v>400000</v>
      </c>
      <c r="H50" s="13">
        <f>INDEX('MAR 2e graad'!$B$2:$B$58,MATCH(G50,'MAR 2e graad'!$A$2:$A$58,0))</f>
        <v/>
      </c>
      <c r="I50" s="13">
        <f>INDEX('MAR 2e graad'!$C$2:$C$58,MATCH(G50,'MAR 2e graad'!$A$2:$A$58,0))</f>
        <v/>
      </c>
      <c r="J50" s="13">
        <f>IF(OR(I50="A",I50="K"),IF(K50&gt;0,"+","-"),IF(L50&gt;0,"+","-"))</f>
        <v/>
      </c>
      <c r="K50" s="14" t="n">
        <v>5808</v>
      </c>
      <c r="L50" s="14" t="n"/>
      <c r="M50" s="13" t="inlineStr">
        <is>
          <t>de vordering op de klant stijgt</t>
        </is>
      </c>
      <c r="N50" s="13" t="inlineStr">
        <is>
          <t>nee</t>
        </is>
      </c>
    </row>
    <row r="51">
      <c r="A51" s="12" t="n">
        <v>50</v>
      </c>
      <c r="B51" s="16" t="n">
        <v>46056</v>
      </c>
      <c r="C51" s="5" t="inlineStr">
        <is>
          <t>VERPLICHT</t>
        </is>
      </c>
      <c r="D51" s="13" t="inlineStr">
        <is>
          <t>K1</t>
        </is>
      </c>
      <c r="E51" s="13" t="inlineStr">
        <is>
          <t>V1</t>
        </is>
      </c>
      <c r="F51" s="13" t="inlineStr">
        <is>
          <t>2026-003</t>
        </is>
      </c>
      <c r="G51" s="13" t="n">
        <v>704000</v>
      </c>
      <c r="H51" s="13">
        <f>INDEX('MAR 2e graad'!$B$2:$B$58,MATCH(G51,'MAR 2e graad'!$A$2:$A$58,0))</f>
        <v/>
      </c>
      <c r="I51" s="13">
        <f>INDEX('MAR 2e graad'!$C$2:$C$58,MATCH(G51,'MAR 2e graad'!$A$2:$A$58,0))</f>
        <v/>
      </c>
      <c r="J51" s="13">
        <f>IF(OR(I51="A",I51="K"),IF(K51&gt;0,"+","-"),IF(L51&gt;0,"+","-"))</f>
        <v/>
      </c>
      <c r="K51" s="14" t="n"/>
      <c r="L51" s="14" t="n">
        <v>4800</v>
      </c>
      <c r="M51" s="13" t="inlineStr">
        <is>
          <t>de omzet stijgt</t>
        </is>
      </c>
      <c r="N51" s="13" t="inlineStr">
        <is>
          <t>nee</t>
        </is>
      </c>
    </row>
    <row r="52">
      <c r="A52" s="12" t="n">
        <v>51</v>
      </c>
      <c r="B52" s="16" t="n">
        <v>46056</v>
      </c>
      <c r="C52" s="5" t="inlineStr">
        <is>
          <t>VERPLICHT</t>
        </is>
      </c>
      <c r="D52" s="13" t="inlineStr">
        <is>
          <t>K1</t>
        </is>
      </c>
      <c r="E52" s="13" t="inlineStr">
        <is>
          <t>V1</t>
        </is>
      </c>
      <c r="F52" s="13" t="inlineStr">
        <is>
          <t>2026-003</t>
        </is>
      </c>
      <c r="G52" s="13" t="n">
        <v>451100</v>
      </c>
      <c r="H52" s="13">
        <f>INDEX('MAR 2e graad'!$B$2:$B$58,MATCH(G52,'MAR 2e graad'!$A$2:$A$58,0))</f>
        <v/>
      </c>
      <c r="I52" s="13">
        <f>INDEX('MAR 2e graad'!$C$2:$C$58,MATCH(G52,'MAR 2e graad'!$A$2:$A$58,0))</f>
        <v/>
      </c>
      <c r="J52" s="13">
        <f>IF(OR(I52="A",I52="K"),IF(K52&gt;0,"+","-"),IF(L52&gt;0,"+","-"))</f>
        <v/>
      </c>
      <c r="K52" s="14" t="n"/>
      <c r="L52" s="14" t="n">
        <v>1008</v>
      </c>
      <c r="M52" s="13" t="inlineStr">
        <is>
          <t>de schuld aan de overheid (verschuldigde btw) stijgt</t>
        </is>
      </c>
      <c r="N52" s="13" t="inlineStr">
        <is>
          <t>nee</t>
        </is>
      </c>
    </row>
    <row r="53">
      <c r="A53" s="12" t="n">
        <v>52</v>
      </c>
      <c r="B53" s="16" t="n">
        <v>46057</v>
      </c>
      <c r="C53" s="5" t="inlineStr">
        <is>
          <t>VERPLICHT</t>
        </is>
      </c>
      <c r="D53" s="13" t="inlineStr">
        <is>
          <t>K1</t>
        </is>
      </c>
      <c r="E53" s="13" t="inlineStr">
        <is>
          <t>A2</t>
        </is>
      </c>
      <c r="F53" s="13" t="inlineStr">
        <is>
          <t>SW-1032</t>
        </is>
      </c>
      <c r="G53" s="13" t="n">
        <v>604000</v>
      </c>
      <c r="H53" s="13">
        <f>INDEX('MAR 2e graad'!$B$2:$B$58,MATCH(G53,'MAR 2e graad'!$A$2:$A$58,0))</f>
        <v/>
      </c>
      <c r="I53" s="13">
        <f>INDEX('MAR 2e graad'!$C$2:$C$58,MATCH(G53,'MAR 2e graad'!$A$2:$A$58,0))</f>
        <v/>
      </c>
      <c r="J53" s="13">
        <f>IF(OR(I53="A",I53="K"),IF(K53&gt;0,"+","-"),IF(L53&gt;0,"+","-"))</f>
        <v/>
      </c>
      <c r="K53" s="14" t="n">
        <v>300</v>
      </c>
      <c r="L53" s="14" t="n"/>
      <c r="M53" s="13" t="inlineStr">
        <is>
          <t>de kosten voor handelsgoederen stijgen</t>
        </is>
      </c>
      <c r="N53" s="13" t="inlineStr">
        <is>
          <t>nee</t>
        </is>
      </c>
    </row>
    <row r="54">
      <c r="A54" s="12" t="n">
        <v>53</v>
      </c>
      <c r="B54" s="16" t="n">
        <v>46057</v>
      </c>
      <c r="C54" s="5" t="inlineStr">
        <is>
          <t>VERPLICHT</t>
        </is>
      </c>
      <c r="D54" s="13" t="inlineStr">
        <is>
          <t>K1</t>
        </is>
      </c>
      <c r="E54" s="13" t="inlineStr">
        <is>
          <t>A2</t>
        </is>
      </c>
      <c r="F54" s="13" t="inlineStr">
        <is>
          <t>SW-1032</t>
        </is>
      </c>
      <c r="G54" s="13" t="n">
        <v>604000</v>
      </c>
      <c r="H54" s="13">
        <f>INDEX('MAR 2e graad'!$B$2:$B$58,MATCH(G54,'MAR 2e graad'!$A$2:$A$58,0))</f>
        <v/>
      </c>
      <c r="I54" s="13">
        <f>INDEX('MAR 2e graad'!$C$2:$C$58,MATCH(G54,'MAR 2e graad'!$A$2:$A$58,0))</f>
        <v/>
      </c>
      <c r="J54" s="13">
        <f>IF(OR(I54="A",I54="K"),IF(K54&gt;0,"+","-"),IF(L54&gt;0,"+","-"))</f>
        <v/>
      </c>
      <c r="K54" s="14" t="n">
        <v>100</v>
      </c>
      <c r="L54" s="14" t="n"/>
      <c r="M54" s="13" t="inlineStr">
        <is>
          <t>de kosten voor handelsgoederen stijgen</t>
        </is>
      </c>
      <c r="N54" s="13" t="inlineStr">
        <is>
          <t>nee</t>
        </is>
      </c>
    </row>
    <row r="55">
      <c r="A55" s="12" t="n">
        <v>54</v>
      </c>
      <c r="B55" s="16" t="n">
        <v>46057</v>
      </c>
      <c r="C55" s="5" t="inlineStr">
        <is>
          <t>VERPLICHT</t>
        </is>
      </c>
      <c r="D55" s="13" t="inlineStr">
        <is>
          <t>K1</t>
        </is>
      </c>
      <c r="E55" s="13" t="inlineStr">
        <is>
          <t>A2</t>
        </is>
      </c>
      <c r="F55" s="13" t="inlineStr">
        <is>
          <t>SW-1032</t>
        </is>
      </c>
      <c r="G55" s="13" t="n">
        <v>411100</v>
      </c>
      <c r="H55" s="13">
        <f>INDEX('MAR 2e graad'!$B$2:$B$58,MATCH(G55,'MAR 2e graad'!$A$2:$A$58,0))</f>
        <v/>
      </c>
      <c r="I55" s="13">
        <f>INDEX('MAR 2e graad'!$C$2:$C$58,MATCH(G55,'MAR 2e graad'!$A$2:$A$58,0))</f>
        <v/>
      </c>
      <c r="J55" s="13">
        <f>IF(OR(I55="A",I55="K"),IF(K55&gt;0,"+","-"),IF(L55&gt;0,"+","-"))</f>
        <v/>
      </c>
      <c r="K55" s="14" t="n">
        <v>84</v>
      </c>
      <c r="L55" s="14" t="n"/>
      <c r="M55" s="13" t="inlineStr">
        <is>
          <t>de vordering op de overheid (aftrekbare btw) stijgt</t>
        </is>
      </c>
      <c r="N55" s="13" t="inlineStr">
        <is>
          <t>nee</t>
        </is>
      </c>
    </row>
    <row r="56">
      <c r="A56" s="12" t="n">
        <v>55</v>
      </c>
      <c r="B56" s="16" t="n">
        <v>46057</v>
      </c>
      <c r="C56" s="5" t="inlineStr">
        <is>
          <t>VERPLICHT</t>
        </is>
      </c>
      <c r="D56" s="13" t="inlineStr">
        <is>
          <t>K1</t>
        </is>
      </c>
      <c r="E56" s="13" t="inlineStr">
        <is>
          <t>A2</t>
        </is>
      </c>
      <c r="F56" s="13" t="inlineStr">
        <is>
          <t>SW-1032</t>
        </is>
      </c>
      <c r="G56" s="13" t="n">
        <v>440000</v>
      </c>
      <c r="H56" s="13">
        <f>INDEX('MAR 2e graad'!$B$2:$B$58,MATCH(G56,'MAR 2e graad'!$A$2:$A$58,0))</f>
        <v/>
      </c>
      <c r="I56" s="13">
        <f>INDEX('MAR 2e graad'!$C$2:$C$58,MATCH(G56,'MAR 2e graad'!$A$2:$A$58,0))</f>
        <v/>
      </c>
      <c r="J56" s="13">
        <f>IF(OR(I56="A",I56="K"),IF(K56&gt;0,"+","-"),IF(L56&gt;0,"+","-"))</f>
        <v/>
      </c>
      <c r="K56" s="14" t="n"/>
      <c r="L56" s="14" t="n">
        <v>484</v>
      </c>
      <c r="M56" s="13" t="inlineStr">
        <is>
          <t>de schuld aan de leverancier stijgt</t>
        </is>
      </c>
      <c r="N56" s="13" t="inlineStr">
        <is>
          <t>nee</t>
        </is>
      </c>
    </row>
    <row r="57">
      <c r="A57" s="12" t="n">
        <v>56</v>
      </c>
      <c r="B57" s="16" t="n">
        <v>46059</v>
      </c>
      <c r="C57" s="5" t="inlineStr">
        <is>
          <t>VERPLICHT</t>
        </is>
      </c>
      <c r="D57" s="13" t="inlineStr">
        <is>
          <t>K1</t>
        </is>
      </c>
      <c r="E57" s="13" t="inlineStr">
        <is>
          <t>A3</t>
        </is>
      </c>
      <c r="F57" s="13" t="inlineStr">
        <is>
          <t>HH-26-077</t>
        </is>
      </c>
      <c r="G57" s="13" t="n">
        <v>604000</v>
      </c>
      <c r="H57" s="13">
        <f>INDEX('MAR 2e graad'!$B$2:$B$58,MATCH(G57,'MAR 2e graad'!$A$2:$A$58,0))</f>
        <v/>
      </c>
      <c r="I57" s="13">
        <f>INDEX('MAR 2e graad'!$C$2:$C$58,MATCH(G57,'MAR 2e graad'!$A$2:$A$58,0))</f>
        <v/>
      </c>
      <c r="J57" s="13">
        <f>IF(OR(I57="A",I57="K"),IF(K57&gt;0,"+","-"),IF(L57&gt;0,"+","-"))</f>
        <v/>
      </c>
      <c r="K57" s="14" t="n">
        <v>600</v>
      </c>
      <c r="L57" s="14" t="n"/>
      <c r="M57" s="13" t="inlineStr">
        <is>
          <t>de kosten voor handelsgoederen stijgen</t>
        </is>
      </c>
      <c r="N57" s="13" t="inlineStr">
        <is>
          <t>nee</t>
        </is>
      </c>
    </row>
    <row r="58">
      <c r="A58" s="12" t="n">
        <v>57</v>
      </c>
      <c r="B58" s="16" t="n">
        <v>46059</v>
      </c>
      <c r="C58" s="5" t="inlineStr">
        <is>
          <t>VERPLICHT</t>
        </is>
      </c>
      <c r="D58" s="13" t="inlineStr">
        <is>
          <t>K1</t>
        </is>
      </c>
      <c r="E58" s="13" t="inlineStr">
        <is>
          <t>A3</t>
        </is>
      </c>
      <c r="F58" s="13" t="inlineStr">
        <is>
          <t>HH-26-077</t>
        </is>
      </c>
      <c r="G58" s="13" t="n">
        <v>604000</v>
      </c>
      <c r="H58" s="13">
        <f>INDEX('MAR 2e graad'!$B$2:$B$58,MATCH(G58,'MAR 2e graad'!$A$2:$A$58,0))</f>
        <v/>
      </c>
      <c r="I58" s="13">
        <f>INDEX('MAR 2e graad'!$C$2:$C$58,MATCH(G58,'MAR 2e graad'!$A$2:$A$58,0))</f>
        <v/>
      </c>
      <c r="J58" s="13">
        <f>IF(OR(I58="A",I58="K"),IF(K58&gt;0,"+","-"),IF(L58&gt;0,"+","-"))</f>
        <v/>
      </c>
      <c r="K58" s="14" t="n">
        <v>400</v>
      </c>
      <c r="L58" s="14" t="n"/>
      <c r="M58" s="13" t="inlineStr">
        <is>
          <t>de kosten voor handelsgoederen stijgen</t>
        </is>
      </c>
      <c r="N58" s="13" t="inlineStr">
        <is>
          <t>nee</t>
        </is>
      </c>
    </row>
    <row r="59">
      <c r="A59" s="12" t="n">
        <v>58</v>
      </c>
      <c r="B59" s="16" t="n">
        <v>46059</v>
      </c>
      <c r="C59" s="5" t="inlineStr">
        <is>
          <t>VERPLICHT</t>
        </is>
      </c>
      <c r="D59" s="13" t="inlineStr">
        <is>
          <t>K1</t>
        </is>
      </c>
      <c r="E59" s="13" t="inlineStr">
        <is>
          <t>A3</t>
        </is>
      </c>
      <c r="F59" s="13" t="inlineStr">
        <is>
          <t>HH-26-077</t>
        </is>
      </c>
      <c r="G59" s="13" t="n">
        <v>411100</v>
      </c>
      <c r="H59" s="13">
        <f>INDEX('MAR 2e graad'!$B$2:$B$58,MATCH(G59,'MAR 2e graad'!$A$2:$A$58,0))</f>
        <v/>
      </c>
      <c r="I59" s="13">
        <f>INDEX('MAR 2e graad'!$C$2:$C$58,MATCH(G59,'MAR 2e graad'!$A$2:$A$58,0))</f>
        <v/>
      </c>
      <c r="J59" s="13">
        <f>IF(OR(I59="A",I59="K"),IF(K59&gt;0,"+","-"),IF(L59&gt;0,"+","-"))</f>
        <v/>
      </c>
      <c r="K59" s="14" t="n">
        <v>210</v>
      </c>
      <c r="L59" s="14" t="n"/>
      <c r="M59" s="13" t="inlineStr">
        <is>
          <t>de vordering op de overheid (aftrekbare btw) stijgt</t>
        </is>
      </c>
      <c r="N59" s="13" t="inlineStr">
        <is>
          <t>nee</t>
        </is>
      </c>
    </row>
    <row r="60">
      <c r="A60" s="12" t="n">
        <v>59</v>
      </c>
      <c r="B60" s="16" t="n">
        <v>46059</v>
      </c>
      <c r="C60" s="5" t="inlineStr">
        <is>
          <t>VERPLICHT</t>
        </is>
      </c>
      <c r="D60" s="13" t="inlineStr">
        <is>
          <t>K1</t>
        </is>
      </c>
      <c r="E60" s="13" t="inlineStr">
        <is>
          <t>A3</t>
        </is>
      </c>
      <c r="F60" s="13" t="inlineStr">
        <is>
          <t>HH-26-077</t>
        </is>
      </c>
      <c r="G60" s="13" t="n">
        <v>440000</v>
      </c>
      <c r="H60" s="13">
        <f>INDEX('MAR 2e graad'!$B$2:$B$58,MATCH(G60,'MAR 2e graad'!$A$2:$A$58,0))</f>
        <v/>
      </c>
      <c r="I60" s="13">
        <f>INDEX('MAR 2e graad'!$C$2:$C$58,MATCH(G60,'MAR 2e graad'!$A$2:$A$58,0))</f>
        <v/>
      </c>
      <c r="J60" s="13">
        <f>IF(OR(I60="A",I60="K"),IF(K60&gt;0,"+","-"),IF(L60&gt;0,"+","-"))</f>
        <v/>
      </c>
      <c r="K60" s="14" t="n"/>
      <c r="L60" s="14" t="n">
        <v>1210</v>
      </c>
      <c r="M60" s="13" t="inlineStr">
        <is>
          <t>de schuld aan de leverancier stijgt</t>
        </is>
      </c>
      <c r="N60" s="13" t="inlineStr">
        <is>
          <t>nee</t>
        </is>
      </c>
    </row>
    <row r="61">
      <c r="A61" s="12" t="n">
        <v>60</v>
      </c>
      <c r="B61" s="16" t="n">
        <v>46060</v>
      </c>
      <c r="C61" s="5" t="inlineStr">
        <is>
          <t>VERPLICHT</t>
        </is>
      </c>
      <c r="D61" s="13" t="inlineStr">
        <is>
          <t>K1</t>
        </is>
      </c>
      <c r="E61" s="13" t="inlineStr">
        <is>
          <t>D1</t>
        </is>
      </c>
      <c r="F61" s="13" t="inlineStr">
        <is>
          <t>DO-2026-02</t>
        </is>
      </c>
      <c r="G61" s="13" t="n">
        <v>400000</v>
      </c>
      <c r="H61" s="13">
        <f>INDEX('MAR 2e graad'!$B$2:$B$58,MATCH(G61,'MAR 2e graad'!$A$2:$A$58,0))</f>
        <v/>
      </c>
      <c r="I61" s="13">
        <f>INDEX('MAR 2e graad'!$C$2:$C$58,MATCH(G61,'MAR 2e graad'!$A$2:$A$58,0))</f>
        <v/>
      </c>
      <c r="J61" s="13">
        <f>IF(OR(I61="A",I61="K"),IF(K61&gt;0,"+","-"),IF(L61&gt;0,"+","-"))</f>
        <v/>
      </c>
      <c r="K61" s="14" t="n">
        <v>2133</v>
      </c>
      <c r="L61" s="14" t="n"/>
      <c r="M61" s="13" t="inlineStr">
        <is>
          <t>de vordering op de klanten (dagontvangsten) stijgt</t>
        </is>
      </c>
      <c r="N61" s="13" t="inlineStr">
        <is>
          <t>nee</t>
        </is>
      </c>
    </row>
    <row r="62">
      <c r="A62" s="12" t="n">
        <v>61</v>
      </c>
      <c r="B62" s="16" t="n">
        <v>46060</v>
      </c>
      <c r="C62" s="5" t="inlineStr">
        <is>
          <t>VERPLICHT</t>
        </is>
      </c>
      <c r="D62" s="13" t="inlineStr">
        <is>
          <t>K1</t>
        </is>
      </c>
      <c r="E62" s="13" t="inlineStr">
        <is>
          <t>D1</t>
        </is>
      </c>
      <c r="F62" s="13" t="inlineStr">
        <is>
          <t>DO-2026-02</t>
        </is>
      </c>
      <c r="G62" s="13" t="n">
        <v>704000</v>
      </c>
      <c r="H62" s="13">
        <f>INDEX('MAR 2e graad'!$B$2:$B$58,MATCH(G62,'MAR 2e graad'!$A$2:$A$58,0))</f>
        <v/>
      </c>
      <c r="I62" s="13">
        <f>INDEX('MAR 2e graad'!$C$2:$C$58,MATCH(G62,'MAR 2e graad'!$A$2:$A$58,0))</f>
        <v/>
      </c>
      <c r="J62" s="13">
        <f>IF(OR(I62="A",I62="K"),IF(K62&gt;0,"+","-"),IF(L62&gt;0,"+","-"))</f>
        <v/>
      </c>
      <c r="K62" s="14" t="n"/>
      <c r="L62" s="14" t="n">
        <v>1200</v>
      </c>
      <c r="M62" s="13" t="inlineStr">
        <is>
          <t>de omzet stijgt</t>
        </is>
      </c>
      <c r="N62" s="13" t="inlineStr">
        <is>
          <t>nee</t>
        </is>
      </c>
    </row>
    <row r="63">
      <c r="A63" s="12" t="n">
        <v>62</v>
      </c>
      <c r="B63" s="16" t="n">
        <v>46060</v>
      </c>
      <c r="C63" s="5" t="inlineStr">
        <is>
          <t>VERPLICHT</t>
        </is>
      </c>
      <c r="D63" s="13" t="inlineStr">
        <is>
          <t>K1</t>
        </is>
      </c>
      <c r="E63" s="13" t="inlineStr">
        <is>
          <t>D1</t>
        </is>
      </c>
      <c r="F63" s="13" t="inlineStr">
        <is>
          <t>DO-2026-02</t>
        </is>
      </c>
      <c r="G63" s="13" t="n">
        <v>704000</v>
      </c>
      <c r="H63" s="13">
        <f>INDEX('MAR 2e graad'!$B$2:$B$58,MATCH(G63,'MAR 2e graad'!$A$2:$A$58,0))</f>
        <v/>
      </c>
      <c r="I63" s="13">
        <f>INDEX('MAR 2e graad'!$C$2:$C$58,MATCH(G63,'MAR 2e graad'!$A$2:$A$58,0))</f>
        <v/>
      </c>
      <c r="J63" s="13">
        <f>IF(OR(I63="A",I63="K"),IF(K63&gt;0,"+","-"),IF(L63&gt;0,"+","-"))</f>
        <v/>
      </c>
      <c r="K63" s="14" t="n"/>
      <c r="L63" s="14" t="n">
        <v>300</v>
      </c>
      <c r="M63" s="13" t="inlineStr">
        <is>
          <t>de omzet stijgt</t>
        </is>
      </c>
      <c r="N63" s="13" t="inlineStr">
        <is>
          <t>nee</t>
        </is>
      </c>
    </row>
    <row r="64">
      <c r="A64" s="12" t="n">
        <v>63</v>
      </c>
      <c r="B64" s="16" t="n">
        <v>46060</v>
      </c>
      <c r="C64" s="5" t="inlineStr">
        <is>
          <t>VERPLICHT</t>
        </is>
      </c>
      <c r="D64" s="13" t="inlineStr">
        <is>
          <t>K1</t>
        </is>
      </c>
      <c r="E64" s="13" t="inlineStr">
        <is>
          <t>D1</t>
        </is>
      </c>
      <c r="F64" s="13" t="inlineStr">
        <is>
          <t>DO-2026-02</t>
        </is>
      </c>
      <c r="G64" s="13" t="n">
        <v>700000</v>
      </c>
      <c r="H64" s="13">
        <f>INDEX('MAR 2e graad'!$B$2:$B$58,MATCH(G64,'MAR 2e graad'!$A$2:$A$58,0))</f>
        <v/>
      </c>
      <c r="I64" s="13">
        <f>INDEX('MAR 2e graad'!$C$2:$C$58,MATCH(G64,'MAR 2e graad'!$A$2:$A$58,0))</f>
        <v/>
      </c>
      <c r="J64" s="13">
        <f>IF(OR(I64="A",I64="K"),IF(K64&gt;0,"+","-"),IF(L64&gt;0,"+","-"))</f>
        <v/>
      </c>
      <c r="K64" s="14" t="n"/>
      <c r="L64" s="14" t="n">
        <v>300</v>
      </c>
      <c r="M64" s="13" t="inlineStr">
        <is>
          <t>de omzet (diensten) stijgt</t>
        </is>
      </c>
      <c r="N64" s="13" t="inlineStr">
        <is>
          <t>nee</t>
        </is>
      </c>
    </row>
    <row r="65">
      <c r="A65" s="12" t="n">
        <v>64</v>
      </c>
      <c r="B65" s="16" t="n">
        <v>46060</v>
      </c>
      <c r="C65" s="5" t="inlineStr">
        <is>
          <t>VERPLICHT</t>
        </is>
      </c>
      <c r="D65" s="13" t="inlineStr">
        <is>
          <t>K1</t>
        </is>
      </c>
      <c r="E65" s="13" t="inlineStr">
        <is>
          <t>D1</t>
        </is>
      </c>
      <c r="F65" s="13" t="inlineStr">
        <is>
          <t>DO-2026-02</t>
        </is>
      </c>
      <c r="G65" s="13" t="n">
        <v>451100</v>
      </c>
      <c r="H65" s="13">
        <f>INDEX('MAR 2e graad'!$B$2:$B$58,MATCH(G65,'MAR 2e graad'!$A$2:$A$58,0))</f>
        <v/>
      </c>
      <c r="I65" s="13">
        <f>INDEX('MAR 2e graad'!$C$2:$C$58,MATCH(G65,'MAR 2e graad'!$A$2:$A$58,0))</f>
        <v/>
      </c>
      <c r="J65" s="13">
        <f>IF(OR(I65="A",I65="K"),IF(K65&gt;0,"+","-"),IF(L65&gt;0,"+","-"))</f>
        <v/>
      </c>
      <c r="K65" s="14" t="n"/>
      <c r="L65" s="14" t="n">
        <v>333</v>
      </c>
      <c r="M65" s="13" t="inlineStr">
        <is>
          <t>de schuld aan de overheid (verschuldigde btw) stijgt</t>
        </is>
      </c>
      <c r="N65" s="13" t="inlineStr">
        <is>
          <t>nee</t>
        </is>
      </c>
    </row>
    <row r="66">
      <c r="A66" s="12" t="n">
        <v>65</v>
      </c>
      <c r="B66" s="16" t="n">
        <v>46060</v>
      </c>
      <c r="C66" s="5" t="inlineStr">
        <is>
          <t>VERPLICHT</t>
        </is>
      </c>
      <c r="D66" s="13" t="inlineStr">
        <is>
          <t>K1</t>
        </is>
      </c>
      <c r="E66" s="13" t="inlineStr">
        <is>
          <t>D1K</t>
        </is>
      </c>
      <c r="F66" s="13" t="inlineStr">
        <is>
          <t>Kasboek DO-2026-02</t>
        </is>
      </c>
      <c r="G66" s="13" t="n">
        <v>570000</v>
      </c>
      <c r="H66" s="13">
        <f>INDEX('MAR 2e graad'!$B$2:$B$58,MATCH(G66,'MAR 2e graad'!$A$2:$A$58,0))</f>
        <v/>
      </c>
      <c r="I66" s="13">
        <f>INDEX('MAR 2e graad'!$C$2:$C$58,MATCH(G66,'MAR 2e graad'!$A$2:$A$58,0))</f>
        <v/>
      </c>
      <c r="J66" s="13">
        <f>IF(OR(I66="A",I66="K"),IF(K66&gt;0,"+","-"),IF(L66&gt;0,"+","-"))</f>
        <v/>
      </c>
      <c r="K66" s="14" t="n">
        <v>633</v>
      </c>
      <c r="L66" s="14" t="n"/>
      <c r="M66" s="13" t="inlineStr">
        <is>
          <t>de kas stijgt</t>
        </is>
      </c>
      <c r="N66" s="13" t="inlineStr">
        <is>
          <t>nee</t>
        </is>
      </c>
    </row>
    <row r="67">
      <c r="A67" s="12" t="n">
        <v>66</v>
      </c>
      <c r="B67" s="16" t="n">
        <v>46060</v>
      </c>
      <c r="C67" s="5" t="inlineStr">
        <is>
          <t>VERPLICHT</t>
        </is>
      </c>
      <c r="D67" s="13" t="inlineStr">
        <is>
          <t>K1</t>
        </is>
      </c>
      <c r="E67" s="13" t="inlineStr">
        <is>
          <t>D1K</t>
        </is>
      </c>
      <c r="F67" s="13" t="inlineStr">
        <is>
          <t>Kasboek DO-2026-02</t>
        </is>
      </c>
      <c r="G67" s="13" t="n">
        <v>400000</v>
      </c>
      <c r="H67" s="13">
        <f>INDEX('MAR 2e graad'!$B$2:$B$58,MATCH(G67,'MAR 2e graad'!$A$2:$A$58,0))</f>
        <v/>
      </c>
      <c r="I67" s="13">
        <f>INDEX('MAR 2e graad'!$C$2:$C$58,MATCH(G67,'MAR 2e graad'!$A$2:$A$58,0))</f>
        <v/>
      </c>
      <c r="J67" s="13">
        <f>IF(OR(I67="A",I67="K"),IF(K67&gt;0,"+","-"),IF(L67&gt;0,"+","-"))</f>
        <v/>
      </c>
      <c r="K67" s="14" t="n"/>
      <c r="L67" s="14" t="n">
        <v>633</v>
      </c>
      <c r="M67" s="13" t="inlineStr">
        <is>
          <t>de vordering op de klanten (contant betaald) daalt</t>
        </is>
      </c>
      <c r="N67" s="13" t="inlineStr">
        <is>
          <t>nee</t>
        </is>
      </c>
    </row>
    <row r="68">
      <c r="A68" s="12" t="n">
        <v>67</v>
      </c>
      <c r="B68" s="16" t="n">
        <v>46062</v>
      </c>
      <c r="C68" s="5" t="inlineStr">
        <is>
          <t>VERPLICHT</t>
        </is>
      </c>
      <c r="D68" s="13" t="inlineStr">
        <is>
          <t>K1</t>
        </is>
      </c>
      <c r="E68" s="13" t="inlineStr">
        <is>
          <t>A4</t>
        </is>
      </c>
      <c r="F68" s="13" t="inlineStr">
        <is>
          <t>DP-2026-031</t>
        </is>
      </c>
      <c r="G68" s="13" t="n">
        <v>616520</v>
      </c>
      <c r="H68" s="13">
        <f>INDEX('MAR 2e graad'!$B$2:$B$58,MATCH(G68,'MAR 2e graad'!$A$2:$A$58,0))</f>
        <v/>
      </c>
      <c r="I68" s="13">
        <f>INDEX('MAR 2e graad'!$C$2:$C$58,MATCH(G68,'MAR 2e graad'!$A$2:$A$58,0))</f>
        <v/>
      </c>
      <c r="J68" s="13">
        <f>IF(OR(I68="A",I68="K"),IF(K68&gt;0,"+","-"),IF(L68&gt;0,"+","-"))</f>
        <v/>
      </c>
      <c r="K68" s="14" t="n">
        <v>500</v>
      </c>
      <c r="L68" s="14" t="n"/>
      <c r="M68" s="13" t="inlineStr">
        <is>
          <t>de kosten voor diensten en diverse goederen stijgen</t>
        </is>
      </c>
      <c r="N68" s="13" t="inlineStr">
        <is>
          <t>nee</t>
        </is>
      </c>
    </row>
    <row r="69">
      <c r="A69" s="12" t="n">
        <v>68</v>
      </c>
      <c r="B69" s="16" t="n">
        <v>46062</v>
      </c>
      <c r="C69" s="5" t="inlineStr">
        <is>
          <t>VERPLICHT</t>
        </is>
      </c>
      <c r="D69" s="13" t="inlineStr">
        <is>
          <t>K1</t>
        </is>
      </c>
      <c r="E69" s="13" t="inlineStr">
        <is>
          <t>A4</t>
        </is>
      </c>
      <c r="F69" s="13" t="inlineStr">
        <is>
          <t>DP-2026-031</t>
        </is>
      </c>
      <c r="G69" s="13" t="n">
        <v>411100</v>
      </c>
      <c r="H69" s="13">
        <f>INDEX('MAR 2e graad'!$B$2:$B$58,MATCH(G69,'MAR 2e graad'!$A$2:$A$58,0))</f>
        <v/>
      </c>
      <c r="I69" s="13">
        <f>INDEX('MAR 2e graad'!$C$2:$C$58,MATCH(G69,'MAR 2e graad'!$A$2:$A$58,0))</f>
        <v/>
      </c>
      <c r="J69" s="13">
        <f>IF(OR(I69="A",I69="K"),IF(K69&gt;0,"+","-"),IF(L69&gt;0,"+","-"))</f>
        <v/>
      </c>
      <c r="K69" s="14" t="n">
        <v>105</v>
      </c>
      <c r="L69" s="14" t="n"/>
      <c r="M69" s="13" t="inlineStr">
        <is>
          <t>de vordering op de overheid (aftrekbare btw) stijgt</t>
        </is>
      </c>
      <c r="N69" s="13" t="inlineStr">
        <is>
          <t>nee</t>
        </is>
      </c>
    </row>
    <row r="70">
      <c r="A70" s="12" t="n">
        <v>69</v>
      </c>
      <c r="B70" s="16" t="n">
        <v>46062</v>
      </c>
      <c r="C70" s="5" t="inlineStr">
        <is>
          <t>VERPLICHT</t>
        </is>
      </c>
      <c r="D70" s="13" t="inlineStr">
        <is>
          <t>K1</t>
        </is>
      </c>
      <c r="E70" s="13" t="inlineStr">
        <is>
          <t>A4</t>
        </is>
      </c>
      <c r="F70" s="13" t="inlineStr">
        <is>
          <t>DP-2026-031</t>
        </is>
      </c>
      <c r="G70" s="13" t="n">
        <v>440000</v>
      </c>
      <c r="H70" s="13">
        <f>INDEX('MAR 2e graad'!$B$2:$B$58,MATCH(G70,'MAR 2e graad'!$A$2:$A$58,0))</f>
        <v/>
      </c>
      <c r="I70" s="13">
        <f>INDEX('MAR 2e graad'!$C$2:$C$58,MATCH(G70,'MAR 2e graad'!$A$2:$A$58,0))</f>
        <v/>
      </c>
      <c r="J70" s="13">
        <f>IF(OR(I70="A",I70="K"),IF(K70&gt;0,"+","-"),IF(L70&gt;0,"+","-"))</f>
        <v/>
      </c>
      <c r="K70" s="14" t="n"/>
      <c r="L70" s="14" t="n">
        <v>605</v>
      </c>
      <c r="M70" s="13" t="inlineStr">
        <is>
          <t>de schuld aan de leverancier stijgt</t>
        </is>
      </c>
      <c r="N70" s="13" t="inlineStr">
        <is>
          <t>nee</t>
        </is>
      </c>
    </row>
    <row r="71">
      <c r="A71" s="12" t="n">
        <v>70</v>
      </c>
      <c r="B71" s="16" t="n">
        <v>46063</v>
      </c>
      <c r="C71" s="5" t="inlineStr">
        <is>
          <t>VERPLICHT</t>
        </is>
      </c>
      <c r="D71" s="13" t="inlineStr">
        <is>
          <t>K1</t>
        </is>
      </c>
      <c r="E71" s="13" t="inlineStr">
        <is>
          <t>V2</t>
        </is>
      </c>
      <c r="F71" s="13" t="inlineStr">
        <is>
          <t>2026-004</t>
        </is>
      </c>
      <c r="G71" s="13" t="n">
        <v>400000</v>
      </c>
      <c r="H71" s="13">
        <f>INDEX('MAR 2e graad'!$B$2:$B$58,MATCH(G71,'MAR 2e graad'!$A$2:$A$58,0))</f>
        <v/>
      </c>
      <c r="I71" s="13">
        <f>INDEX('MAR 2e graad'!$C$2:$C$58,MATCH(G71,'MAR 2e graad'!$A$2:$A$58,0))</f>
        <v/>
      </c>
      <c r="J71" s="13">
        <f>IF(OR(I71="A",I71="K"),IF(K71&gt;0,"+","-"),IF(L71&gt;0,"+","-"))</f>
        <v/>
      </c>
      <c r="K71" s="14" t="n">
        <v>6292</v>
      </c>
      <c r="L71" s="14" t="n"/>
      <c r="M71" s="13" t="inlineStr">
        <is>
          <t>de vordering op de klant stijgt</t>
        </is>
      </c>
      <c r="N71" s="13" t="inlineStr">
        <is>
          <t>nee</t>
        </is>
      </c>
    </row>
    <row r="72">
      <c r="A72" s="12" t="n">
        <v>71</v>
      </c>
      <c r="B72" s="16" t="n">
        <v>46063</v>
      </c>
      <c r="C72" s="5" t="inlineStr">
        <is>
          <t>VERPLICHT</t>
        </is>
      </c>
      <c r="D72" s="13" t="inlineStr">
        <is>
          <t>K1</t>
        </is>
      </c>
      <c r="E72" s="13" t="inlineStr">
        <is>
          <t>V2</t>
        </is>
      </c>
      <c r="F72" s="13" t="inlineStr">
        <is>
          <t>2026-004</t>
        </is>
      </c>
      <c r="G72" s="13" t="n">
        <v>704000</v>
      </c>
      <c r="H72" s="13">
        <f>INDEX('MAR 2e graad'!$B$2:$B$58,MATCH(G72,'MAR 2e graad'!$A$2:$A$58,0))</f>
        <v/>
      </c>
      <c r="I72" s="13">
        <f>INDEX('MAR 2e graad'!$C$2:$C$58,MATCH(G72,'MAR 2e graad'!$A$2:$A$58,0))</f>
        <v/>
      </c>
      <c r="J72" s="13">
        <f>IF(OR(I72="A",I72="K"),IF(K72&gt;0,"+","-"),IF(L72&gt;0,"+","-"))</f>
        <v/>
      </c>
      <c r="K72" s="14" t="n"/>
      <c r="L72" s="14" t="n">
        <v>5200</v>
      </c>
      <c r="M72" s="13" t="inlineStr">
        <is>
          <t>de omzet stijgt</t>
        </is>
      </c>
      <c r="N72" s="13" t="inlineStr">
        <is>
          <t>nee</t>
        </is>
      </c>
    </row>
    <row r="73">
      <c r="A73" s="12" t="n">
        <v>72</v>
      </c>
      <c r="B73" s="16" t="n">
        <v>46063</v>
      </c>
      <c r="C73" s="5" t="inlineStr">
        <is>
          <t>VERPLICHT</t>
        </is>
      </c>
      <c r="D73" s="13" t="inlineStr">
        <is>
          <t>K1</t>
        </is>
      </c>
      <c r="E73" s="13" t="inlineStr">
        <is>
          <t>V2</t>
        </is>
      </c>
      <c r="F73" s="13" t="inlineStr">
        <is>
          <t>2026-004</t>
        </is>
      </c>
      <c r="G73" s="13" t="n">
        <v>451100</v>
      </c>
      <c r="H73" s="13">
        <f>INDEX('MAR 2e graad'!$B$2:$B$58,MATCH(G73,'MAR 2e graad'!$A$2:$A$58,0))</f>
        <v/>
      </c>
      <c r="I73" s="13">
        <f>INDEX('MAR 2e graad'!$C$2:$C$58,MATCH(G73,'MAR 2e graad'!$A$2:$A$58,0))</f>
        <v/>
      </c>
      <c r="J73" s="13">
        <f>IF(OR(I73="A",I73="K"),IF(K73&gt;0,"+","-"),IF(L73&gt;0,"+","-"))</f>
        <v/>
      </c>
      <c r="K73" s="14" t="n"/>
      <c r="L73" s="14" t="n">
        <v>1092</v>
      </c>
      <c r="M73" s="13" t="inlineStr">
        <is>
          <t>de schuld aan de overheid (verschuldigde btw) stijgt</t>
        </is>
      </c>
      <c r="N73" s="13" t="inlineStr">
        <is>
          <t>nee</t>
        </is>
      </c>
    </row>
    <row r="74">
      <c r="A74" s="12" t="n">
        <v>73</v>
      </c>
      <c r="B74" s="16" t="n">
        <v>46063</v>
      </c>
      <c r="C74" s="5" t="inlineStr">
        <is>
          <t>VERPLICHT</t>
        </is>
      </c>
      <c r="D74" s="13" t="inlineStr">
        <is>
          <t>K1</t>
        </is>
      </c>
      <c r="E74" s="13" t="inlineStr">
        <is>
          <t>U2026-04/1</t>
        </is>
      </c>
      <c r="F74" s="13" t="inlineStr">
        <is>
          <t>uittreksel U2026-04/1</t>
        </is>
      </c>
      <c r="G74" s="13" t="n">
        <v>550000</v>
      </c>
      <c r="H74" s="13">
        <f>INDEX('MAR 2e graad'!$B$2:$B$58,MATCH(G74,'MAR 2e graad'!$A$2:$A$58,0))</f>
        <v/>
      </c>
      <c r="I74" s="13">
        <f>INDEX('MAR 2e graad'!$C$2:$C$58,MATCH(G74,'MAR 2e graad'!$A$2:$A$58,0))</f>
        <v/>
      </c>
      <c r="J74" s="13">
        <f>IF(OR(I74="A",I74="K"),IF(K74&gt;0,"+","-"),IF(L74&gt;0,"+","-"))</f>
        <v/>
      </c>
      <c r="K74" s="14" t="n">
        <v>1500</v>
      </c>
      <c r="L74" s="14" t="n"/>
      <c r="M74" s="13" t="inlineStr">
        <is>
          <t>de bank stijgt</t>
        </is>
      </c>
      <c r="N74" s="13" t="inlineStr">
        <is>
          <t>nee</t>
        </is>
      </c>
    </row>
    <row r="75">
      <c r="A75" s="12" t="n">
        <v>74</v>
      </c>
      <c r="B75" s="16" t="n">
        <v>46063</v>
      </c>
      <c r="C75" s="5" t="inlineStr">
        <is>
          <t>VERPLICHT</t>
        </is>
      </c>
      <c r="D75" s="13" t="inlineStr">
        <is>
          <t>K1</t>
        </is>
      </c>
      <c r="E75" s="13" t="inlineStr">
        <is>
          <t>U2026-04/1</t>
        </is>
      </c>
      <c r="F75" s="13" t="inlineStr">
        <is>
          <t>uittreksel U2026-04/1</t>
        </is>
      </c>
      <c r="G75" s="13" t="n">
        <v>400000</v>
      </c>
      <c r="H75" s="13">
        <f>INDEX('MAR 2e graad'!$B$2:$B$58,MATCH(G75,'MAR 2e graad'!$A$2:$A$58,0))</f>
        <v/>
      </c>
      <c r="I75" s="13">
        <f>INDEX('MAR 2e graad'!$C$2:$C$58,MATCH(G75,'MAR 2e graad'!$A$2:$A$58,0))</f>
        <v/>
      </c>
      <c r="J75" s="13">
        <f>IF(OR(I75="A",I75="K"),IF(K75&gt;0,"+","-"),IF(L75&gt;0,"+","-"))</f>
        <v/>
      </c>
      <c r="K75" s="14" t="n"/>
      <c r="L75" s="14" t="n">
        <v>1500</v>
      </c>
      <c r="M75" s="13" t="inlineStr">
        <is>
          <t>de vordering (bancontact) daalt</t>
        </is>
      </c>
      <c r="N75" s="13" t="inlineStr">
        <is>
          <t>nee</t>
        </is>
      </c>
    </row>
    <row r="76">
      <c r="A76" s="12" t="n">
        <v>75</v>
      </c>
      <c r="B76" s="16" t="n">
        <v>46064</v>
      </c>
      <c r="C76" s="5" t="inlineStr">
        <is>
          <t>VERPLICHT</t>
        </is>
      </c>
      <c r="D76" s="13" t="inlineStr">
        <is>
          <t>K1</t>
        </is>
      </c>
      <c r="E76" s="13" t="inlineStr">
        <is>
          <t>A5</t>
        </is>
      </c>
      <c r="F76" s="13" t="inlineStr">
        <is>
          <t>KT-0458</t>
        </is>
      </c>
      <c r="G76" s="13" t="n">
        <v>240200</v>
      </c>
      <c r="H76" s="13">
        <f>INDEX('MAR 2e graad'!$B$2:$B$58,MATCH(G76,'MAR 2e graad'!$A$2:$A$58,0))</f>
        <v/>
      </c>
      <c r="I76" s="13">
        <f>INDEX('MAR 2e graad'!$C$2:$C$58,MATCH(G76,'MAR 2e graad'!$A$2:$A$58,0))</f>
        <v/>
      </c>
      <c r="J76" s="13">
        <f>IF(OR(I76="A",I76="K"),IF(K76&gt;0,"+","-"),IF(L76&gt;0,"+","-"))</f>
        <v/>
      </c>
      <c r="K76" s="14" t="n">
        <v>1200</v>
      </c>
      <c r="L76" s="14" t="n"/>
      <c r="M76" s="13" t="inlineStr">
        <is>
          <t>het vast actief stijgt</t>
        </is>
      </c>
      <c r="N76" s="13" t="inlineStr">
        <is>
          <t>nee</t>
        </is>
      </c>
    </row>
    <row r="77">
      <c r="A77" s="12" t="n">
        <v>76</v>
      </c>
      <c r="B77" s="16" t="n">
        <v>46064</v>
      </c>
      <c r="C77" s="5" t="inlineStr">
        <is>
          <t>VERPLICHT</t>
        </is>
      </c>
      <c r="D77" s="13" t="inlineStr">
        <is>
          <t>K1</t>
        </is>
      </c>
      <c r="E77" s="13" t="inlineStr">
        <is>
          <t>A5</t>
        </is>
      </c>
      <c r="F77" s="13" t="inlineStr">
        <is>
          <t>KT-0458</t>
        </is>
      </c>
      <c r="G77" s="13" t="n">
        <v>411100</v>
      </c>
      <c r="H77" s="13">
        <f>INDEX('MAR 2e graad'!$B$2:$B$58,MATCH(G77,'MAR 2e graad'!$A$2:$A$58,0))</f>
        <v/>
      </c>
      <c r="I77" s="13">
        <f>INDEX('MAR 2e graad'!$C$2:$C$58,MATCH(G77,'MAR 2e graad'!$A$2:$A$58,0))</f>
        <v/>
      </c>
      <c r="J77" s="13">
        <f>IF(OR(I77="A",I77="K"),IF(K77&gt;0,"+","-"),IF(L77&gt;0,"+","-"))</f>
        <v/>
      </c>
      <c r="K77" s="14" t="n">
        <v>252</v>
      </c>
      <c r="L77" s="14" t="n"/>
      <c r="M77" s="13" t="inlineStr">
        <is>
          <t>de vordering op de overheid (aftrekbare btw) stijgt</t>
        </is>
      </c>
      <c r="N77" s="13" t="inlineStr">
        <is>
          <t>nee</t>
        </is>
      </c>
    </row>
    <row r="78">
      <c r="A78" s="12" t="n">
        <v>77</v>
      </c>
      <c r="B78" s="16" t="n">
        <v>46064</v>
      </c>
      <c r="C78" s="5" t="inlineStr">
        <is>
          <t>VERPLICHT</t>
        </is>
      </c>
      <c r="D78" s="13" t="inlineStr">
        <is>
          <t>K1</t>
        </is>
      </c>
      <c r="E78" s="13" t="inlineStr">
        <is>
          <t>A5</t>
        </is>
      </c>
      <c r="F78" s="13" t="inlineStr">
        <is>
          <t>KT-0458</t>
        </is>
      </c>
      <c r="G78" s="13" t="n">
        <v>440000</v>
      </c>
      <c r="H78" s="13">
        <f>INDEX('MAR 2e graad'!$B$2:$B$58,MATCH(G78,'MAR 2e graad'!$A$2:$A$58,0))</f>
        <v/>
      </c>
      <c r="I78" s="13">
        <f>INDEX('MAR 2e graad'!$C$2:$C$58,MATCH(G78,'MAR 2e graad'!$A$2:$A$58,0))</f>
        <v/>
      </c>
      <c r="J78" s="13">
        <f>IF(OR(I78="A",I78="K"),IF(K78&gt;0,"+","-"),IF(L78&gt;0,"+","-"))</f>
        <v/>
      </c>
      <c r="K78" s="14" t="n"/>
      <c r="L78" s="14" t="n">
        <v>1452</v>
      </c>
      <c r="M78" s="13" t="inlineStr">
        <is>
          <t>de schuld aan de leverancier stijgt</t>
        </is>
      </c>
      <c r="N78" s="13" t="inlineStr">
        <is>
          <t>nee</t>
        </is>
      </c>
    </row>
    <row r="79">
      <c r="A79" s="12" t="n">
        <v>78</v>
      </c>
      <c r="B79" s="16" t="n">
        <v>46065</v>
      </c>
      <c r="C79" s="5" t="inlineStr">
        <is>
          <t>VERPLICHT</t>
        </is>
      </c>
      <c r="D79" s="13" t="inlineStr">
        <is>
          <t>K1</t>
        </is>
      </c>
      <c r="E79" s="13" t="inlineStr">
        <is>
          <t>V3</t>
        </is>
      </c>
      <c r="F79" s="13" t="inlineStr">
        <is>
          <t>2026-005</t>
        </is>
      </c>
      <c r="G79" s="13" t="n">
        <v>400000</v>
      </c>
      <c r="H79" s="13">
        <f>INDEX('MAR 2e graad'!$B$2:$B$58,MATCH(G79,'MAR 2e graad'!$A$2:$A$58,0))</f>
        <v/>
      </c>
      <c r="I79" s="13">
        <f>INDEX('MAR 2e graad'!$C$2:$C$58,MATCH(G79,'MAR 2e graad'!$A$2:$A$58,0))</f>
        <v/>
      </c>
      <c r="J79" s="13">
        <f>IF(OR(I79="A",I79="K"),IF(K79&gt;0,"+","-"),IF(L79&gt;0,"+","-"))</f>
        <v/>
      </c>
      <c r="K79" s="14" t="n">
        <v>7260</v>
      </c>
      <c r="L79" s="14" t="n"/>
      <c r="M79" s="13" t="inlineStr">
        <is>
          <t>de vordering op de klant stijgt</t>
        </is>
      </c>
      <c r="N79" s="13" t="inlineStr">
        <is>
          <t>nee</t>
        </is>
      </c>
    </row>
    <row r="80">
      <c r="A80" s="12" t="n">
        <v>79</v>
      </c>
      <c r="B80" s="16" t="n">
        <v>46065</v>
      </c>
      <c r="C80" s="5" t="inlineStr">
        <is>
          <t>VERPLICHT</t>
        </is>
      </c>
      <c r="D80" s="13" t="inlineStr">
        <is>
          <t>K1</t>
        </is>
      </c>
      <c r="E80" s="13" t="inlineStr">
        <is>
          <t>V3</t>
        </is>
      </c>
      <c r="F80" s="13" t="inlineStr">
        <is>
          <t>2026-005</t>
        </is>
      </c>
      <c r="G80" s="13" t="n">
        <v>704000</v>
      </c>
      <c r="H80" s="13">
        <f>INDEX('MAR 2e graad'!$B$2:$B$58,MATCH(G80,'MAR 2e graad'!$A$2:$A$58,0))</f>
        <v/>
      </c>
      <c r="I80" s="13">
        <f>INDEX('MAR 2e graad'!$C$2:$C$58,MATCH(G80,'MAR 2e graad'!$A$2:$A$58,0))</f>
        <v/>
      </c>
      <c r="J80" s="13">
        <f>IF(OR(I80="A",I80="K"),IF(K80&gt;0,"+","-"),IF(L80&gt;0,"+","-"))</f>
        <v/>
      </c>
      <c r="K80" s="14" t="n"/>
      <c r="L80" s="14" t="n">
        <v>6000</v>
      </c>
      <c r="M80" s="13" t="inlineStr">
        <is>
          <t>de omzet stijgt</t>
        </is>
      </c>
      <c r="N80" s="13" t="inlineStr">
        <is>
          <t>nee</t>
        </is>
      </c>
    </row>
    <row r="81">
      <c r="A81" s="12" t="n">
        <v>80</v>
      </c>
      <c r="B81" s="16" t="n">
        <v>46065</v>
      </c>
      <c r="C81" s="5" t="inlineStr">
        <is>
          <t>VERPLICHT</t>
        </is>
      </c>
      <c r="D81" s="13" t="inlineStr">
        <is>
          <t>K1</t>
        </is>
      </c>
      <c r="E81" s="13" t="inlineStr">
        <is>
          <t>V3</t>
        </is>
      </c>
      <c r="F81" s="13" t="inlineStr">
        <is>
          <t>2026-005</t>
        </is>
      </c>
      <c r="G81" s="13" t="n">
        <v>451100</v>
      </c>
      <c r="H81" s="13">
        <f>INDEX('MAR 2e graad'!$B$2:$B$58,MATCH(G81,'MAR 2e graad'!$A$2:$A$58,0))</f>
        <v/>
      </c>
      <c r="I81" s="13">
        <f>INDEX('MAR 2e graad'!$C$2:$C$58,MATCH(G81,'MAR 2e graad'!$A$2:$A$58,0))</f>
        <v/>
      </c>
      <c r="J81" s="13">
        <f>IF(OR(I81="A",I81="K"),IF(K81&gt;0,"+","-"),IF(L81&gt;0,"+","-"))</f>
        <v/>
      </c>
      <c r="K81" s="14" t="n"/>
      <c r="L81" s="14" t="n">
        <v>1260</v>
      </c>
      <c r="M81" s="13" t="inlineStr">
        <is>
          <t>de schuld aan de overheid (verschuldigde btw) stijgt</t>
        </is>
      </c>
      <c r="N81" s="13" t="inlineStr">
        <is>
          <t>nee</t>
        </is>
      </c>
    </row>
    <row r="82">
      <c r="A82" s="12" t="n">
        <v>81</v>
      </c>
      <c r="B82" s="16" t="n">
        <v>46066</v>
      </c>
      <c r="C82" s="5" t="inlineStr">
        <is>
          <t>VERPLICHT</t>
        </is>
      </c>
      <c r="D82" s="13" t="inlineStr">
        <is>
          <t>K1</t>
        </is>
      </c>
      <c r="E82" s="13" t="inlineStr">
        <is>
          <t>CA1</t>
        </is>
      </c>
      <c r="F82" s="13" t="inlineStr">
        <is>
          <t>CN-2026-015</t>
        </is>
      </c>
      <c r="G82" s="13" t="n">
        <v>604010</v>
      </c>
      <c r="H82" s="13">
        <f>INDEX('MAR 2e graad'!$B$2:$B$58,MATCH(G82,'MAR 2e graad'!$A$2:$A$58,0))</f>
        <v/>
      </c>
      <c r="I82" s="13">
        <f>INDEX('MAR 2e graad'!$C$2:$C$58,MATCH(G82,'MAR 2e graad'!$A$2:$A$58,0))</f>
        <v/>
      </c>
      <c r="J82" s="13">
        <f>IF(OR(I82="A",I82="K"),IF(K82&gt;0,"+","-"),IF(L82&gt;0,"+","-"))</f>
        <v/>
      </c>
      <c r="K82" s="14" t="n"/>
      <c r="L82" s="14" t="n">
        <v>1400</v>
      </c>
      <c r="M82" s="13" t="inlineStr">
        <is>
          <t>de kosten voor handelsgoederen dalen (retour)</t>
        </is>
      </c>
      <c r="N82" s="13" t="inlineStr">
        <is>
          <t>nee</t>
        </is>
      </c>
    </row>
    <row r="83">
      <c r="A83" s="12" t="n">
        <v>82</v>
      </c>
      <c r="B83" s="16" t="n">
        <v>46066</v>
      </c>
      <c r="C83" s="5" t="inlineStr">
        <is>
          <t>VERPLICHT</t>
        </is>
      </c>
      <c r="D83" s="13" t="inlineStr">
        <is>
          <t>K1</t>
        </is>
      </c>
      <c r="E83" s="13" t="inlineStr">
        <is>
          <t>CA1</t>
        </is>
      </c>
      <c r="F83" s="13" t="inlineStr">
        <is>
          <t>CN-2026-015</t>
        </is>
      </c>
      <c r="G83" s="13" t="n">
        <v>451200</v>
      </c>
      <c r="H83" s="13">
        <f>INDEX('MAR 2e graad'!$B$2:$B$58,MATCH(G83,'MAR 2e graad'!$A$2:$A$58,0))</f>
        <v/>
      </c>
      <c r="I83" s="13">
        <f>INDEX('MAR 2e graad'!$C$2:$C$58,MATCH(G83,'MAR 2e graad'!$A$2:$A$58,0))</f>
        <v/>
      </c>
      <c r="J83" s="13">
        <f>IF(OR(I83="A",I83="K"),IF(K83&gt;0,"+","-"),IF(L83&gt;0,"+","-"))</f>
        <v/>
      </c>
      <c r="K83" s="14" t="n"/>
      <c r="L83" s="14" t="n">
        <v>294</v>
      </c>
      <c r="M83" s="13" t="inlineStr">
        <is>
          <t>de schuld aan de overheid stijgt (btw op inkomende creditnota)</t>
        </is>
      </c>
      <c r="N83" s="13" t="inlineStr">
        <is>
          <t>nee</t>
        </is>
      </c>
    </row>
    <row r="84">
      <c r="A84" s="12" t="n">
        <v>83</v>
      </c>
      <c r="B84" s="16" t="n">
        <v>46066</v>
      </c>
      <c r="C84" s="5" t="inlineStr">
        <is>
          <t>VERPLICHT</t>
        </is>
      </c>
      <c r="D84" s="13" t="inlineStr">
        <is>
          <t>K1</t>
        </is>
      </c>
      <c r="E84" s="13" t="inlineStr">
        <is>
          <t>CA1</t>
        </is>
      </c>
      <c r="F84" s="13" t="inlineStr">
        <is>
          <t>CN-2026-015</t>
        </is>
      </c>
      <c r="G84" s="13" t="n">
        <v>440000</v>
      </c>
      <c r="H84" s="13">
        <f>INDEX('MAR 2e graad'!$B$2:$B$58,MATCH(G84,'MAR 2e graad'!$A$2:$A$58,0))</f>
        <v/>
      </c>
      <c r="I84" s="13">
        <f>INDEX('MAR 2e graad'!$C$2:$C$58,MATCH(G84,'MAR 2e graad'!$A$2:$A$58,0))</f>
        <v/>
      </c>
      <c r="J84" s="13">
        <f>IF(OR(I84="A",I84="K"),IF(K84&gt;0,"+","-"),IF(L84&gt;0,"+","-"))</f>
        <v/>
      </c>
      <c r="K84" s="14" t="n">
        <v>1694</v>
      </c>
      <c r="L84" s="14" t="n"/>
      <c r="M84" s="13" t="inlineStr">
        <is>
          <t>de schuld aan de leverancier daalt</t>
        </is>
      </c>
      <c r="N84" s="13" t="inlineStr">
        <is>
          <t>nee</t>
        </is>
      </c>
    </row>
    <row r="85">
      <c r="A85" s="12" t="n">
        <v>84</v>
      </c>
      <c r="B85" s="16" t="n">
        <v>46067</v>
      </c>
      <c r="C85" s="5" t="inlineStr">
        <is>
          <t>VERPLICHT</t>
        </is>
      </c>
      <c r="D85" s="13" t="inlineStr">
        <is>
          <t>K1</t>
        </is>
      </c>
      <c r="E85" s="13" t="inlineStr">
        <is>
          <t>D2</t>
        </is>
      </c>
      <c r="F85" s="13" t="inlineStr">
        <is>
          <t>DO-2026-03</t>
        </is>
      </c>
      <c r="G85" s="13" t="n">
        <v>400000</v>
      </c>
      <c r="H85" s="13">
        <f>INDEX('MAR 2e graad'!$B$2:$B$58,MATCH(G85,'MAR 2e graad'!$A$2:$A$58,0))</f>
        <v/>
      </c>
      <c r="I85" s="13">
        <f>INDEX('MAR 2e graad'!$C$2:$C$58,MATCH(G85,'MAR 2e graad'!$A$2:$A$58,0))</f>
        <v/>
      </c>
      <c r="J85" s="13">
        <f>IF(OR(I85="A",I85="K"),IF(K85&gt;0,"+","-"),IF(L85&gt;0,"+","-"))</f>
        <v/>
      </c>
      <c r="K85" s="14" t="n">
        <v>2844</v>
      </c>
      <c r="L85" s="14" t="n"/>
      <c r="M85" s="13" t="inlineStr">
        <is>
          <t>de vordering op de klanten (dagontvangsten) stijgt</t>
        </is>
      </c>
      <c r="N85" s="13" t="inlineStr">
        <is>
          <t>nee</t>
        </is>
      </c>
    </row>
    <row r="86">
      <c r="A86" s="12" t="n">
        <v>85</v>
      </c>
      <c r="B86" s="16" t="n">
        <v>46067</v>
      </c>
      <c r="C86" s="5" t="inlineStr">
        <is>
          <t>VERPLICHT</t>
        </is>
      </c>
      <c r="D86" s="13" t="inlineStr">
        <is>
          <t>K1</t>
        </is>
      </c>
      <c r="E86" s="13" t="inlineStr">
        <is>
          <t>D2</t>
        </is>
      </c>
      <c r="F86" s="13" t="inlineStr">
        <is>
          <t>DO-2026-03</t>
        </is>
      </c>
      <c r="G86" s="13" t="n">
        <v>704000</v>
      </c>
      <c r="H86" s="13">
        <f>INDEX('MAR 2e graad'!$B$2:$B$58,MATCH(G86,'MAR 2e graad'!$A$2:$A$58,0))</f>
        <v/>
      </c>
      <c r="I86" s="13">
        <f>INDEX('MAR 2e graad'!$C$2:$C$58,MATCH(G86,'MAR 2e graad'!$A$2:$A$58,0))</f>
        <v/>
      </c>
      <c r="J86" s="13">
        <f>IF(OR(I86="A",I86="K"),IF(K86&gt;0,"+","-"),IF(L86&gt;0,"+","-"))</f>
        <v/>
      </c>
      <c r="K86" s="14" t="n"/>
      <c r="L86" s="14" t="n">
        <v>2000</v>
      </c>
      <c r="M86" s="13" t="inlineStr">
        <is>
          <t>de omzet stijgt</t>
        </is>
      </c>
      <c r="N86" s="13" t="inlineStr">
        <is>
          <t>nee</t>
        </is>
      </c>
    </row>
    <row r="87">
      <c r="A87" s="12" t="n">
        <v>86</v>
      </c>
      <c r="B87" s="16" t="n">
        <v>46067</v>
      </c>
      <c r="C87" s="5" t="inlineStr">
        <is>
          <t>VERPLICHT</t>
        </is>
      </c>
      <c r="D87" s="13" t="inlineStr">
        <is>
          <t>K1</t>
        </is>
      </c>
      <c r="E87" s="13" t="inlineStr">
        <is>
          <t>D2</t>
        </is>
      </c>
      <c r="F87" s="13" t="inlineStr">
        <is>
          <t>DO-2026-03</t>
        </is>
      </c>
      <c r="G87" s="13" t="n">
        <v>700000</v>
      </c>
      <c r="H87" s="13">
        <f>INDEX('MAR 2e graad'!$B$2:$B$58,MATCH(G87,'MAR 2e graad'!$A$2:$A$58,0))</f>
        <v/>
      </c>
      <c r="I87" s="13">
        <f>INDEX('MAR 2e graad'!$C$2:$C$58,MATCH(G87,'MAR 2e graad'!$A$2:$A$58,0))</f>
        <v/>
      </c>
      <c r="J87" s="13">
        <f>IF(OR(I87="A",I87="K"),IF(K87&gt;0,"+","-"),IF(L87&gt;0,"+","-"))</f>
        <v/>
      </c>
      <c r="K87" s="14" t="n"/>
      <c r="L87" s="14" t="n">
        <v>400</v>
      </c>
      <c r="M87" s="13" t="inlineStr">
        <is>
          <t>de omzet (diensten) stijgt</t>
        </is>
      </c>
      <c r="N87" s="13" t="inlineStr">
        <is>
          <t>nee</t>
        </is>
      </c>
    </row>
    <row r="88">
      <c r="A88" s="12" t="n">
        <v>87</v>
      </c>
      <c r="B88" s="16" t="n">
        <v>46067</v>
      </c>
      <c r="C88" s="5" t="inlineStr">
        <is>
          <t>VERPLICHT</t>
        </is>
      </c>
      <c r="D88" s="13" t="inlineStr">
        <is>
          <t>K1</t>
        </is>
      </c>
      <c r="E88" s="13" t="inlineStr">
        <is>
          <t>D2</t>
        </is>
      </c>
      <c r="F88" s="13" t="inlineStr">
        <is>
          <t>DO-2026-03</t>
        </is>
      </c>
      <c r="G88" s="13" t="n">
        <v>451100</v>
      </c>
      <c r="H88" s="13">
        <f>INDEX('MAR 2e graad'!$B$2:$B$58,MATCH(G88,'MAR 2e graad'!$A$2:$A$58,0))</f>
        <v/>
      </c>
      <c r="I88" s="13">
        <f>INDEX('MAR 2e graad'!$C$2:$C$58,MATCH(G88,'MAR 2e graad'!$A$2:$A$58,0))</f>
        <v/>
      </c>
      <c r="J88" s="13">
        <f>IF(OR(I88="A",I88="K"),IF(K88&gt;0,"+","-"),IF(L88&gt;0,"+","-"))</f>
        <v/>
      </c>
      <c r="K88" s="14" t="n"/>
      <c r="L88" s="14" t="n">
        <v>444</v>
      </c>
      <c r="M88" s="13" t="inlineStr">
        <is>
          <t>de schuld aan de overheid (verschuldigde btw) stijgt</t>
        </is>
      </c>
      <c r="N88" s="13" t="inlineStr">
        <is>
          <t>nee</t>
        </is>
      </c>
    </row>
    <row r="89">
      <c r="A89" s="12" t="n">
        <v>88</v>
      </c>
      <c r="B89" s="16" t="n">
        <v>46067</v>
      </c>
      <c r="C89" s="5" t="inlineStr">
        <is>
          <t>VERPLICHT</t>
        </is>
      </c>
      <c r="D89" s="13" t="inlineStr">
        <is>
          <t>K1</t>
        </is>
      </c>
      <c r="E89" s="13" t="inlineStr">
        <is>
          <t>D2K</t>
        </is>
      </c>
      <c r="F89" s="13" t="inlineStr">
        <is>
          <t>Kasboek DO-2026-03</t>
        </is>
      </c>
      <c r="G89" s="13" t="n">
        <v>570000</v>
      </c>
      <c r="H89" s="13">
        <f>INDEX('MAR 2e graad'!$B$2:$B$58,MATCH(G89,'MAR 2e graad'!$A$2:$A$58,0))</f>
        <v/>
      </c>
      <c r="I89" s="13">
        <f>INDEX('MAR 2e graad'!$C$2:$C$58,MATCH(G89,'MAR 2e graad'!$A$2:$A$58,0))</f>
        <v/>
      </c>
      <c r="J89" s="13">
        <f>IF(OR(I89="A",I89="K"),IF(K89&gt;0,"+","-"),IF(L89&gt;0,"+","-"))</f>
        <v/>
      </c>
      <c r="K89" s="14" t="n">
        <v>344</v>
      </c>
      <c r="L89" s="14" t="n"/>
      <c r="M89" s="13" t="inlineStr">
        <is>
          <t>de kas stijgt</t>
        </is>
      </c>
      <c r="N89" s="13" t="inlineStr">
        <is>
          <t>nee</t>
        </is>
      </c>
    </row>
    <row r="90">
      <c r="A90" s="12" t="n">
        <v>89</v>
      </c>
      <c r="B90" s="16" t="n">
        <v>46067</v>
      </c>
      <c r="C90" s="5" t="inlineStr">
        <is>
          <t>VERPLICHT</t>
        </is>
      </c>
      <c r="D90" s="13" t="inlineStr">
        <is>
          <t>K1</t>
        </is>
      </c>
      <c r="E90" s="13" t="inlineStr">
        <is>
          <t>D2K</t>
        </is>
      </c>
      <c r="F90" s="13" t="inlineStr">
        <is>
          <t>Kasboek DO-2026-03</t>
        </is>
      </c>
      <c r="G90" s="13" t="n">
        <v>400000</v>
      </c>
      <c r="H90" s="13">
        <f>INDEX('MAR 2e graad'!$B$2:$B$58,MATCH(G90,'MAR 2e graad'!$A$2:$A$58,0))</f>
        <v/>
      </c>
      <c r="I90" s="13">
        <f>INDEX('MAR 2e graad'!$C$2:$C$58,MATCH(G90,'MAR 2e graad'!$A$2:$A$58,0))</f>
        <v/>
      </c>
      <c r="J90" s="13">
        <f>IF(OR(I90="A",I90="K"),IF(K90&gt;0,"+","-"),IF(L90&gt;0,"+","-"))</f>
        <v/>
      </c>
      <c r="K90" s="14" t="n"/>
      <c r="L90" s="14" t="n">
        <v>344</v>
      </c>
      <c r="M90" s="13" t="inlineStr">
        <is>
          <t>de vordering op de klanten (contant betaald) daalt</t>
        </is>
      </c>
      <c r="N90" s="13" t="inlineStr">
        <is>
          <t>nee</t>
        </is>
      </c>
    </row>
    <row r="91">
      <c r="A91" s="12" t="n">
        <v>90</v>
      </c>
      <c r="B91" s="16" t="n">
        <v>46069</v>
      </c>
      <c r="C91" s="5" t="inlineStr">
        <is>
          <t>VERPLICHT</t>
        </is>
      </c>
      <c r="D91" s="13" t="inlineStr">
        <is>
          <t>K1</t>
        </is>
      </c>
      <c r="E91" s="13" t="inlineStr">
        <is>
          <t>CA2</t>
        </is>
      </c>
      <c r="F91" s="13" t="inlineStr">
        <is>
          <t>HH-CN-26-004</t>
        </is>
      </c>
      <c r="G91" s="13" t="n">
        <v>604010</v>
      </c>
      <c r="H91" s="13">
        <f>INDEX('MAR 2e graad'!$B$2:$B$58,MATCH(G91,'MAR 2e graad'!$A$2:$A$58,0))</f>
        <v/>
      </c>
      <c r="I91" s="13">
        <f>INDEX('MAR 2e graad'!$C$2:$C$58,MATCH(G91,'MAR 2e graad'!$A$2:$A$58,0))</f>
        <v/>
      </c>
      <c r="J91" s="13">
        <f>IF(OR(I91="A",I91="K"),IF(K91&gt;0,"+","-"),IF(L91&gt;0,"+","-"))</f>
        <v/>
      </c>
      <c r="K91" s="14" t="n"/>
      <c r="L91" s="14" t="n">
        <v>200</v>
      </c>
      <c r="M91" s="13" t="inlineStr">
        <is>
          <t>de kosten voor handelsgoederen dalen (retour)</t>
        </is>
      </c>
      <c r="N91" s="13" t="inlineStr">
        <is>
          <t>nee</t>
        </is>
      </c>
    </row>
    <row r="92">
      <c r="A92" s="12" t="n">
        <v>91</v>
      </c>
      <c r="B92" s="16" t="n">
        <v>46069</v>
      </c>
      <c r="C92" s="5" t="inlineStr">
        <is>
          <t>VERPLICHT</t>
        </is>
      </c>
      <c r="D92" s="13" t="inlineStr">
        <is>
          <t>K1</t>
        </is>
      </c>
      <c r="E92" s="13" t="inlineStr">
        <is>
          <t>CA2</t>
        </is>
      </c>
      <c r="F92" s="13" t="inlineStr">
        <is>
          <t>HH-CN-26-004</t>
        </is>
      </c>
      <c r="G92" s="13" t="n">
        <v>451200</v>
      </c>
      <c r="H92" s="13">
        <f>INDEX('MAR 2e graad'!$B$2:$B$58,MATCH(G92,'MAR 2e graad'!$A$2:$A$58,0))</f>
        <v/>
      </c>
      <c r="I92" s="13">
        <f>INDEX('MAR 2e graad'!$C$2:$C$58,MATCH(G92,'MAR 2e graad'!$A$2:$A$58,0))</f>
        <v/>
      </c>
      <c r="J92" s="13">
        <f>IF(OR(I92="A",I92="K"),IF(K92&gt;0,"+","-"),IF(L92&gt;0,"+","-"))</f>
        <v/>
      </c>
      <c r="K92" s="14" t="n"/>
      <c r="L92" s="14" t="n">
        <v>42</v>
      </c>
      <c r="M92" s="13" t="inlineStr">
        <is>
          <t>de schuld aan de overheid stijgt (btw op inkomende creditnota)</t>
        </is>
      </c>
      <c r="N92" s="13" t="inlineStr">
        <is>
          <t>nee</t>
        </is>
      </c>
    </row>
    <row r="93">
      <c r="A93" s="12" t="n">
        <v>92</v>
      </c>
      <c r="B93" s="16" t="n">
        <v>46069</v>
      </c>
      <c r="C93" s="5" t="inlineStr">
        <is>
          <t>VERPLICHT</t>
        </is>
      </c>
      <c r="D93" s="13" t="inlineStr">
        <is>
          <t>K1</t>
        </is>
      </c>
      <c r="E93" s="13" t="inlineStr">
        <is>
          <t>CA2</t>
        </is>
      </c>
      <c r="F93" s="13" t="inlineStr">
        <is>
          <t>HH-CN-26-004</t>
        </is>
      </c>
      <c r="G93" s="13" t="n">
        <v>440000</v>
      </c>
      <c r="H93" s="13">
        <f>INDEX('MAR 2e graad'!$B$2:$B$58,MATCH(G93,'MAR 2e graad'!$A$2:$A$58,0))</f>
        <v/>
      </c>
      <c r="I93" s="13">
        <f>INDEX('MAR 2e graad'!$C$2:$C$58,MATCH(G93,'MAR 2e graad'!$A$2:$A$58,0))</f>
        <v/>
      </c>
      <c r="J93" s="13">
        <f>IF(OR(I93="A",I93="K"),IF(K93&gt;0,"+","-"),IF(L93&gt;0,"+","-"))</f>
        <v/>
      </c>
      <c r="K93" s="14" t="n">
        <v>242</v>
      </c>
      <c r="L93" s="14" t="n"/>
      <c r="M93" s="13" t="inlineStr">
        <is>
          <t>de schuld aan de leverancier daalt</t>
        </is>
      </c>
      <c r="N93" s="13" t="inlineStr">
        <is>
          <t>nee</t>
        </is>
      </c>
    </row>
    <row r="94">
      <c r="A94" s="12" t="n">
        <v>93</v>
      </c>
      <c r="B94" s="16" t="n">
        <v>46070</v>
      </c>
      <c r="C94" s="5" t="inlineStr">
        <is>
          <t>VERPLICHT</t>
        </is>
      </c>
      <c r="D94" s="13" t="inlineStr">
        <is>
          <t>K1</t>
        </is>
      </c>
      <c r="E94" s="13" t="inlineStr">
        <is>
          <t>V4</t>
        </is>
      </c>
      <c r="F94" s="13" t="inlineStr">
        <is>
          <t>2026-006</t>
        </is>
      </c>
      <c r="G94" s="13" t="n">
        <v>400000</v>
      </c>
      <c r="H94" s="13">
        <f>INDEX('MAR 2e graad'!$B$2:$B$58,MATCH(G94,'MAR 2e graad'!$A$2:$A$58,0))</f>
        <v/>
      </c>
      <c r="I94" s="13">
        <f>INDEX('MAR 2e graad'!$C$2:$C$58,MATCH(G94,'MAR 2e graad'!$A$2:$A$58,0))</f>
        <v/>
      </c>
      <c r="J94" s="13">
        <f>IF(OR(I94="A",I94="K"),IF(K94&gt;0,"+","-"),IF(L94&gt;0,"+","-"))</f>
        <v/>
      </c>
      <c r="K94" s="14" t="n">
        <v>636</v>
      </c>
      <c r="L94" s="14" t="n"/>
      <c r="M94" s="13" t="inlineStr">
        <is>
          <t>de vordering op de klant stijgt</t>
        </is>
      </c>
      <c r="N94" s="13" t="inlineStr">
        <is>
          <t>nee</t>
        </is>
      </c>
    </row>
    <row r="95">
      <c r="A95" s="12" t="n">
        <v>94</v>
      </c>
      <c r="B95" s="16" t="n">
        <v>46070</v>
      </c>
      <c r="C95" s="5" t="inlineStr">
        <is>
          <t>VERPLICHT</t>
        </is>
      </c>
      <c r="D95" s="13" t="inlineStr">
        <is>
          <t>K1</t>
        </is>
      </c>
      <c r="E95" s="13" t="inlineStr">
        <is>
          <t>V4</t>
        </is>
      </c>
      <c r="F95" s="13" t="inlineStr">
        <is>
          <t>2026-006</t>
        </is>
      </c>
      <c r="G95" s="13" t="n">
        <v>700000</v>
      </c>
      <c r="H95" s="13">
        <f>INDEX('MAR 2e graad'!$B$2:$B$58,MATCH(G95,'MAR 2e graad'!$A$2:$A$58,0))</f>
        <v/>
      </c>
      <c r="I95" s="13">
        <f>INDEX('MAR 2e graad'!$C$2:$C$58,MATCH(G95,'MAR 2e graad'!$A$2:$A$58,0))</f>
        <v/>
      </c>
      <c r="J95" s="13">
        <f>IF(OR(I95="A",I95="K"),IF(K95&gt;0,"+","-"),IF(L95&gt;0,"+","-"))</f>
        <v/>
      </c>
      <c r="K95" s="14" t="n"/>
      <c r="L95" s="14" t="n">
        <v>600</v>
      </c>
      <c r="M95" s="13" t="inlineStr">
        <is>
          <t>de omzet (diensten) stijgt</t>
        </is>
      </c>
      <c r="N95" s="13" t="inlineStr">
        <is>
          <t>nee</t>
        </is>
      </c>
    </row>
    <row r="96">
      <c r="A96" s="12" t="n">
        <v>95</v>
      </c>
      <c r="B96" s="16" t="n">
        <v>46070</v>
      </c>
      <c r="C96" s="5" t="inlineStr">
        <is>
          <t>VERPLICHT</t>
        </is>
      </c>
      <c r="D96" s="13" t="inlineStr">
        <is>
          <t>K1</t>
        </is>
      </c>
      <c r="E96" s="13" t="inlineStr">
        <is>
          <t>V4</t>
        </is>
      </c>
      <c r="F96" s="13" t="inlineStr">
        <is>
          <t>2026-006</t>
        </is>
      </c>
      <c r="G96" s="13" t="n">
        <v>451100</v>
      </c>
      <c r="H96" s="13">
        <f>INDEX('MAR 2e graad'!$B$2:$B$58,MATCH(G96,'MAR 2e graad'!$A$2:$A$58,0))</f>
        <v/>
      </c>
      <c r="I96" s="13">
        <f>INDEX('MAR 2e graad'!$C$2:$C$58,MATCH(G96,'MAR 2e graad'!$A$2:$A$58,0))</f>
        <v/>
      </c>
      <c r="J96" s="13">
        <f>IF(OR(I96="A",I96="K"),IF(K96&gt;0,"+","-"),IF(L96&gt;0,"+","-"))</f>
        <v/>
      </c>
      <c r="K96" s="14" t="n"/>
      <c r="L96" s="14" t="n">
        <v>36</v>
      </c>
      <c r="M96" s="13" t="inlineStr">
        <is>
          <t>de schuld aan de overheid (verschuldigde btw) stijgt</t>
        </is>
      </c>
      <c r="N96" s="13" t="inlineStr">
        <is>
          <t>nee</t>
        </is>
      </c>
    </row>
    <row r="97">
      <c r="A97" s="12" t="n">
        <v>96</v>
      </c>
      <c r="B97" s="16" t="n">
        <v>46072</v>
      </c>
      <c r="C97" s="5" t="inlineStr">
        <is>
          <t>VERPLICHT</t>
        </is>
      </c>
      <c r="D97" s="13" t="inlineStr">
        <is>
          <t>K1</t>
        </is>
      </c>
      <c r="E97" s="13" t="inlineStr">
        <is>
          <t>V5</t>
        </is>
      </c>
      <c r="F97" s="13" t="inlineStr">
        <is>
          <t>2026-007</t>
        </is>
      </c>
      <c r="G97" s="13" t="n">
        <v>400000</v>
      </c>
      <c r="H97" s="13">
        <f>INDEX('MAR 2e graad'!$B$2:$B$58,MATCH(G97,'MAR 2e graad'!$A$2:$A$58,0))</f>
        <v/>
      </c>
      <c r="I97" s="13">
        <f>INDEX('MAR 2e graad'!$C$2:$C$58,MATCH(G97,'MAR 2e graad'!$A$2:$A$58,0))</f>
        <v/>
      </c>
      <c r="J97" s="13">
        <f>IF(OR(I97="A",I97="K"),IF(K97&gt;0,"+","-"),IF(L97&gt;0,"+","-"))</f>
        <v/>
      </c>
      <c r="K97" s="14" t="n">
        <v>1694</v>
      </c>
      <c r="L97" s="14" t="n"/>
      <c r="M97" s="13" t="inlineStr">
        <is>
          <t>de vordering op de klant stijgt</t>
        </is>
      </c>
      <c r="N97" s="13" t="inlineStr">
        <is>
          <t>nee</t>
        </is>
      </c>
    </row>
    <row r="98">
      <c r="A98" s="12" t="n">
        <v>97</v>
      </c>
      <c r="B98" s="16" t="n">
        <v>46072</v>
      </c>
      <c r="C98" s="5" t="inlineStr">
        <is>
          <t>VERPLICHT</t>
        </is>
      </c>
      <c r="D98" s="13" t="inlineStr">
        <is>
          <t>K1</t>
        </is>
      </c>
      <c r="E98" s="13" t="inlineStr">
        <is>
          <t>V5</t>
        </is>
      </c>
      <c r="F98" s="13" t="inlineStr">
        <is>
          <t>2026-007</t>
        </is>
      </c>
      <c r="G98" s="13" t="n">
        <v>704000</v>
      </c>
      <c r="H98" s="13">
        <f>INDEX('MAR 2e graad'!$B$2:$B$58,MATCH(G98,'MAR 2e graad'!$A$2:$A$58,0))</f>
        <v/>
      </c>
      <c r="I98" s="13">
        <f>INDEX('MAR 2e graad'!$C$2:$C$58,MATCH(G98,'MAR 2e graad'!$A$2:$A$58,0))</f>
        <v/>
      </c>
      <c r="J98" s="13">
        <f>IF(OR(I98="A",I98="K"),IF(K98&gt;0,"+","-"),IF(L98&gt;0,"+","-"))</f>
        <v/>
      </c>
      <c r="K98" s="14" t="n"/>
      <c r="L98" s="14" t="n">
        <v>1200</v>
      </c>
      <c r="M98" s="13" t="inlineStr">
        <is>
          <t>de omzet stijgt</t>
        </is>
      </c>
      <c r="N98" s="13" t="inlineStr">
        <is>
          <t>nee</t>
        </is>
      </c>
    </row>
    <row r="99">
      <c r="A99" s="12" t="n">
        <v>98</v>
      </c>
      <c r="B99" s="16" t="n">
        <v>46072</v>
      </c>
      <c r="C99" s="5" t="inlineStr">
        <is>
          <t>VERPLICHT</t>
        </is>
      </c>
      <c r="D99" s="13" t="inlineStr">
        <is>
          <t>K1</t>
        </is>
      </c>
      <c r="E99" s="13" t="inlineStr">
        <is>
          <t>V5</t>
        </is>
      </c>
      <c r="F99" s="13" t="inlineStr">
        <is>
          <t>2026-007</t>
        </is>
      </c>
      <c r="G99" s="13" t="n">
        <v>704000</v>
      </c>
      <c r="H99" s="13">
        <f>INDEX('MAR 2e graad'!$B$2:$B$58,MATCH(G99,'MAR 2e graad'!$A$2:$A$58,0))</f>
        <v/>
      </c>
      <c r="I99" s="13">
        <f>INDEX('MAR 2e graad'!$C$2:$C$58,MATCH(G99,'MAR 2e graad'!$A$2:$A$58,0))</f>
        <v/>
      </c>
      <c r="J99" s="13">
        <f>IF(OR(I99="A",I99="K"),IF(K99&gt;0,"+","-"),IF(L99&gt;0,"+","-"))</f>
        <v/>
      </c>
      <c r="K99" s="14" t="n"/>
      <c r="L99" s="14" t="n">
        <v>200</v>
      </c>
      <c r="M99" s="13" t="inlineStr">
        <is>
          <t>de omzet stijgt</t>
        </is>
      </c>
      <c r="N99" s="13" t="inlineStr">
        <is>
          <t>nee</t>
        </is>
      </c>
    </row>
    <row r="100">
      <c r="A100" s="12" t="n">
        <v>99</v>
      </c>
      <c r="B100" s="16" t="n">
        <v>46072</v>
      </c>
      <c r="C100" s="5" t="inlineStr">
        <is>
          <t>VERPLICHT</t>
        </is>
      </c>
      <c r="D100" s="13" t="inlineStr">
        <is>
          <t>K1</t>
        </is>
      </c>
      <c r="E100" s="13" t="inlineStr">
        <is>
          <t>V5</t>
        </is>
      </c>
      <c r="F100" s="13" t="inlineStr">
        <is>
          <t>2026-007</t>
        </is>
      </c>
      <c r="G100" s="13" t="n">
        <v>451100</v>
      </c>
      <c r="H100" s="13">
        <f>INDEX('MAR 2e graad'!$B$2:$B$58,MATCH(G100,'MAR 2e graad'!$A$2:$A$58,0))</f>
        <v/>
      </c>
      <c r="I100" s="13">
        <f>INDEX('MAR 2e graad'!$C$2:$C$58,MATCH(G100,'MAR 2e graad'!$A$2:$A$58,0))</f>
        <v/>
      </c>
      <c r="J100" s="13">
        <f>IF(OR(I100="A",I100="K"),IF(K100&gt;0,"+","-"),IF(L100&gt;0,"+","-"))</f>
        <v/>
      </c>
      <c r="K100" s="14" t="n"/>
      <c r="L100" s="14" t="n">
        <v>294</v>
      </c>
      <c r="M100" s="13" t="inlineStr">
        <is>
          <t>de schuld aan de overheid (verschuldigde btw) stijgt</t>
        </is>
      </c>
      <c r="N100" s="13" t="inlineStr">
        <is>
          <t>nee</t>
        </is>
      </c>
    </row>
    <row r="101">
      <c r="A101" s="12" t="n">
        <v>100</v>
      </c>
      <c r="B101" s="16" t="n">
        <v>46073</v>
      </c>
      <c r="C101" s="5" t="inlineStr">
        <is>
          <t>VERPLICHT</t>
        </is>
      </c>
      <c r="D101" s="13" t="inlineStr">
        <is>
          <t>K1</t>
        </is>
      </c>
      <c r="E101" s="13" t="inlineStr">
        <is>
          <t>CV1</t>
        </is>
      </c>
      <c r="F101" s="13" t="inlineStr">
        <is>
          <t>CN-2026-002</t>
        </is>
      </c>
      <c r="G101" s="13" t="n">
        <v>400000</v>
      </c>
      <c r="H101" s="13">
        <f>INDEX('MAR 2e graad'!$B$2:$B$58,MATCH(G101,'MAR 2e graad'!$A$2:$A$58,0))</f>
        <v/>
      </c>
      <c r="I101" s="13">
        <f>INDEX('MAR 2e graad'!$C$2:$C$58,MATCH(G101,'MAR 2e graad'!$A$2:$A$58,0))</f>
        <v/>
      </c>
      <c r="J101" s="13">
        <f>IF(OR(I101="A",I101="K"),IF(K101&gt;0,"+","-"),IF(L101&gt;0,"+","-"))</f>
        <v/>
      </c>
      <c r="K101" s="14" t="n"/>
      <c r="L101" s="14" t="n">
        <v>726</v>
      </c>
      <c r="M101" s="13" t="inlineStr">
        <is>
          <t>de vordering op de klant daalt</t>
        </is>
      </c>
      <c r="N101" s="13" t="inlineStr">
        <is>
          <t>nee</t>
        </is>
      </c>
    </row>
    <row r="102">
      <c r="A102" s="12" t="n">
        <v>101</v>
      </c>
      <c r="B102" s="16" t="n">
        <v>46073</v>
      </c>
      <c r="C102" s="5" t="inlineStr">
        <is>
          <t>VERPLICHT</t>
        </is>
      </c>
      <c r="D102" s="13" t="inlineStr">
        <is>
          <t>K1</t>
        </is>
      </c>
      <c r="E102" s="13" t="inlineStr">
        <is>
          <t>CV1</t>
        </is>
      </c>
      <c r="F102" s="13" t="inlineStr">
        <is>
          <t>CN-2026-002</t>
        </is>
      </c>
      <c r="G102" s="13" t="n">
        <v>704010</v>
      </c>
      <c r="H102" s="13">
        <f>INDEX('MAR 2e graad'!$B$2:$B$58,MATCH(G102,'MAR 2e graad'!$A$2:$A$58,0))</f>
        <v/>
      </c>
      <c r="I102" s="13">
        <f>INDEX('MAR 2e graad'!$C$2:$C$58,MATCH(G102,'MAR 2e graad'!$A$2:$A$58,0))</f>
        <v/>
      </c>
      <c r="J102" s="13">
        <f>IF(OR(I102="A",I102="K"),IF(K102&gt;0,"+","-"),IF(L102&gt;0,"+","-"))</f>
        <v/>
      </c>
      <c r="K102" s="14" t="n">
        <v>600</v>
      </c>
      <c r="L102" s="14" t="n"/>
      <c r="M102" s="13" t="inlineStr">
        <is>
          <t>de omzet daalt (retour)</t>
        </is>
      </c>
      <c r="N102" s="13" t="inlineStr">
        <is>
          <t>nee</t>
        </is>
      </c>
    </row>
    <row r="103">
      <c r="A103" s="12" t="n">
        <v>102</v>
      </c>
      <c r="B103" s="16" t="n">
        <v>46073</v>
      </c>
      <c r="C103" s="5" t="inlineStr">
        <is>
          <t>VERPLICHT</t>
        </is>
      </c>
      <c r="D103" s="13" t="inlineStr">
        <is>
          <t>K1</t>
        </is>
      </c>
      <c r="E103" s="13" t="inlineStr">
        <is>
          <t>CV1</t>
        </is>
      </c>
      <c r="F103" s="13" t="inlineStr">
        <is>
          <t>CN-2026-002</t>
        </is>
      </c>
      <c r="G103" s="13" t="n">
        <v>411200</v>
      </c>
      <c r="H103" s="13">
        <f>INDEX('MAR 2e graad'!$B$2:$B$58,MATCH(G103,'MAR 2e graad'!$A$2:$A$58,0))</f>
        <v/>
      </c>
      <c r="I103" s="13">
        <f>INDEX('MAR 2e graad'!$C$2:$C$58,MATCH(G103,'MAR 2e graad'!$A$2:$A$58,0))</f>
        <v/>
      </c>
      <c r="J103" s="13">
        <f>IF(OR(I103="A",I103="K"),IF(K103&gt;0,"+","-"),IF(L103&gt;0,"+","-"))</f>
        <v/>
      </c>
      <c r="K103" s="14" t="n">
        <v>126</v>
      </c>
      <c r="L103" s="14" t="n"/>
      <c r="M103" s="13" t="inlineStr">
        <is>
          <t>de vordering op de overheid stijgt (btw op uitgaande creditnota)</t>
        </is>
      </c>
      <c r="N103" s="13" t="inlineStr">
        <is>
          <t>nee</t>
        </is>
      </c>
    </row>
    <row r="104">
      <c r="A104" s="12" t="n">
        <v>103</v>
      </c>
      <c r="B104" s="16" t="n">
        <v>46073</v>
      </c>
      <c r="C104" s="5" t="inlineStr">
        <is>
          <t>VERPLICHT</t>
        </is>
      </c>
      <c r="D104" s="13" t="inlineStr">
        <is>
          <t>K1</t>
        </is>
      </c>
      <c r="E104" s="13" t="inlineStr">
        <is>
          <t>U2026-05/1</t>
        </is>
      </c>
      <c r="F104" s="13" t="inlineStr">
        <is>
          <t>uittreksel U2026-05/1</t>
        </is>
      </c>
      <c r="G104" s="13" t="n">
        <v>550000</v>
      </c>
      <c r="H104" s="13">
        <f>INDEX('MAR 2e graad'!$B$2:$B$58,MATCH(G104,'MAR 2e graad'!$A$2:$A$58,0))</f>
        <v/>
      </c>
      <c r="I104" s="13">
        <f>INDEX('MAR 2e graad'!$C$2:$C$58,MATCH(G104,'MAR 2e graad'!$A$2:$A$58,0))</f>
        <v/>
      </c>
      <c r="J104" s="13">
        <f>IF(OR(I104="A",I104="K"),IF(K104&gt;0,"+","-"),IF(L104&gt;0,"+","-"))</f>
        <v/>
      </c>
      <c r="K104" s="14" t="n">
        <v>2500</v>
      </c>
      <c r="L104" s="14" t="n"/>
      <c r="M104" s="13" t="inlineStr">
        <is>
          <t>de bank stijgt</t>
        </is>
      </c>
      <c r="N104" s="13" t="inlineStr">
        <is>
          <t>nee</t>
        </is>
      </c>
    </row>
    <row r="105">
      <c r="A105" s="12" t="n">
        <v>104</v>
      </c>
      <c r="B105" s="16" t="n">
        <v>46073</v>
      </c>
      <c r="C105" s="5" t="inlineStr">
        <is>
          <t>VERPLICHT</t>
        </is>
      </c>
      <c r="D105" s="13" t="inlineStr">
        <is>
          <t>K1</t>
        </is>
      </c>
      <c r="E105" s="13" t="inlineStr">
        <is>
          <t>U2026-05/1</t>
        </is>
      </c>
      <c r="F105" s="13" t="inlineStr">
        <is>
          <t>uittreksel U2026-05/1</t>
        </is>
      </c>
      <c r="G105" s="13" t="n">
        <v>400000</v>
      </c>
      <c r="H105" s="13">
        <f>INDEX('MAR 2e graad'!$B$2:$B$58,MATCH(G105,'MAR 2e graad'!$A$2:$A$58,0))</f>
        <v/>
      </c>
      <c r="I105" s="13">
        <f>INDEX('MAR 2e graad'!$C$2:$C$58,MATCH(G105,'MAR 2e graad'!$A$2:$A$58,0))</f>
        <v/>
      </c>
      <c r="J105" s="13">
        <f>IF(OR(I105="A",I105="K"),IF(K105&gt;0,"+","-"),IF(L105&gt;0,"+","-"))</f>
        <v/>
      </c>
      <c r="K105" s="14" t="n"/>
      <c r="L105" s="14" t="n">
        <v>2500</v>
      </c>
      <c r="M105" s="13" t="inlineStr">
        <is>
          <t>de vordering (bancontact) daalt</t>
        </is>
      </c>
      <c r="N105" s="13" t="inlineStr">
        <is>
          <t>nee</t>
        </is>
      </c>
    </row>
    <row r="106">
      <c r="A106" s="12" t="n">
        <v>105</v>
      </c>
      <c r="B106" s="16" t="n">
        <v>46073</v>
      </c>
      <c r="C106" s="5" t="inlineStr">
        <is>
          <t>VERPLICHT</t>
        </is>
      </c>
      <c r="D106" s="13" t="inlineStr">
        <is>
          <t>K1</t>
        </is>
      </c>
      <c r="E106" s="13" t="inlineStr">
        <is>
          <t>U2026-05/2</t>
        </is>
      </c>
      <c r="F106" s="13" t="inlineStr">
        <is>
          <t>uittreksel U2026-05/2</t>
        </is>
      </c>
      <c r="G106" s="13" t="n">
        <v>550000</v>
      </c>
      <c r="H106" s="13">
        <f>INDEX('MAR 2e graad'!$B$2:$B$58,MATCH(G106,'MAR 2e graad'!$A$2:$A$58,0))</f>
        <v/>
      </c>
      <c r="I106" s="13">
        <f>INDEX('MAR 2e graad'!$C$2:$C$58,MATCH(G106,'MAR 2e graad'!$A$2:$A$58,0))</f>
        <v/>
      </c>
      <c r="J106" s="13">
        <f>IF(OR(I106="A",I106="K"),IF(K106&gt;0,"+","-"),IF(L106&gt;0,"+","-"))</f>
        <v/>
      </c>
      <c r="K106" s="14" t="n">
        <v>6292</v>
      </c>
      <c r="L106" s="14" t="n"/>
      <c r="M106" s="13" t="inlineStr">
        <is>
          <t>de bank stijgt</t>
        </is>
      </c>
      <c r="N106" s="13" t="inlineStr">
        <is>
          <t>nee</t>
        </is>
      </c>
    </row>
    <row r="107">
      <c r="A107" s="12" t="n">
        <v>106</v>
      </c>
      <c r="B107" s="16" t="n">
        <v>46073</v>
      </c>
      <c r="C107" s="5" t="inlineStr">
        <is>
          <t>VERPLICHT</t>
        </is>
      </c>
      <c r="D107" s="13" t="inlineStr">
        <is>
          <t>K1</t>
        </is>
      </c>
      <c r="E107" s="13" t="inlineStr">
        <is>
          <t>U2026-05/2</t>
        </is>
      </c>
      <c r="F107" s="13" t="inlineStr">
        <is>
          <t>uittreksel U2026-05/2</t>
        </is>
      </c>
      <c r="G107" s="13" t="n">
        <v>400000</v>
      </c>
      <c r="H107" s="13">
        <f>INDEX('MAR 2e graad'!$B$2:$B$58,MATCH(G107,'MAR 2e graad'!$A$2:$A$58,0))</f>
        <v/>
      </c>
      <c r="I107" s="13">
        <f>INDEX('MAR 2e graad'!$C$2:$C$58,MATCH(G107,'MAR 2e graad'!$A$2:$A$58,0))</f>
        <v/>
      </c>
      <c r="J107" s="13">
        <f>IF(OR(I107="A",I107="K"),IF(K107&gt;0,"+","-"),IF(L107&gt;0,"+","-"))</f>
        <v/>
      </c>
      <c r="K107" s="14" t="n"/>
      <c r="L107" s="14" t="n">
        <v>6292</v>
      </c>
      <c r="M107" s="13" t="inlineStr">
        <is>
          <t>de vordering op de klant daalt</t>
        </is>
      </c>
      <c r="N107" s="13" t="inlineStr">
        <is>
          <t>nee</t>
        </is>
      </c>
    </row>
    <row r="108">
      <c r="A108" s="12" t="n">
        <v>107</v>
      </c>
      <c r="B108" s="16" t="n">
        <v>46073</v>
      </c>
      <c r="C108" s="5" t="inlineStr">
        <is>
          <t>VERPLICHT</t>
        </is>
      </c>
      <c r="D108" s="13" t="inlineStr">
        <is>
          <t>K1</t>
        </is>
      </c>
      <c r="E108" s="13" t="inlineStr">
        <is>
          <t>U2026-05/3</t>
        </is>
      </c>
      <c r="F108" s="13" t="inlineStr">
        <is>
          <t>uittreksel U2026-05/3</t>
        </is>
      </c>
      <c r="G108" s="13" t="n">
        <v>440000</v>
      </c>
      <c r="H108" s="13">
        <f>INDEX('MAR 2e graad'!$B$2:$B$58,MATCH(G108,'MAR 2e graad'!$A$2:$A$58,0))</f>
        <v/>
      </c>
      <c r="I108" s="13">
        <f>INDEX('MAR 2e graad'!$C$2:$C$58,MATCH(G108,'MAR 2e graad'!$A$2:$A$58,0))</f>
        <v/>
      </c>
      <c r="J108" s="13">
        <f>IF(OR(I108="A",I108="K"),IF(K108&gt;0,"+","-"),IF(L108&gt;0,"+","-"))</f>
        <v/>
      </c>
      <c r="K108" s="14" t="n">
        <v>484</v>
      </c>
      <c r="L108" s="14" t="n"/>
      <c r="M108" s="13" t="inlineStr">
        <is>
          <t>de schuld aan de leverancier daalt</t>
        </is>
      </c>
      <c r="N108" s="13" t="inlineStr">
        <is>
          <t>nee</t>
        </is>
      </c>
    </row>
    <row r="109">
      <c r="A109" s="12" t="n">
        <v>108</v>
      </c>
      <c r="B109" s="16" t="n">
        <v>46073</v>
      </c>
      <c r="C109" s="5" t="inlineStr">
        <is>
          <t>VERPLICHT</t>
        </is>
      </c>
      <c r="D109" s="13" t="inlineStr">
        <is>
          <t>K1</t>
        </is>
      </c>
      <c r="E109" s="13" t="inlineStr">
        <is>
          <t>U2026-05/3</t>
        </is>
      </c>
      <c r="F109" s="13" t="inlineStr">
        <is>
          <t>uittreksel U2026-05/3</t>
        </is>
      </c>
      <c r="G109" s="13" t="n">
        <v>550000</v>
      </c>
      <c r="H109" s="13">
        <f>INDEX('MAR 2e graad'!$B$2:$B$58,MATCH(G109,'MAR 2e graad'!$A$2:$A$58,0))</f>
        <v/>
      </c>
      <c r="I109" s="13">
        <f>INDEX('MAR 2e graad'!$C$2:$C$58,MATCH(G109,'MAR 2e graad'!$A$2:$A$58,0))</f>
        <v/>
      </c>
      <c r="J109" s="13">
        <f>IF(OR(I109="A",I109="K"),IF(K109&gt;0,"+","-"),IF(L109&gt;0,"+","-"))</f>
        <v/>
      </c>
      <c r="K109" s="14" t="n"/>
      <c r="L109" s="14" t="n">
        <v>484</v>
      </c>
      <c r="M109" s="13" t="inlineStr">
        <is>
          <t>de bank daalt</t>
        </is>
      </c>
      <c r="N109" s="13" t="inlineStr">
        <is>
          <t>nee</t>
        </is>
      </c>
    </row>
    <row r="110">
      <c r="A110" s="12" t="n">
        <v>109</v>
      </c>
      <c r="B110" s="16" t="n">
        <v>46073</v>
      </c>
      <c r="C110" s="5" t="inlineStr">
        <is>
          <t>VERPLICHT</t>
        </is>
      </c>
      <c r="D110" s="13" t="inlineStr">
        <is>
          <t>K1</t>
        </is>
      </c>
      <c r="E110" s="13" t="inlineStr">
        <is>
          <t>U2026-05/4</t>
        </is>
      </c>
      <c r="F110" s="13" t="inlineStr">
        <is>
          <t>uittreksel U2026-05/4</t>
        </is>
      </c>
      <c r="G110" s="13" t="n">
        <v>440000</v>
      </c>
      <c r="H110" s="13">
        <f>INDEX('MAR 2e graad'!$B$2:$B$58,MATCH(G110,'MAR 2e graad'!$A$2:$A$58,0))</f>
        <v/>
      </c>
      <c r="I110" s="13">
        <f>INDEX('MAR 2e graad'!$C$2:$C$58,MATCH(G110,'MAR 2e graad'!$A$2:$A$58,0))</f>
        <v/>
      </c>
      <c r="J110" s="13">
        <f>IF(OR(I110="A",I110="K"),IF(K110&gt;0,"+","-"),IF(L110&gt;0,"+","-"))</f>
        <v/>
      </c>
      <c r="K110" s="14" t="n">
        <v>968</v>
      </c>
      <c r="L110" s="14" t="n"/>
      <c r="M110" s="13" t="inlineStr">
        <is>
          <t>de schuld aan de leverancier daalt</t>
        </is>
      </c>
      <c r="N110" s="13" t="inlineStr">
        <is>
          <t>nee</t>
        </is>
      </c>
    </row>
    <row r="111">
      <c r="A111" s="12" t="n">
        <v>110</v>
      </c>
      <c r="B111" s="16" t="n">
        <v>46073</v>
      </c>
      <c r="C111" s="5" t="inlineStr">
        <is>
          <t>VERPLICHT</t>
        </is>
      </c>
      <c r="D111" s="13" t="inlineStr">
        <is>
          <t>K1</t>
        </is>
      </c>
      <c r="E111" s="13" t="inlineStr">
        <is>
          <t>U2026-05/4</t>
        </is>
      </c>
      <c r="F111" s="13" t="inlineStr">
        <is>
          <t>uittreksel U2026-05/4</t>
        </is>
      </c>
      <c r="G111" s="13" t="n">
        <v>550000</v>
      </c>
      <c r="H111" s="13">
        <f>INDEX('MAR 2e graad'!$B$2:$B$58,MATCH(G111,'MAR 2e graad'!$A$2:$A$58,0))</f>
        <v/>
      </c>
      <c r="I111" s="13">
        <f>INDEX('MAR 2e graad'!$C$2:$C$58,MATCH(G111,'MAR 2e graad'!$A$2:$A$58,0))</f>
        <v/>
      </c>
      <c r="J111" s="13">
        <f>IF(OR(I111="A",I111="K"),IF(K111&gt;0,"+","-"),IF(L111&gt;0,"+","-"))</f>
        <v/>
      </c>
      <c r="K111" s="14" t="n"/>
      <c r="L111" s="14" t="n">
        <v>968</v>
      </c>
      <c r="M111" s="13" t="inlineStr">
        <is>
          <t>de bank daalt</t>
        </is>
      </c>
      <c r="N111" s="13" t="inlineStr">
        <is>
          <t>nee</t>
        </is>
      </c>
    </row>
    <row r="112">
      <c r="A112" s="12" t="n">
        <v>111</v>
      </c>
      <c r="B112" s="16" t="n">
        <v>46074</v>
      </c>
      <c r="C112" s="5" t="inlineStr">
        <is>
          <t>VERPLICHT</t>
        </is>
      </c>
      <c r="D112" s="13" t="inlineStr">
        <is>
          <t>K1</t>
        </is>
      </c>
      <c r="E112" s="13" t="inlineStr">
        <is>
          <t>D3</t>
        </is>
      </c>
      <c r="F112" s="13" t="inlineStr">
        <is>
          <t>DO-2026-04</t>
        </is>
      </c>
      <c r="G112" s="13" t="n">
        <v>400000</v>
      </c>
      <c r="H112" s="13">
        <f>INDEX('MAR 2e graad'!$B$2:$B$58,MATCH(G112,'MAR 2e graad'!$A$2:$A$58,0))</f>
        <v/>
      </c>
      <c r="I112" s="13">
        <f>INDEX('MAR 2e graad'!$C$2:$C$58,MATCH(G112,'MAR 2e graad'!$A$2:$A$58,0))</f>
        <v/>
      </c>
      <c r="J112" s="13">
        <f>IF(OR(I112="A",I112="K"),IF(K112&gt;0,"+","-"),IF(L112&gt;0,"+","-"))</f>
        <v/>
      </c>
      <c r="K112" s="14" t="n">
        <v>1354</v>
      </c>
      <c r="L112" s="14" t="n"/>
      <c r="M112" s="13" t="inlineStr">
        <is>
          <t>de vordering op de klanten (dagontvangsten) stijgt</t>
        </is>
      </c>
      <c r="N112" s="13" t="inlineStr">
        <is>
          <t>nee</t>
        </is>
      </c>
    </row>
    <row r="113">
      <c r="A113" s="12" t="n">
        <v>112</v>
      </c>
      <c r="B113" s="16" t="n">
        <v>46074</v>
      </c>
      <c r="C113" s="5" t="inlineStr">
        <is>
          <t>VERPLICHT</t>
        </is>
      </c>
      <c r="D113" s="13" t="inlineStr">
        <is>
          <t>K1</t>
        </is>
      </c>
      <c r="E113" s="13" t="inlineStr">
        <is>
          <t>D3</t>
        </is>
      </c>
      <c r="F113" s="13" t="inlineStr">
        <is>
          <t>DO-2026-04</t>
        </is>
      </c>
      <c r="G113" s="13" t="n">
        <v>704000</v>
      </c>
      <c r="H113" s="13">
        <f>INDEX('MAR 2e graad'!$B$2:$B$58,MATCH(G113,'MAR 2e graad'!$A$2:$A$58,0))</f>
        <v/>
      </c>
      <c r="I113" s="13">
        <f>INDEX('MAR 2e graad'!$C$2:$C$58,MATCH(G113,'MAR 2e graad'!$A$2:$A$58,0))</f>
        <v/>
      </c>
      <c r="J113" s="13">
        <f>IF(OR(I113="A",I113="K"),IF(K113&gt;0,"+","-"),IF(L113&gt;0,"+","-"))</f>
        <v/>
      </c>
      <c r="K113" s="14" t="n"/>
      <c r="L113" s="14" t="n">
        <v>500</v>
      </c>
      <c r="M113" s="13" t="inlineStr">
        <is>
          <t>de omzet stijgt</t>
        </is>
      </c>
      <c r="N113" s="13" t="inlineStr">
        <is>
          <t>nee</t>
        </is>
      </c>
    </row>
    <row r="114">
      <c r="A114" s="12" t="n">
        <v>113</v>
      </c>
      <c r="B114" s="16" t="n">
        <v>46074</v>
      </c>
      <c r="C114" s="5" t="inlineStr">
        <is>
          <t>VERPLICHT</t>
        </is>
      </c>
      <c r="D114" s="13" t="inlineStr">
        <is>
          <t>K1</t>
        </is>
      </c>
      <c r="E114" s="13" t="inlineStr">
        <is>
          <t>D3</t>
        </is>
      </c>
      <c r="F114" s="13" t="inlineStr">
        <is>
          <t>DO-2026-04</t>
        </is>
      </c>
      <c r="G114" s="13" t="n">
        <v>704000</v>
      </c>
      <c r="H114" s="13">
        <f>INDEX('MAR 2e graad'!$B$2:$B$58,MATCH(G114,'MAR 2e graad'!$A$2:$A$58,0))</f>
        <v/>
      </c>
      <c r="I114" s="13">
        <f>INDEX('MAR 2e graad'!$C$2:$C$58,MATCH(G114,'MAR 2e graad'!$A$2:$A$58,0))</f>
        <v/>
      </c>
      <c r="J114" s="13">
        <f>IF(OR(I114="A",I114="K"),IF(K114&gt;0,"+","-"),IF(L114&gt;0,"+","-"))</f>
        <v/>
      </c>
      <c r="K114" s="14" t="n"/>
      <c r="L114" s="14" t="n">
        <v>400</v>
      </c>
      <c r="M114" s="13" t="inlineStr">
        <is>
          <t>de omzet stijgt</t>
        </is>
      </c>
      <c r="N114" s="13" t="inlineStr">
        <is>
          <t>nee</t>
        </is>
      </c>
    </row>
    <row r="115">
      <c r="A115" s="12" t="n">
        <v>114</v>
      </c>
      <c r="B115" s="16" t="n">
        <v>46074</v>
      </c>
      <c r="C115" s="5" t="inlineStr">
        <is>
          <t>VERPLICHT</t>
        </is>
      </c>
      <c r="D115" s="13" t="inlineStr">
        <is>
          <t>K1</t>
        </is>
      </c>
      <c r="E115" s="13" t="inlineStr">
        <is>
          <t>D3</t>
        </is>
      </c>
      <c r="F115" s="13" t="inlineStr">
        <is>
          <t>DO-2026-04</t>
        </is>
      </c>
      <c r="G115" s="13" t="n">
        <v>700000</v>
      </c>
      <c r="H115" s="13">
        <f>INDEX('MAR 2e graad'!$B$2:$B$58,MATCH(G115,'MAR 2e graad'!$A$2:$A$58,0))</f>
        <v/>
      </c>
      <c r="I115" s="13">
        <f>INDEX('MAR 2e graad'!$C$2:$C$58,MATCH(G115,'MAR 2e graad'!$A$2:$A$58,0))</f>
        <v/>
      </c>
      <c r="J115" s="13">
        <f>IF(OR(I115="A",I115="K"),IF(K115&gt;0,"+","-"),IF(L115&gt;0,"+","-"))</f>
        <v/>
      </c>
      <c r="K115" s="14" t="n"/>
      <c r="L115" s="14" t="n">
        <v>250</v>
      </c>
      <c r="M115" s="13" t="inlineStr">
        <is>
          <t>de omzet (diensten) stijgt</t>
        </is>
      </c>
      <c r="N115" s="13" t="inlineStr">
        <is>
          <t>nee</t>
        </is>
      </c>
    </row>
    <row r="116">
      <c r="A116" s="12" t="n">
        <v>115</v>
      </c>
      <c r="B116" s="16" t="n">
        <v>46074</v>
      </c>
      <c r="C116" s="5" t="inlineStr">
        <is>
          <t>VERPLICHT</t>
        </is>
      </c>
      <c r="D116" s="13" t="inlineStr">
        <is>
          <t>K1</t>
        </is>
      </c>
      <c r="E116" s="13" t="inlineStr">
        <is>
          <t>D3</t>
        </is>
      </c>
      <c r="F116" s="13" t="inlineStr">
        <is>
          <t>DO-2026-04</t>
        </is>
      </c>
      <c r="G116" s="13" t="n">
        <v>451100</v>
      </c>
      <c r="H116" s="13">
        <f>INDEX('MAR 2e graad'!$B$2:$B$58,MATCH(G116,'MAR 2e graad'!$A$2:$A$58,0))</f>
        <v/>
      </c>
      <c r="I116" s="13">
        <f>INDEX('MAR 2e graad'!$C$2:$C$58,MATCH(G116,'MAR 2e graad'!$A$2:$A$58,0))</f>
        <v/>
      </c>
      <c r="J116" s="13">
        <f>IF(OR(I116="A",I116="K"),IF(K116&gt;0,"+","-"),IF(L116&gt;0,"+","-"))</f>
        <v/>
      </c>
      <c r="K116" s="14" t="n"/>
      <c r="L116" s="14" t="n">
        <v>204</v>
      </c>
      <c r="M116" s="13" t="inlineStr">
        <is>
          <t>de schuld aan de overheid (verschuldigde btw) stijgt</t>
        </is>
      </c>
      <c r="N116" s="13" t="inlineStr">
        <is>
          <t>nee</t>
        </is>
      </c>
    </row>
    <row r="117">
      <c r="A117" s="12" t="n">
        <v>116</v>
      </c>
      <c r="B117" s="16" t="n">
        <v>46074</v>
      </c>
      <c r="C117" s="5" t="inlineStr">
        <is>
          <t>VERPLICHT</t>
        </is>
      </c>
      <c r="D117" s="13" t="inlineStr">
        <is>
          <t>K1</t>
        </is>
      </c>
      <c r="E117" s="13" t="inlineStr">
        <is>
          <t>D3K</t>
        </is>
      </c>
      <c r="F117" s="13" t="inlineStr">
        <is>
          <t>Kasboek DO-2026-04</t>
        </is>
      </c>
      <c r="G117" s="13" t="n">
        <v>570000</v>
      </c>
      <c r="H117" s="13">
        <f>INDEX('MAR 2e graad'!$B$2:$B$58,MATCH(G117,'MAR 2e graad'!$A$2:$A$58,0))</f>
        <v/>
      </c>
      <c r="I117" s="13">
        <f>INDEX('MAR 2e graad'!$C$2:$C$58,MATCH(G117,'MAR 2e graad'!$A$2:$A$58,0))</f>
        <v/>
      </c>
      <c r="J117" s="13">
        <f>IF(OR(I117="A",I117="K"),IF(K117&gt;0,"+","-"),IF(L117&gt;0,"+","-"))</f>
        <v/>
      </c>
      <c r="K117" s="14" t="n">
        <v>354</v>
      </c>
      <c r="L117" s="14" t="n"/>
      <c r="M117" s="13" t="inlineStr">
        <is>
          <t>de kas stijgt</t>
        </is>
      </c>
      <c r="N117" s="13" t="inlineStr">
        <is>
          <t>nee</t>
        </is>
      </c>
    </row>
    <row r="118">
      <c r="A118" s="12" t="n">
        <v>117</v>
      </c>
      <c r="B118" s="16" t="n">
        <v>46074</v>
      </c>
      <c r="C118" s="5" t="inlineStr">
        <is>
          <t>VERPLICHT</t>
        </is>
      </c>
      <c r="D118" s="13" t="inlineStr">
        <is>
          <t>K1</t>
        </is>
      </c>
      <c r="E118" s="13" t="inlineStr">
        <is>
          <t>D3K</t>
        </is>
      </c>
      <c r="F118" s="13" t="inlineStr">
        <is>
          <t>Kasboek DO-2026-04</t>
        </is>
      </c>
      <c r="G118" s="13" t="n">
        <v>400000</v>
      </c>
      <c r="H118" s="13">
        <f>INDEX('MAR 2e graad'!$B$2:$B$58,MATCH(G118,'MAR 2e graad'!$A$2:$A$58,0))</f>
        <v/>
      </c>
      <c r="I118" s="13">
        <f>INDEX('MAR 2e graad'!$C$2:$C$58,MATCH(G118,'MAR 2e graad'!$A$2:$A$58,0))</f>
        <v/>
      </c>
      <c r="J118" s="13">
        <f>IF(OR(I118="A",I118="K"),IF(K118&gt;0,"+","-"),IF(L118&gt;0,"+","-"))</f>
        <v/>
      </c>
      <c r="K118" s="14" t="n"/>
      <c r="L118" s="14" t="n">
        <v>354</v>
      </c>
      <c r="M118" s="13" t="inlineStr">
        <is>
          <t>de vordering op de klanten (contant betaald) daalt</t>
        </is>
      </c>
      <c r="N118" s="13" t="inlineStr">
        <is>
          <t>nee</t>
        </is>
      </c>
    </row>
    <row r="119">
      <c r="A119" s="12" t="n">
        <v>118</v>
      </c>
      <c r="B119" s="16" t="n">
        <v>46076</v>
      </c>
      <c r="C119" s="5" t="inlineStr">
        <is>
          <t>VERPLICHT</t>
        </is>
      </c>
      <c r="D119" s="13" t="inlineStr">
        <is>
          <t>K1</t>
        </is>
      </c>
      <c r="E119" s="13" t="inlineStr">
        <is>
          <t>CV2</t>
        </is>
      </c>
      <c r="F119" s="13" t="inlineStr">
        <is>
          <t>CN-2026-003</t>
        </is>
      </c>
      <c r="G119" s="13" t="n">
        <v>400000</v>
      </c>
      <c r="H119" s="13">
        <f>INDEX('MAR 2e graad'!$B$2:$B$58,MATCH(G119,'MAR 2e graad'!$A$2:$A$58,0))</f>
        <v/>
      </c>
      <c r="I119" s="13">
        <f>INDEX('MAR 2e graad'!$C$2:$C$58,MATCH(G119,'MAR 2e graad'!$A$2:$A$58,0))</f>
        <v/>
      </c>
      <c r="J119" s="13">
        <f>IF(OR(I119="A",I119="K"),IF(K119&gt;0,"+","-"),IF(L119&gt;0,"+","-"))</f>
        <v/>
      </c>
      <c r="K119" s="14" t="n"/>
      <c r="L119" s="14" t="n">
        <v>121</v>
      </c>
      <c r="M119" s="13" t="inlineStr">
        <is>
          <t>de vordering op de klant daalt</t>
        </is>
      </c>
      <c r="N119" s="13" t="inlineStr">
        <is>
          <t>nee</t>
        </is>
      </c>
    </row>
    <row r="120">
      <c r="A120" s="12" t="n">
        <v>119</v>
      </c>
      <c r="B120" s="16" t="n">
        <v>46076</v>
      </c>
      <c r="C120" s="5" t="inlineStr">
        <is>
          <t>VERPLICHT</t>
        </is>
      </c>
      <c r="D120" s="13" t="inlineStr">
        <is>
          <t>K1</t>
        </is>
      </c>
      <c r="E120" s="13" t="inlineStr">
        <is>
          <t>CV2</t>
        </is>
      </c>
      <c r="F120" s="13" t="inlineStr">
        <is>
          <t>CN-2026-003</t>
        </is>
      </c>
      <c r="G120" s="13" t="n">
        <v>704010</v>
      </c>
      <c r="H120" s="13">
        <f>INDEX('MAR 2e graad'!$B$2:$B$58,MATCH(G120,'MAR 2e graad'!$A$2:$A$58,0))</f>
        <v/>
      </c>
      <c r="I120" s="13">
        <f>INDEX('MAR 2e graad'!$C$2:$C$58,MATCH(G120,'MAR 2e graad'!$A$2:$A$58,0))</f>
        <v/>
      </c>
      <c r="J120" s="13">
        <f>IF(OR(I120="A",I120="K"),IF(K120&gt;0,"+","-"),IF(L120&gt;0,"+","-"))</f>
        <v/>
      </c>
      <c r="K120" s="14" t="n">
        <v>100</v>
      </c>
      <c r="L120" s="14" t="n"/>
      <c r="M120" s="13" t="inlineStr">
        <is>
          <t>de omzet daalt (retour)</t>
        </is>
      </c>
      <c r="N120" s="13" t="inlineStr">
        <is>
          <t>nee</t>
        </is>
      </c>
    </row>
    <row r="121">
      <c r="A121" s="12" t="n">
        <v>120</v>
      </c>
      <c r="B121" s="16" t="n">
        <v>46076</v>
      </c>
      <c r="C121" s="5" t="inlineStr">
        <is>
          <t>VERPLICHT</t>
        </is>
      </c>
      <c r="D121" s="13" t="inlineStr">
        <is>
          <t>K1</t>
        </is>
      </c>
      <c r="E121" s="13" t="inlineStr">
        <is>
          <t>CV2</t>
        </is>
      </c>
      <c r="F121" s="13" t="inlineStr">
        <is>
          <t>CN-2026-003</t>
        </is>
      </c>
      <c r="G121" s="13" t="n">
        <v>411200</v>
      </c>
      <c r="H121" s="13">
        <f>INDEX('MAR 2e graad'!$B$2:$B$58,MATCH(G121,'MAR 2e graad'!$A$2:$A$58,0))</f>
        <v/>
      </c>
      <c r="I121" s="13">
        <f>INDEX('MAR 2e graad'!$C$2:$C$58,MATCH(G121,'MAR 2e graad'!$A$2:$A$58,0))</f>
        <v/>
      </c>
      <c r="J121" s="13">
        <f>IF(OR(I121="A",I121="K"),IF(K121&gt;0,"+","-"),IF(L121&gt;0,"+","-"))</f>
        <v/>
      </c>
      <c r="K121" s="14" t="n">
        <v>21</v>
      </c>
      <c r="L121" s="14" t="n"/>
      <c r="M121" s="13" t="inlineStr">
        <is>
          <t>de vordering op de overheid stijgt (btw op uitgaande creditnota)</t>
        </is>
      </c>
      <c r="N121" s="13" t="inlineStr">
        <is>
          <t>nee</t>
        </is>
      </c>
    </row>
    <row r="122">
      <c r="A122" s="12" t="n">
        <v>121</v>
      </c>
      <c r="B122" s="16" t="n">
        <v>46078</v>
      </c>
      <c r="C122" s="5" t="inlineStr">
        <is>
          <t>VERPLICHT</t>
        </is>
      </c>
      <c r="D122" s="13" t="inlineStr">
        <is>
          <t>K1</t>
        </is>
      </c>
      <c r="E122" s="13" t="inlineStr">
        <is>
          <t>CA3</t>
        </is>
      </c>
      <c r="F122" s="13" t="inlineStr">
        <is>
          <t>SW-CN-118</t>
        </is>
      </c>
      <c r="G122" s="13" t="n">
        <v>604010</v>
      </c>
      <c r="H122" s="13">
        <f>INDEX('MAR 2e graad'!$B$2:$B$58,MATCH(G122,'MAR 2e graad'!$A$2:$A$58,0))</f>
        <v/>
      </c>
      <c r="I122" s="13">
        <f>INDEX('MAR 2e graad'!$C$2:$C$58,MATCH(G122,'MAR 2e graad'!$A$2:$A$58,0))</f>
        <v/>
      </c>
      <c r="J122" s="13">
        <f>IF(OR(I122="A",I122="K"),IF(K122&gt;0,"+","-"),IF(L122&gt;0,"+","-"))</f>
        <v/>
      </c>
      <c r="K122" s="14" t="n"/>
      <c r="L122" s="14" t="n">
        <v>100</v>
      </c>
      <c r="M122" s="13" t="inlineStr">
        <is>
          <t>de kosten voor handelsgoederen dalen (retour)</t>
        </is>
      </c>
      <c r="N122" s="13" t="inlineStr">
        <is>
          <t>nee</t>
        </is>
      </c>
    </row>
    <row r="123">
      <c r="A123" s="12" t="n">
        <v>122</v>
      </c>
      <c r="B123" s="16" t="n">
        <v>46078</v>
      </c>
      <c r="C123" s="5" t="inlineStr">
        <is>
          <t>VERPLICHT</t>
        </is>
      </c>
      <c r="D123" s="13" t="inlineStr">
        <is>
          <t>K1</t>
        </is>
      </c>
      <c r="E123" s="13" t="inlineStr">
        <is>
          <t>CA3</t>
        </is>
      </c>
      <c r="F123" s="13" t="inlineStr">
        <is>
          <t>SW-CN-118</t>
        </is>
      </c>
      <c r="G123" s="13" t="n">
        <v>451200</v>
      </c>
      <c r="H123" s="13">
        <f>INDEX('MAR 2e graad'!$B$2:$B$58,MATCH(G123,'MAR 2e graad'!$A$2:$A$58,0))</f>
        <v/>
      </c>
      <c r="I123" s="13">
        <f>INDEX('MAR 2e graad'!$C$2:$C$58,MATCH(G123,'MAR 2e graad'!$A$2:$A$58,0))</f>
        <v/>
      </c>
      <c r="J123" s="13">
        <f>IF(OR(I123="A",I123="K"),IF(K123&gt;0,"+","-"),IF(L123&gt;0,"+","-"))</f>
        <v/>
      </c>
      <c r="K123" s="14" t="n"/>
      <c r="L123" s="14" t="n">
        <v>21</v>
      </c>
      <c r="M123" s="13" t="inlineStr">
        <is>
          <t>de schuld aan de overheid stijgt (btw op inkomende creditnota)</t>
        </is>
      </c>
      <c r="N123" s="13" t="inlineStr">
        <is>
          <t>nee</t>
        </is>
      </c>
    </row>
    <row r="124">
      <c r="A124" s="12" t="n">
        <v>123</v>
      </c>
      <c r="B124" s="16" t="n">
        <v>46078</v>
      </c>
      <c r="C124" s="5" t="inlineStr">
        <is>
          <t>VERPLICHT</t>
        </is>
      </c>
      <c r="D124" s="13" t="inlineStr">
        <is>
          <t>K1</t>
        </is>
      </c>
      <c r="E124" s="13" t="inlineStr">
        <is>
          <t>CA3</t>
        </is>
      </c>
      <c r="F124" s="13" t="inlineStr">
        <is>
          <t>SW-CN-118</t>
        </is>
      </c>
      <c r="G124" s="13" t="n">
        <v>440000</v>
      </c>
      <c r="H124" s="13">
        <f>INDEX('MAR 2e graad'!$B$2:$B$58,MATCH(G124,'MAR 2e graad'!$A$2:$A$58,0))</f>
        <v/>
      </c>
      <c r="I124" s="13">
        <f>INDEX('MAR 2e graad'!$C$2:$C$58,MATCH(G124,'MAR 2e graad'!$A$2:$A$58,0))</f>
        <v/>
      </c>
      <c r="J124" s="13">
        <f>IF(OR(I124="A",I124="K"),IF(K124&gt;0,"+","-"),IF(L124&gt;0,"+","-"))</f>
        <v/>
      </c>
      <c r="K124" s="14" t="n">
        <v>121</v>
      </c>
      <c r="L124" s="14" t="n"/>
      <c r="M124" s="13" t="inlineStr">
        <is>
          <t>de schuld aan de leverancier daalt</t>
        </is>
      </c>
      <c r="N124" s="13" t="inlineStr">
        <is>
          <t>nee</t>
        </is>
      </c>
    </row>
    <row r="125">
      <c r="A125" s="12" t="n">
        <v>124</v>
      </c>
      <c r="B125" s="16" t="n">
        <v>46080</v>
      </c>
      <c r="C125" s="5" t="inlineStr">
        <is>
          <t>VERPLICHT</t>
        </is>
      </c>
      <c r="D125" s="13" t="inlineStr">
        <is>
          <t>K1</t>
        </is>
      </c>
      <c r="E125" s="13" t="inlineStr">
        <is>
          <t>U2026-06/1</t>
        </is>
      </c>
      <c r="F125" s="13" t="inlineStr">
        <is>
          <t>uittreksel U2026-06/1</t>
        </is>
      </c>
      <c r="G125" s="13" t="n">
        <v>440000</v>
      </c>
      <c r="H125" s="13">
        <f>INDEX('MAR 2e graad'!$B$2:$B$58,MATCH(G125,'MAR 2e graad'!$A$2:$A$58,0))</f>
        <v/>
      </c>
      <c r="I125" s="13">
        <f>INDEX('MAR 2e graad'!$C$2:$C$58,MATCH(G125,'MAR 2e graad'!$A$2:$A$58,0))</f>
        <v/>
      </c>
      <c r="J125" s="13">
        <f>IF(OR(I125="A",I125="K"),IF(K125&gt;0,"+","-"),IF(L125&gt;0,"+","-"))</f>
        <v/>
      </c>
      <c r="K125" s="14" t="n">
        <v>16940</v>
      </c>
      <c r="L125" s="14" t="n"/>
      <c r="M125" s="13" t="inlineStr">
        <is>
          <t>de schuld aan de leverancier daalt</t>
        </is>
      </c>
      <c r="N125" s="13" t="inlineStr">
        <is>
          <t>nee</t>
        </is>
      </c>
    </row>
    <row r="126">
      <c r="A126" s="12" t="n">
        <v>125</v>
      </c>
      <c r="B126" s="16" t="n">
        <v>46080</v>
      </c>
      <c r="C126" s="5" t="inlineStr">
        <is>
          <t>VERPLICHT</t>
        </is>
      </c>
      <c r="D126" s="13" t="inlineStr">
        <is>
          <t>K1</t>
        </is>
      </c>
      <c r="E126" s="13" t="inlineStr">
        <is>
          <t>U2026-06/1</t>
        </is>
      </c>
      <c r="F126" s="13" t="inlineStr">
        <is>
          <t>uittreksel U2026-06/1</t>
        </is>
      </c>
      <c r="G126" s="13" t="n">
        <v>550000</v>
      </c>
      <c r="H126" s="13">
        <f>INDEX('MAR 2e graad'!$B$2:$B$58,MATCH(G126,'MAR 2e graad'!$A$2:$A$58,0))</f>
        <v/>
      </c>
      <c r="I126" s="13">
        <f>INDEX('MAR 2e graad'!$C$2:$C$58,MATCH(G126,'MAR 2e graad'!$A$2:$A$58,0))</f>
        <v/>
      </c>
      <c r="J126" s="13">
        <f>IF(OR(I126="A",I126="K"),IF(K126&gt;0,"+","-"),IF(L126&gt;0,"+","-"))</f>
        <v/>
      </c>
      <c r="K126" s="14" t="n"/>
      <c r="L126" s="14" t="n">
        <v>16940</v>
      </c>
      <c r="M126" s="13" t="inlineStr">
        <is>
          <t>de bank daalt</t>
        </is>
      </c>
      <c r="N126" s="13" t="inlineStr">
        <is>
          <t>nee</t>
        </is>
      </c>
    </row>
    <row r="127">
      <c r="A127" s="12" t="n">
        <v>126</v>
      </c>
      <c r="B127" s="16" t="n">
        <v>46080</v>
      </c>
      <c r="C127" s="5" t="inlineStr">
        <is>
          <t>VERPLICHT</t>
        </is>
      </c>
      <c r="D127" s="13" t="inlineStr">
        <is>
          <t>K1</t>
        </is>
      </c>
      <c r="E127" s="13" t="inlineStr">
        <is>
          <t>U2026-06/2</t>
        </is>
      </c>
      <c r="F127" s="13" t="inlineStr">
        <is>
          <t>uittreksel U2026-06/2</t>
        </is>
      </c>
      <c r="G127" s="13" t="n">
        <v>550000</v>
      </c>
      <c r="H127" s="13">
        <f>INDEX('MAR 2e graad'!$B$2:$B$58,MATCH(G127,'MAR 2e graad'!$A$2:$A$58,0))</f>
        <v/>
      </c>
      <c r="I127" s="13">
        <f>INDEX('MAR 2e graad'!$C$2:$C$58,MATCH(G127,'MAR 2e graad'!$A$2:$A$58,0))</f>
        <v/>
      </c>
      <c r="J127" s="13">
        <f>IF(OR(I127="A",I127="K"),IF(K127&gt;0,"+","-"),IF(L127&gt;0,"+","-"))</f>
        <v/>
      </c>
      <c r="K127" s="14" t="n">
        <v>5082</v>
      </c>
      <c r="L127" s="14" t="n"/>
      <c r="M127" s="13" t="inlineStr">
        <is>
          <t>de bank stijgt</t>
        </is>
      </c>
      <c r="N127" s="13" t="inlineStr">
        <is>
          <t>nee</t>
        </is>
      </c>
    </row>
    <row r="128">
      <c r="A128" s="12" t="n">
        <v>127</v>
      </c>
      <c r="B128" s="16" t="n">
        <v>46080</v>
      </c>
      <c r="C128" s="5" t="inlineStr">
        <is>
          <t>VERPLICHT</t>
        </is>
      </c>
      <c r="D128" s="13" t="inlineStr">
        <is>
          <t>K1</t>
        </is>
      </c>
      <c r="E128" s="13" t="inlineStr">
        <is>
          <t>U2026-06/2</t>
        </is>
      </c>
      <c r="F128" s="13" t="inlineStr">
        <is>
          <t>uittreksel U2026-06/2</t>
        </is>
      </c>
      <c r="G128" s="13" t="n">
        <v>400000</v>
      </c>
      <c r="H128" s="13">
        <f>INDEX('MAR 2e graad'!$B$2:$B$58,MATCH(G128,'MAR 2e graad'!$A$2:$A$58,0))</f>
        <v/>
      </c>
      <c r="I128" s="13">
        <f>INDEX('MAR 2e graad'!$C$2:$C$58,MATCH(G128,'MAR 2e graad'!$A$2:$A$58,0))</f>
        <v/>
      </c>
      <c r="J128" s="13">
        <f>IF(OR(I128="A",I128="K"),IF(K128&gt;0,"+","-"),IF(L128&gt;0,"+","-"))</f>
        <v/>
      </c>
      <c r="K128" s="14" t="n"/>
      <c r="L128" s="14" t="n">
        <v>5082</v>
      </c>
      <c r="M128" s="13" t="inlineStr">
        <is>
          <t>de vordering op de klant daalt</t>
        </is>
      </c>
      <c r="N128" s="13" t="inlineStr">
        <is>
          <t>nee</t>
        </is>
      </c>
    </row>
    <row r="129">
      <c r="A129" s="12" t="n">
        <v>128</v>
      </c>
      <c r="B129" s="16" t="n">
        <v>46080</v>
      </c>
      <c r="C129" s="5" t="inlineStr">
        <is>
          <t>VERPLICHT</t>
        </is>
      </c>
      <c r="D129" s="13" t="inlineStr">
        <is>
          <t>K1</t>
        </is>
      </c>
      <c r="E129" s="13" t="inlineStr">
        <is>
          <t>U2026-06/3</t>
        </is>
      </c>
      <c r="F129" s="13" t="inlineStr">
        <is>
          <t>uittreksel U2026-06/3</t>
        </is>
      </c>
      <c r="G129" s="13" t="n">
        <v>550000</v>
      </c>
      <c r="H129" s="13">
        <f>INDEX('MAR 2e graad'!$B$2:$B$58,MATCH(G129,'MAR 2e graad'!$A$2:$A$58,0))</f>
        <v/>
      </c>
      <c r="I129" s="13">
        <f>INDEX('MAR 2e graad'!$C$2:$C$58,MATCH(G129,'MAR 2e graad'!$A$2:$A$58,0))</f>
        <v/>
      </c>
      <c r="J129" s="13">
        <f>IF(OR(I129="A",I129="K"),IF(K129&gt;0,"+","-"),IF(L129&gt;0,"+","-"))</f>
        <v/>
      </c>
      <c r="K129" s="14" t="n">
        <v>7260</v>
      </c>
      <c r="L129" s="14" t="n"/>
      <c r="M129" s="13" t="inlineStr">
        <is>
          <t>de bank stijgt</t>
        </is>
      </c>
      <c r="N129" s="13" t="inlineStr">
        <is>
          <t>nee</t>
        </is>
      </c>
    </row>
    <row r="130">
      <c r="A130" s="12" t="n">
        <v>129</v>
      </c>
      <c r="B130" s="16" t="n">
        <v>46080</v>
      </c>
      <c r="C130" s="5" t="inlineStr">
        <is>
          <t>VERPLICHT</t>
        </is>
      </c>
      <c r="D130" s="13" t="inlineStr">
        <is>
          <t>K1</t>
        </is>
      </c>
      <c r="E130" s="13" t="inlineStr">
        <is>
          <t>U2026-06/3</t>
        </is>
      </c>
      <c r="F130" s="13" t="inlineStr">
        <is>
          <t>uittreksel U2026-06/3</t>
        </is>
      </c>
      <c r="G130" s="13" t="n">
        <v>400000</v>
      </c>
      <c r="H130" s="13">
        <f>INDEX('MAR 2e graad'!$B$2:$B$58,MATCH(G130,'MAR 2e graad'!$A$2:$A$58,0))</f>
        <v/>
      </c>
      <c r="I130" s="13">
        <f>INDEX('MAR 2e graad'!$C$2:$C$58,MATCH(G130,'MAR 2e graad'!$A$2:$A$58,0))</f>
        <v/>
      </c>
      <c r="J130" s="13">
        <f>IF(OR(I130="A",I130="K"),IF(K130&gt;0,"+","-"),IF(L130&gt;0,"+","-"))</f>
        <v/>
      </c>
      <c r="K130" s="14" t="n"/>
      <c r="L130" s="14" t="n">
        <v>7260</v>
      </c>
      <c r="M130" s="13" t="inlineStr">
        <is>
          <t>de vordering op de klant daalt</t>
        </is>
      </c>
      <c r="N130" s="13" t="inlineStr">
        <is>
          <t>nee</t>
        </is>
      </c>
    </row>
    <row r="131">
      <c r="A131" s="12" t="n">
        <v>130</v>
      </c>
      <c r="B131" s="16" t="n">
        <v>46080</v>
      </c>
      <c r="C131" s="5" t="inlineStr">
        <is>
          <t>VERPLICHT</t>
        </is>
      </c>
      <c r="D131" s="13" t="inlineStr">
        <is>
          <t>K1</t>
        </is>
      </c>
      <c r="E131" s="13" t="inlineStr">
        <is>
          <t>U2026-06/4</t>
        </is>
      </c>
      <c r="F131" s="13" t="inlineStr">
        <is>
          <t>uittreksel U2026-06/4</t>
        </is>
      </c>
      <c r="G131" s="13" t="n">
        <v>440000</v>
      </c>
      <c r="H131" s="13">
        <f>INDEX('MAR 2e graad'!$B$2:$B$58,MATCH(G131,'MAR 2e graad'!$A$2:$A$58,0))</f>
        <v/>
      </c>
      <c r="I131" s="13">
        <f>INDEX('MAR 2e graad'!$C$2:$C$58,MATCH(G131,'MAR 2e graad'!$A$2:$A$58,0))</f>
        <v/>
      </c>
      <c r="J131" s="13">
        <f>IF(OR(I131="A",I131="K"),IF(K131&gt;0,"+","-"),IF(L131&gt;0,"+","-"))</f>
        <v/>
      </c>
      <c r="K131" s="14" t="n">
        <v>605</v>
      </c>
      <c r="L131" s="14" t="n"/>
      <c r="M131" s="13" t="inlineStr">
        <is>
          <t>de schuld aan de leverancier daalt</t>
        </is>
      </c>
      <c r="N131" s="13" t="inlineStr">
        <is>
          <t>nee</t>
        </is>
      </c>
    </row>
    <row r="132">
      <c r="A132" s="12" t="n">
        <v>131</v>
      </c>
      <c r="B132" s="16" t="n">
        <v>46080</v>
      </c>
      <c r="C132" s="5" t="inlineStr">
        <is>
          <t>VERPLICHT</t>
        </is>
      </c>
      <c r="D132" s="13" t="inlineStr">
        <is>
          <t>K1</t>
        </is>
      </c>
      <c r="E132" s="13" t="inlineStr">
        <is>
          <t>U2026-06/4</t>
        </is>
      </c>
      <c r="F132" s="13" t="inlineStr">
        <is>
          <t>uittreksel U2026-06/4</t>
        </is>
      </c>
      <c r="G132" s="13" t="n">
        <v>550000</v>
      </c>
      <c r="H132" s="13">
        <f>INDEX('MAR 2e graad'!$B$2:$B$58,MATCH(G132,'MAR 2e graad'!$A$2:$A$58,0))</f>
        <v/>
      </c>
      <c r="I132" s="13">
        <f>INDEX('MAR 2e graad'!$C$2:$C$58,MATCH(G132,'MAR 2e graad'!$A$2:$A$58,0))</f>
        <v/>
      </c>
      <c r="J132" s="13">
        <f>IF(OR(I132="A",I132="K"),IF(K132&gt;0,"+","-"),IF(L132&gt;0,"+","-"))</f>
        <v/>
      </c>
      <c r="K132" s="14" t="n"/>
      <c r="L132" s="14" t="n">
        <v>605</v>
      </c>
      <c r="M132" s="13" t="inlineStr">
        <is>
          <t>de bank daalt</t>
        </is>
      </c>
      <c r="N132" s="13" t="inlineStr">
        <is>
          <t>nee</t>
        </is>
      </c>
    </row>
    <row r="133">
      <c r="A133" s="12" t="n">
        <v>132</v>
      </c>
      <c r="B133" s="16" t="n">
        <v>46080</v>
      </c>
      <c r="C133" s="5" t="inlineStr">
        <is>
          <t>VERPLICHT</t>
        </is>
      </c>
      <c r="D133" s="13" t="inlineStr">
        <is>
          <t>K1</t>
        </is>
      </c>
      <c r="E133" s="13" t="inlineStr">
        <is>
          <t>U2026-06/5</t>
        </is>
      </c>
      <c r="F133" s="13" t="inlineStr">
        <is>
          <t>uittreksel U2026-06/5</t>
        </is>
      </c>
      <c r="G133" s="13" t="n">
        <v>440000</v>
      </c>
      <c r="H133" s="13">
        <f>INDEX('MAR 2e graad'!$B$2:$B$58,MATCH(G133,'MAR 2e graad'!$A$2:$A$58,0))</f>
        <v/>
      </c>
      <c r="I133" s="13">
        <f>INDEX('MAR 2e graad'!$C$2:$C$58,MATCH(G133,'MAR 2e graad'!$A$2:$A$58,0))</f>
        <v/>
      </c>
      <c r="J133" s="13">
        <f>IF(OR(I133="A",I133="K"),IF(K133&gt;0,"+","-"),IF(L133&gt;0,"+","-"))</f>
        <v/>
      </c>
      <c r="K133" s="14" t="n">
        <v>1452</v>
      </c>
      <c r="L133" s="14" t="n"/>
      <c r="M133" s="13" t="inlineStr">
        <is>
          <t>de schuld aan de leverancier daalt</t>
        </is>
      </c>
      <c r="N133" s="13" t="inlineStr">
        <is>
          <t>nee</t>
        </is>
      </c>
    </row>
    <row r="134">
      <c r="A134" s="12" t="n">
        <v>133</v>
      </c>
      <c r="B134" s="16" t="n">
        <v>46080</v>
      </c>
      <c r="C134" s="5" t="inlineStr">
        <is>
          <t>VERPLICHT</t>
        </is>
      </c>
      <c r="D134" s="13" t="inlineStr">
        <is>
          <t>K1</t>
        </is>
      </c>
      <c r="E134" s="13" t="inlineStr">
        <is>
          <t>U2026-06/5</t>
        </is>
      </c>
      <c r="F134" s="13" t="inlineStr">
        <is>
          <t>uittreksel U2026-06/5</t>
        </is>
      </c>
      <c r="G134" s="13" t="n">
        <v>550000</v>
      </c>
      <c r="H134" s="13">
        <f>INDEX('MAR 2e graad'!$B$2:$B$58,MATCH(G134,'MAR 2e graad'!$A$2:$A$58,0))</f>
        <v/>
      </c>
      <c r="I134" s="13">
        <f>INDEX('MAR 2e graad'!$C$2:$C$58,MATCH(G134,'MAR 2e graad'!$A$2:$A$58,0))</f>
        <v/>
      </c>
      <c r="J134" s="13">
        <f>IF(OR(I134="A",I134="K"),IF(K134&gt;0,"+","-"),IF(L134&gt;0,"+","-"))</f>
        <v/>
      </c>
      <c r="K134" s="14" t="n"/>
      <c r="L134" s="14" t="n">
        <v>1452</v>
      </c>
      <c r="M134" s="13" t="inlineStr">
        <is>
          <t>de bank daalt</t>
        </is>
      </c>
      <c r="N134" s="13" t="inlineStr">
        <is>
          <t>nee</t>
        </is>
      </c>
    </row>
    <row r="135">
      <c r="A135" s="12" t="n">
        <v>134</v>
      </c>
      <c r="B135" s="16" t="n">
        <v>46080</v>
      </c>
      <c r="C135" s="5" t="inlineStr">
        <is>
          <t>VERPLICHT</t>
        </is>
      </c>
      <c r="D135" s="13" t="inlineStr">
        <is>
          <t>K1</t>
        </is>
      </c>
      <c r="E135" s="13" t="inlineStr">
        <is>
          <t>U2026-06/6</t>
        </is>
      </c>
      <c r="F135" s="13" t="inlineStr">
        <is>
          <t>uittreksel U2026-06/6</t>
        </is>
      </c>
      <c r="G135" s="13" t="n">
        <v>550000</v>
      </c>
      <c r="H135" s="13">
        <f>INDEX('MAR 2e graad'!$B$2:$B$58,MATCH(G135,'MAR 2e graad'!$A$2:$A$58,0))</f>
        <v/>
      </c>
      <c r="I135" s="13">
        <f>INDEX('MAR 2e graad'!$C$2:$C$58,MATCH(G135,'MAR 2e graad'!$A$2:$A$58,0))</f>
        <v/>
      </c>
      <c r="J135" s="13">
        <f>IF(OR(I135="A",I135="K"),IF(K135&gt;0,"+","-"),IF(L135&gt;0,"+","-"))</f>
        <v/>
      </c>
      <c r="K135" s="14" t="n">
        <v>1000</v>
      </c>
      <c r="L135" s="14" t="n"/>
      <c r="M135" s="13" t="inlineStr">
        <is>
          <t>de bank stijgt</t>
        </is>
      </c>
      <c r="N135" s="13" t="inlineStr">
        <is>
          <t>nee</t>
        </is>
      </c>
    </row>
    <row r="136">
      <c r="A136" s="12" t="n">
        <v>135</v>
      </c>
      <c r="B136" s="16" t="n">
        <v>46080</v>
      </c>
      <c r="C136" s="5" t="inlineStr">
        <is>
          <t>VERPLICHT</t>
        </is>
      </c>
      <c r="D136" s="13" t="inlineStr">
        <is>
          <t>K1</t>
        </is>
      </c>
      <c r="E136" s="13" t="inlineStr">
        <is>
          <t>U2026-06/6</t>
        </is>
      </c>
      <c r="F136" s="13" t="inlineStr">
        <is>
          <t>uittreksel U2026-06/6</t>
        </is>
      </c>
      <c r="G136" s="13" t="n">
        <v>400000</v>
      </c>
      <c r="H136" s="13">
        <f>INDEX('MAR 2e graad'!$B$2:$B$58,MATCH(G136,'MAR 2e graad'!$A$2:$A$58,0))</f>
        <v/>
      </c>
      <c r="I136" s="13">
        <f>INDEX('MAR 2e graad'!$C$2:$C$58,MATCH(G136,'MAR 2e graad'!$A$2:$A$58,0))</f>
        <v/>
      </c>
      <c r="J136" s="13">
        <f>IF(OR(I136="A",I136="K"),IF(K136&gt;0,"+","-"),IF(L136&gt;0,"+","-"))</f>
        <v/>
      </c>
      <c r="K136" s="14" t="n"/>
      <c r="L136" s="14" t="n">
        <v>1000</v>
      </c>
      <c r="M136" s="13" t="inlineStr">
        <is>
          <t>de vordering (bancontact) daalt</t>
        </is>
      </c>
      <c r="N136" s="13" t="inlineStr">
        <is>
          <t>nee</t>
        </is>
      </c>
    </row>
    <row r="137">
      <c r="A137" s="12" t="n">
        <v>136</v>
      </c>
      <c r="B137" s="16" t="n">
        <v>46083</v>
      </c>
      <c r="C137" s="5" t="inlineStr">
        <is>
          <t>VERPLICHT</t>
        </is>
      </c>
      <c r="D137" s="13" t="inlineStr">
        <is>
          <t>K1</t>
        </is>
      </c>
      <c r="E137" s="13" t="inlineStr">
        <is>
          <t>CV3</t>
        </is>
      </c>
      <c r="F137" s="13" t="inlineStr">
        <is>
          <t>CN-2026-004</t>
        </is>
      </c>
      <c r="G137" s="13" t="n">
        <v>400000</v>
      </c>
      <c r="H137" s="13">
        <f>INDEX('MAR 2e graad'!$B$2:$B$58,MATCH(G137,'MAR 2e graad'!$A$2:$A$58,0))</f>
        <v/>
      </c>
      <c r="I137" s="13">
        <f>INDEX('MAR 2e graad'!$C$2:$C$58,MATCH(G137,'MAR 2e graad'!$A$2:$A$58,0))</f>
        <v/>
      </c>
      <c r="J137" s="13">
        <f>IF(OR(I137="A",I137="K"),IF(K137&gt;0,"+","-"),IF(L137&gt;0,"+","-"))</f>
        <v/>
      </c>
      <c r="K137" s="14" t="n"/>
      <c r="L137" s="14" t="n">
        <v>2420</v>
      </c>
      <c r="M137" s="13" t="inlineStr">
        <is>
          <t>de vordering op de klant daalt</t>
        </is>
      </c>
      <c r="N137" s="13" t="inlineStr">
        <is>
          <t>nee</t>
        </is>
      </c>
    </row>
    <row r="138">
      <c r="A138" s="12" t="n">
        <v>137</v>
      </c>
      <c r="B138" s="16" t="n">
        <v>46083</v>
      </c>
      <c r="C138" s="5" t="inlineStr">
        <is>
          <t>VERPLICHT</t>
        </is>
      </c>
      <c r="D138" s="13" t="inlineStr">
        <is>
          <t>K1</t>
        </is>
      </c>
      <c r="E138" s="13" t="inlineStr">
        <is>
          <t>CV3</t>
        </is>
      </c>
      <c r="F138" s="13" t="inlineStr">
        <is>
          <t>CN-2026-004</t>
        </is>
      </c>
      <c r="G138" s="13" t="n">
        <v>704010</v>
      </c>
      <c r="H138" s="13">
        <f>INDEX('MAR 2e graad'!$B$2:$B$58,MATCH(G138,'MAR 2e graad'!$A$2:$A$58,0))</f>
        <v/>
      </c>
      <c r="I138" s="13">
        <f>INDEX('MAR 2e graad'!$C$2:$C$58,MATCH(G138,'MAR 2e graad'!$A$2:$A$58,0))</f>
        <v/>
      </c>
      <c r="J138" s="13">
        <f>IF(OR(I138="A",I138="K"),IF(K138&gt;0,"+","-"),IF(L138&gt;0,"+","-"))</f>
        <v/>
      </c>
      <c r="K138" s="14" t="n">
        <v>2000</v>
      </c>
      <c r="L138" s="14" t="n"/>
      <c r="M138" s="13" t="inlineStr">
        <is>
          <t>de omzet daalt (retour)</t>
        </is>
      </c>
      <c r="N138" s="13" t="inlineStr">
        <is>
          <t>nee</t>
        </is>
      </c>
    </row>
    <row r="139">
      <c r="A139" s="12" t="n">
        <v>138</v>
      </c>
      <c r="B139" s="16" t="n">
        <v>46083</v>
      </c>
      <c r="C139" s="5" t="inlineStr">
        <is>
          <t>VERPLICHT</t>
        </is>
      </c>
      <c r="D139" s="13" t="inlineStr">
        <is>
          <t>K1</t>
        </is>
      </c>
      <c r="E139" s="13" t="inlineStr">
        <is>
          <t>CV3</t>
        </is>
      </c>
      <c r="F139" s="13" t="inlineStr">
        <is>
          <t>CN-2026-004</t>
        </is>
      </c>
      <c r="G139" s="13" t="n">
        <v>411200</v>
      </c>
      <c r="H139" s="13">
        <f>INDEX('MAR 2e graad'!$B$2:$B$58,MATCH(G139,'MAR 2e graad'!$A$2:$A$58,0))</f>
        <v/>
      </c>
      <c r="I139" s="13">
        <f>INDEX('MAR 2e graad'!$C$2:$C$58,MATCH(G139,'MAR 2e graad'!$A$2:$A$58,0))</f>
        <v/>
      </c>
      <c r="J139" s="13">
        <f>IF(OR(I139="A",I139="K"),IF(K139&gt;0,"+","-"),IF(L139&gt;0,"+","-"))</f>
        <v/>
      </c>
      <c r="K139" s="14" t="n">
        <v>420</v>
      </c>
      <c r="L139" s="14" t="n"/>
      <c r="M139" s="13" t="inlineStr">
        <is>
          <t>de vordering op de overheid stijgt (btw op uitgaande creditnota)</t>
        </is>
      </c>
      <c r="N139" s="13" t="inlineStr">
        <is>
          <t>nee</t>
        </is>
      </c>
    </row>
    <row r="140">
      <c r="A140" s="12" t="n">
        <v>139</v>
      </c>
      <c r="B140" s="16" t="n">
        <v>46087</v>
      </c>
      <c r="C140" s="5" t="inlineStr">
        <is>
          <t>VERPLICHT</t>
        </is>
      </c>
      <c r="D140" s="13" t="inlineStr">
        <is>
          <t>K1</t>
        </is>
      </c>
      <c r="E140" s="13" t="inlineStr">
        <is>
          <t>U2026-07/1</t>
        </is>
      </c>
      <c r="F140" s="13" t="inlineStr">
        <is>
          <t>uittreksel U2026-07/1</t>
        </is>
      </c>
      <c r="G140" s="13" t="n">
        <v>550000</v>
      </c>
      <c r="H140" s="13">
        <f>INDEX('MAR 2e graad'!$B$2:$B$58,MATCH(G140,'MAR 2e graad'!$A$2:$A$58,0))</f>
        <v/>
      </c>
      <c r="I140" s="13">
        <f>INDEX('MAR 2e graad'!$C$2:$C$58,MATCH(G140,'MAR 2e graad'!$A$2:$A$58,0))</f>
        <v/>
      </c>
      <c r="J140" s="13">
        <f>IF(OR(I140="A",I140="K"),IF(K140&gt;0,"+","-"),IF(L140&gt;0,"+","-"))</f>
        <v/>
      </c>
      <c r="K140" s="14" t="n">
        <v>121</v>
      </c>
      <c r="L140" s="14" t="n"/>
      <c r="M140" s="13" t="inlineStr">
        <is>
          <t>de bank stijgt</t>
        </is>
      </c>
      <c r="N140" s="13" t="inlineStr">
        <is>
          <t>nee</t>
        </is>
      </c>
    </row>
    <row r="141">
      <c r="A141" s="12" t="n">
        <v>140</v>
      </c>
      <c r="B141" s="16" t="n">
        <v>46087</v>
      </c>
      <c r="C141" s="5" t="inlineStr">
        <is>
          <t>VERPLICHT</t>
        </is>
      </c>
      <c r="D141" s="13" t="inlineStr">
        <is>
          <t>K1</t>
        </is>
      </c>
      <c r="E141" s="13" t="inlineStr">
        <is>
          <t>U2026-07/1</t>
        </is>
      </c>
      <c r="F141" s="13" t="inlineStr">
        <is>
          <t>uittreksel U2026-07/1</t>
        </is>
      </c>
      <c r="G141" s="13" t="n">
        <v>440000</v>
      </c>
      <c r="H141" s="13">
        <f>INDEX('MAR 2e graad'!$B$2:$B$58,MATCH(G141,'MAR 2e graad'!$A$2:$A$58,0))</f>
        <v/>
      </c>
      <c r="I141" s="13">
        <f>INDEX('MAR 2e graad'!$C$2:$C$58,MATCH(G141,'MAR 2e graad'!$A$2:$A$58,0))</f>
        <v/>
      </c>
      <c r="J141" s="13">
        <f>IF(OR(I141="A",I141="K"),IF(K141&gt;0,"+","-"),IF(L141&gt;0,"+","-"))</f>
        <v/>
      </c>
      <c r="K141" s="14" t="n"/>
      <c r="L141" s="14" t="n">
        <v>121</v>
      </c>
      <c r="M141" s="13" t="inlineStr">
        <is>
          <t>de vordering op de leverancier (creditnota) daalt</t>
        </is>
      </c>
      <c r="N141" s="13" t="inlineStr">
        <is>
          <t>nee</t>
        </is>
      </c>
    </row>
    <row r="142">
      <c r="A142" s="12" t="n">
        <v>141</v>
      </c>
      <c r="B142" s="16" t="n">
        <v>46087</v>
      </c>
      <c r="C142" s="5" t="inlineStr">
        <is>
          <t>VERPLICHT</t>
        </is>
      </c>
      <c r="D142" s="13" t="inlineStr">
        <is>
          <t>K1</t>
        </is>
      </c>
      <c r="E142" s="13" t="inlineStr">
        <is>
          <t>U2026-07/2</t>
        </is>
      </c>
      <c r="F142" s="13" t="inlineStr">
        <is>
          <t>uittreksel U2026-07/2</t>
        </is>
      </c>
      <c r="G142" s="13" t="n">
        <v>400000</v>
      </c>
      <c r="H142" s="13">
        <f>INDEX('MAR 2e graad'!$B$2:$B$58,MATCH(G142,'MAR 2e graad'!$A$2:$A$58,0))</f>
        <v/>
      </c>
      <c r="I142" s="13">
        <f>INDEX('MAR 2e graad'!$C$2:$C$58,MATCH(G142,'MAR 2e graad'!$A$2:$A$58,0))</f>
        <v/>
      </c>
      <c r="J142" s="13">
        <f>IF(OR(I142="A",I142="K"),IF(K142&gt;0,"+","-"),IF(L142&gt;0,"+","-"))</f>
        <v/>
      </c>
      <c r="K142" s="14" t="n">
        <v>2420</v>
      </c>
      <c r="L142" s="14" t="n"/>
      <c r="M142" s="13" t="inlineStr">
        <is>
          <t>de schuld aan de klant (creditnota) daalt</t>
        </is>
      </c>
      <c r="N142" s="13" t="inlineStr">
        <is>
          <t>nee</t>
        </is>
      </c>
    </row>
    <row r="143">
      <c r="A143" s="12" t="n">
        <v>142</v>
      </c>
      <c r="B143" s="16" t="n">
        <v>46087</v>
      </c>
      <c r="C143" s="5" t="inlineStr">
        <is>
          <t>VERPLICHT</t>
        </is>
      </c>
      <c r="D143" s="13" t="inlineStr">
        <is>
          <t>K1</t>
        </is>
      </c>
      <c r="E143" s="13" t="inlineStr">
        <is>
          <t>U2026-07/2</t>
        </is>
      </c>
      <c r="F143" s="13" t="inlineStr">
        <is>
          <t>uittreksel U2026-07/2</t>
        </is>
      </c>
      <c r="G143" s="13" t="n">
        <v>550000</v>
      </c>
      <c r="H143" s="13">
        <f>INDEX('MAR 2e graad'!$B$2:$B$58,MATCH(G143,'MAR 2e graad'!$A$2:$A$58,0))</f>
        <v/>
      </c>
      <c r="I143" s="13">
        <f>INDEX('MAR 2e graad'!$C$2:$C$58,MATCH(G143,'MAR 2e graad'!$A$2:$A$58,0))</f>
        <v/>
      </c>
      <c r="J143" s="13">
        <f>IF(OR(I143="A",I143="K"),IF(K143&gt;0,"+","-"),IF(L143&gt;0,"+","-"))</f>
        <v/>
      </c>
      <c r="K143" s="14" t="n"/>
      <c r="L143" s="14" t="n">
        <v>2420</v>
      </c>
      <c r="M143" s="13" t="inlineStr">
        <is>
          <t>de bank daalt</t>
        </is>
      </c>
      <c r="N143" s="13" t="inlineStr">
        <is>
          <t>nee</t>
        </is>
      </c>
    </row>
    <row r="144">
      <c r="A144" s="12" t="n">
        <v>143</v>
      </c>
      <c r="B144" s="16" t="n">
        <v>46087</v>
      </c>
      <c r="C144" s="5" t="inlineStr">
        <is>
          <t>VERPLICHT</t>
        </is>
      </c>
      <c r="D144" s="13" t="inlineStr">
        <is>
          <t>K1</t>
        </is>
      </c>
      <c r="E144" s="13" t="inlineStr">
        <is>
          <t>U2026-07/3</t>
        </is>
      </c>
      <c r="F144" s="13" t="inlineStr">
        <is>
          <t>uittreksel U2026-07/3</t>
        </is>
      </c>
      <c r="G144" s="13" t="n">
        <v>550000</v>
      </c>
      <c r="H144" s="13">
        <f>INDEX('MAR 2e graad'!$B$2:$B$58,MATCH(G144,'MAR 2e graad'!$A$2:$A$58,0))</f>
        <v/>
      </c>
      <c r="I144" s="13">
        <f>INDEX('MAR 2e graad'!$C$2:$C$58,MATCH(G144,'MAR 2e graad'!$A$2:$A$58,0))</f>
        <v/>
      </c>
      <c r="J144" s="13">
        <f>IF(OR(I144="A",I144="K"),IF(K144&gt;0,"+","-"),IF(L144&gt;0,"+","-"))</f>
        <v/>
      </c>
      <c r="K144" s="14" t="n">
        <v>636</v>
      </c>
      <c r="L144" s="14" t="n"/>
      <c r="M144" s="13" t="inlineStr">
        <is>
          <t>de bank stijgt</t>
        </is>
      </c>
      <c r="N144" s="13" t="inlineStr">
        <is>
          <t>nee</t>
        </is>
      </c>
    </row>
    <row r="145">
      <c r="A145" s="12" t="n">
        <v>144</v>
      </c>
      <c r="B145" s="16" t="n">
        <v>46087</v>
      </c>
      <c r="C145" s="5" t="inlineStr">
        <is>
          <t>VERPLICHT</t>
        </is>
      </c>
      <c r="D145" s="13" t="inlineStr">
        <is>
          <t>K1</t>
        </is>
      </c>
      <c r="E145" s="13" t="inlineStr">
        <is>
          <t>U2026-07/3</t>
        </is>
      </c>
      <c r="F145" s="13" t="inlineStr">
        <is>
          <t>uittreksel U2026-07/3</t>
        </is>
      </c>
      <c r="G145" s="13" t="n">
        <v>400000</v>
      </c>
      <c r="H145" s="13">
        <f>INDEX('MAR 2e graad'!$B$2:$B$58,MATCH(G145,'MAR 2e graad'!$A$2:$A$58,0))</f>
        <v/>
      </c>
      <c r="I145" s="13">
        <f>INDEX('MAR 2e graad'!$C$2:$C$58,MATCH(G145,'MAR 2e graad'!$A$2:$A$58,0))</f>
        <v/>
      </c>
      <c r="J145" s="13">
        <f>IF(OR(I145="A",I145="K"),IF(K145&gt;0,"+","-"),IF(L145&gt;0,"+","-"))</f>
        <v/>
      </c>
      <c r="K145" s="14" t="n"/>
      <c r="L145" s="14" t="n">
        <v>636</v>
      </c>
      <c r="M145" s="13" t="inlineStr">
        <is>
          <t>de vordering op de klant daalt</t>
        </is>
      </c>
      <c r="N145" s="13" t="inlineStr">
        <is>
          <t>nee</t>
        </is>
      </c>
    </row>
    <row r="146">
      <c r="A146" s="12" t="n">
        <v>145</v>
      </c>
      <c r="B146" s="16" t="n">
        <v>46087</v>
      </c>
      <c r="C146" s="5" t="inlineStr">
        <is>
          <t>VERPLICHT</t>
        </is>
      </c>
      <c r="D146" s="13" t="inlineStr">
        <is>
          <t>K1</t>
        </is>
      </c>
      <c r="E146" s="13" t="inlineStr">
        <is>
          <t>U2026-07/4</t>
        </is>
      </c>
      <c r="F146" s="13" t="inlineStr">
        <is>
          <t>uittreksel U2026-07/4</t>
        </is>
      </c>
      <c r="G146" s="13" t="n">
        <v>550000</v>
      </c>
      <c r="H146" s="13">
        <f>INDEX('MAR 2e graad'!$B$2:$B$58,MATCH(G146,'MAR 2e graad'!$A$2:$A$58,0))</f>
        <v/>
      </c>
      <c r="I146" s="13">
        <f>INDEX('MAR 2e graad'!$C$2:$C$58,MATCH(G146,'MAR 2e graad'!$A$2:$A$58,0))</f>
        <v/>
      </c>
      <c r="J146" s="13">
        <f>IF(OR(I146="A",I146="K"),IF(K146&gt;0,"+","-"),IF(L146&gt;0,"+","-"))</f>
        <v/>
      </c>
      <c r="K146" s="14" t="n">
        <v>1573</v>
      </c>
      <c r="L146" s="14" t="n"/>
      <c r="M146" s="13" t="inlineStr">
        <is>
          <t>de bank stijgt</t>
        </is>
      </c>
      <c r="N146" s="13" t="inlineStr">
        <is>
          <t>nee</t>
        </is>
      </c>
    </row>
    <row r="147">
      <c r="A147" s="12" t="n">
        <v>146</v>
      </c>
      <c r="B147" s="16" t="n">
        <v>46087</v>
      </c>
      <c r="C147" s="5" t="inlineStr">
        <is>
          <t>VERPLICHT</t>
        </is>
      </c>
      <c r="D147" s="13" t="inlineStr">
        <is>
          <t>K1</t>
        </is>
      </c>
      <c r="E147" s="13" t="inlineStr">
        <is>
          <t>U2026-07/4</t>
        </is>
      </c>
      <c r="F147" s="13" t="inlineStr">
        <is>
          <t>uittreksel U2026-07/4</t>
        </is>
      </c>
      <c r="G147" s="13" t="n">
        <v>400000</v>
      </c>
      <c r="H147" s="13">
        <f>INDEX('MAR 2e graad'!$B$2:$B$58,MATCH(G147,'MAR 2e graad'!$A$2:$A$58,0))</f>
        <v/>
      </c>
      <c r="I147" s="13">
        <f>INDEX('MAR 2e graad'!$C$2:$C$58,MATCH(G147,'MAR 2e graad'!$A$2:$A$58,0))</f>
        <v/>
      </c>
      <c r="J147" s="13">
        <f>IF(OR(I147="A",I147="K"),IF(K147&gt;0,"+","-"),IF(L147&gt;0,"+","-"))</f>
        <v/>
      </c>
      <c r="K147" s="14" t="n"/>
      <c r="L147" s="14" t="n">
        <v>1573</v>
      </c>
      <c r="M147" s="13" t="inlineStr">
        <is>
          <t>de vordering op de klant daalt</t>
        </is>
      </c>
      <c r="N147" s="13" t="inlineStr">
        <is>
          <t>nee</t>
        </is>
      </c>
    </row>
    <row r="148">
      <c r="A148" s="12" t="n">
        <v>147</v>
      </c>
      <c r="B148" s="16" t="n">
        <v>46114</v>
      </c>
      <c r="C148" s="6" t="inlineStr">
        <is>
          <t>OEFEN</t>
        </is>
      </c>
      <c r="D148" s="13" t="inlineStr">
        <is>
          <t>K2</t>
        </is>
      </c>
      <c r="E148" s="13" t="inlineStr">
        <is>
          <t>Q2A1</t>
        </is>
      </c>
      <c r="F148" s="13" t="inlineStr">
        <is>
          <t>2026-411</t>
        </is>
      </c>
      <c r="G148" s="13" t="n">
        <v>604000</v>
      </c>
      <c r="H148" s="13">
        <f>INDEX('MAR 2e graad'!$B$2:$B$58,MATCH(G148,'MAR 2e graad'!$A$2:$A$58,0))</f>
        <v/>
      </c>
      <c r="I148" s="13">
        <f>INDEX('MAR 2e graad'!$C$2:$C$58,MATCH(G148,'MAR 2e graad'!$A$2:$A$58,0))</f>
        <v/>
      </c>
      <c r="J148" s="13">
        <f>IF(OR(I148="A",I148="K"),IF(K148&gt;0,"+","-"),IF(L148&gt;0,"+","-"))</f>
        <v/>
      </c>
      <c r="K148" s="14" t="n">
        <v>4000</v>
      </c>
      <c r="L148" s="14" t="n"/>
      <c r="M148" s="13" t="inlineStr">
        <is>
          <t>de kosten voor handelsgoederen stijgen</t>
        </is>
      </c>
      <c r="N148" s="13" t="inlineStr">
        <is>
          <t>nee</t>
        </is>
      </c>
    </row>
    <row r="149">
      <c r="A149" s="12" t="n">
        <v>148</v>
      </c>
      <c r="B149" s="16" t="n">
        <v>46114</v>
      </c>
      <c r="C149" s="6" t="inlineStr">
        <is>
          <t>OEFEN</t>
        </is>
      </c>
      <c r="D149" s="13" t="inlineStr">
        <is>
          <t>K2</t>
        </is>
      </c>
      <c r="E149" s="13" t="inlineStr">
        <is>
          <t>Q2A1</t>
        </is>
      </c>
      <c r="F149" s="13" t="inlineStr">
        <is>
          <t>2026-411</t>
        </is>
      </c>
      <c r="G149" s="13" t="n">
        <v>604000</v>
      </c>
      <c r="H149" s="13">
        <f>INDEX('MAR 2e graad'!$B$2:$B$58,MATCH(G149,'MAR 2e graad'!$A$2:$A$58,0))</f>
        <v/>
      </c>
      <c r="I149" s="13">
        <f>INDEX('MAR 2e graad'!$C$2:$C$58,MATCH(G149,'MAR 2e graad'!$A$2:$A$58,0))</f>
        <v/>
      </c>
      <c r="J149" s="13">
        <f>IF(OR(I149="A",I149="K"),IF(K149&gt;0,"+","-"),IF(L149&gt;0,"+","-"))</f>
        <v/>
      </c>
      <c r="K149" s="14" t="n">
        <v>5600</v>
      </c>
      <c r="L149" s="14" t="n"/>
      <c r="M149" s="13" t="inlineStr">
        <is>
          <t>de kosten voor handelsgoederen stijgen</t>
        </is>
      </c>
      <c r="N149" s="13" t="inlineStr">
        <is>
          <t>nee</t>
        </is>
      </c>
    </row>
    <row r="150">
      <c r="A150" s="12" t="n">
        <v>149</v>
      </c>
      <c r="B150" s="16" t="n">
        <v>46114</v>
      </c>
      <c r="C150" s="6" t="inlineStr">
        <is>
          <t>OEFEN</t>
        </is>
      </c>
      <c r="D150" s="13" t="inlineStr">
        <is>
          <t>K2</t>
        </is>
      </c>
      <c r="E150" s="13" t="inlineStr">
        <is>
          <t>Q2A1</t>
        </is>
      </c>
      <c r="F150" s="13" t="inlineStr">
        <is>
          <t>2026-411</t>
        </is>
      </c>
      <c r="G150" s="13" t="n">
        <v>604000</v>
      </c>
      <c r="H150" s="13">
        <f>INDEX('MAR 2e graad'!$B$2:$B$58,MATCH(G150,'MAR 2e graad'!$A$2:$A$58,0))</f>
        <v/>
      </c>
      <c r="I150" s="13">
        <f>INDEX('MAR 2e graad'!$C$2:$C$58,MATCH(G150,'MAR 2e graad'!$A$2:$A$58,0))</f>
        <v/>
      </c>
      <c r="J150" s="13">
        <f>IF(OR(I150="A",I150="K"),IF(K150&gt;0,"+","-"),IF(L150&gt;0,"+","-"))</f>
        <v/>
      </c>
      <c r="K150" s="14" t="n">
        <v>600</v>
      </c>
      <c r="L150" s="14" t="n"/>
      <c r="M150" s="13" t="inlineStr">
        <is>
          <t>de kosten voor handelsgoederen stijgen</t>
        </is>
      </c>
      <c r="N150" s="13" t="inlineStr">
        <is>
          <t>nee</t>
        </is>
      </c>
    </row>
    <row r="151">
      <c r="A151" s="12" t="n">
        <v>150</v>
      </c>
      <c r="B151" s="16" t="n">
        <v>46114</v>
      </c>
      <c r="C151" s="6" t="inlineStr">
        <is>
          <t>OEFEN</t>
        </is>
      </c>
      <c r="D151" s="13" t="inlineStr">
        <is>
          <t>K2</t>
        </is>
      </c>
      <c r="E151" s="13" t="inlineStr">
        <is>
          <t>Q2A1</t>
        </is>
      </c>
      <c r="F151" s="13" t="inlineStr">
        <is>
          <t>2026-411</t>
        </is>
      </c>
      <c r="G151" s="13" t="n">
        <v>411100</v>
      </c>
      <c r="H151" s="13">
        <f>INDEX('MAR 2e graad'!$B$2:$B$58,MATCH(G151,'MAR 2e graad'!$A$2:$A$58,0))</f>
        <v/>
      </c>
      <c r="I151" s="13">
        <f>INDEX('MAR 2e graad'!$C$2:$C$58,MATCH(G151,'MAR 2e graad'!$A$2:$A$58,0))</f>
        <v/>
      </c>
      <c r="J151" s="13">
        <f>IF(OR(I151="A",I151="K"),IF(K151&gt;0,"+","-"),IF(L151&gt;0,"+","-"))</f>
        <v/>
      </c>
      <c r="K151" s="14" t="n">
        <v>2142</v>
      </c>
      <c r="L151" s="14" t="n"/>
      <c r="M151" s="13" t="inlineStr">
        <is>
          <t>de vordering op de overheid (aftrekbare btw) stijgt</t>
        </is>
      </c>
      <c r="N151" s="13" t="inlineStr">
        <is>
          <t>nee</t>
        </is>
      </c>
    </row>
    <row r="152">
      <c r="A152" s="12" t="n">
        <v>151</v>
      </c>
      <c r="B152" s="16" t="n">
        <v>46114</v>
      </c>
      <c r="C152" s="6" t="inlineStr">
        <is>
          <t>OEFEN</t>
        </is>
      </c>
      <c r="D152" s="13" t="inlineStr">
        <is>
          <t>K2</t>
        </is>
      </c>
      <c r="E152" s="13" t="inlineStr">
        <is>
          <t>Q2A1</t>
        </is>
      </c>
      <c r="F152" s="13" t="inlineStr">
        <is>
          <t>2026-411</t>
        </is>
      </c>
      <c r="G152" s="13" t="n">
        <v>440000</v>
      </c>
      <c r="H152" s="13">
        <f>INDEX('MAR 2e graad'!$B$2:$B$58,MATCH(G152,'MAR 2e graad'!$A$2:$A$58,0))</f>
        <v/>
      </c>
      <c r="I152" s="13">
        <f>INDEX('MAR 2e graad'!$C$2:$C$58,MATCH(G152,'MAR 2e graad'!$A$2:$A$58,0))</f>
        <v/>
      </c>
      <c r="J152" s="13">
        <f>IF(OR(I152="A",I152="K"),IF(K152&gt;0,"+","-"),IF(L152&gt;0,"+","-"))</f>
        <v/>
      </c>
      <c r="K152" s="14" t="n"/>
      <c r="L152" s="14" t="n">
        <v>12342</v>
      </c>
      <c r="M152" s="13" t="inlineStr">
        <is>
          <t>de schuld aan de leverancier stijgt</t>
        </is>
      </c>
      <c r="N152" s="13" t="inlineStr">
        <is>
          <t>nee</t>
        </is>
      </c>
    </row>
    <row r="153">
      <c r="A153" s="12" t="n">
        <v>152</v>
      </c>
      <c r="B153" s="16" t="n">
        <v>46120</v>
      </c>
      <c r="C153" s="6" t="inlineStr">
        <is>
          <t>OEFEN</t>
        </is>
      </c>
      <c r="D153" s="13" t="inlineStr">
        <is>
          <t>K2</t>
        </is>
      </c>
      <c r="E153" s="13" t="inlineStr">
        <is>
          <t>Q2A2</t>
        </is>
      </c>
      <c r="F153" s="13" t="inlineStr">
        <is>
          <t>SK-26-1290</t>
        </is>
      </c>
      <c r="G153" s="13" t="n">
        <v>612700</v>
      </c>
      <c r="H153" s="13">
        <f>INDEX('MAR 2e graad'!$B$2:$B$58,MATCH(G153,'MAR 2e graad'!$A$2:$A$58,0))</f>
        <v/>
      </c>
      <c r="I153" s="13">
        <f>INDEX('MAR 2e graad'!$C$2:$C$58,MATCH(G153,'MAR 2e graad'!$A$2:$A$58,0))</f>
        <v/>
      </c>
      <c r="J153" s="13">
        <f>IF(OR(I153="A",I153="K"),IF(K153&gt;0,"+","-"),IF(L153&gt;0,"+","-"))</f>
        <v/>
      </c>
      <c r="K153" s="14" t="n">
        <v>400</v>
      </c>
      <c r="L153" s="14" t="n"/>
      <c r="M153" s="13" t="inlineStr">
        <is>
          <t>de kosten voor diensten en diverse goederen stijgen</t>
        </is>
      </c>
      <c r="N153" s="13" t="inlineStr">
        <is>
          <t>nee</t>
        </is>
      </c>
    </row>
    <row r="154">
      <c r="A154" s="12" t="n">
        <v>153</v>
      </c>
      <c r="B154" s="16" t="n">
        <v>46120</v>
      </c>
      <c r="C154" s="6" t="inlineStr">
        <is>
          <t>OEFEN</t>
        </is>
      </c>
      <c r="D154" s="13" t="inlineStr">
        <is>
          <t>K2</t>
        </is>
      </c>
      <c r="E154" s="13" t="inlineStr">
        <is>
          <t>Q2A2</t>
        </is>
      </c>
      <c r="F154" s="13" t="inlineStr">
        <is>
          <t>SK-26-1290</t>
        </is>
      </c>
      <c r="G154" s="13" t="n">
        <v>411100</v>
      </c>
      <c r="H154" s="13">
        <f>INDEX('MAR 2e graad'!$B$2:$B$58,MATCH(G154,'MAR 2e graad'!$A$2:$A$58,0))</f>
        <v/>
      </c>
      <c r="I154" s="13">
        <f>INDEX('MAR 2e graad'!$C$2:$C$58,MATCH(G154,'MAR 2e graad'!$A$2:$A$58,0))</f>
        <v/>
      </c>
      <c r="J154" s="13">
        <f>IF(OR(I154="A",I154="K"),IF(K154&gt;0,"+","-"),IF(L154&gt;0,"+","-"))</f>
        <v/>
      </c>
      <c r="K154" s="14" t="n">
        <v>84</v>
      </c>
      <c r="L154" s="14" t="n"/>
      <c r="M154" s="13" t="inlineStr">
        <is>
          <t>de vordering op de overheid (aftrekbare btw) stijgt</t>
        </is>
      </c>
      <c r="N154" s="13" t="inlineStr">
        <is>
          <t>nee</t>
        </is>
      </c>
    </row>
    <row r="155">
      <c r="A155" s="12" t="n">
        <v>154</v>
      </c>
      <c r="B155" s="16" t="n">
        <v>46120</v>
      </c>
      <c r="C155" s="6" t="inlineStr">
        <is>
          <t>OEFEN</t>
        </is>
      </c>
      <c r="D155" s="13" t="inlineStr">
        <is>
          <t>K2</t>
        </is>
      </c>
      <c r="E155" s="13" t="inlineStr">
        <is>
          <t>Q2A2</t>
        </is>
      </c>
      <c r="F155" s="13" t="inlineStr">
        <is>
          <t>SK-26-1290</t>
        </is>
      </c>
      <c r="G155" s="13" t="n">
        <v>440000</v>
      </c>
      <c r="H155" s="13">
        <f>INDEX('MAR 2e graad'!$B$2:$B$58,MATCH(G155,'MAR 2e graad'!$A$2:$A$58,0))</f>
        <v/>
      </c>
      <c r="I155" s="13">
        <f>INDEX('MAR 2e graad'!$C$2:$C$58,MATCH(G155,'MAR 2e graad'!$A$2:$A$58,0))</f>
        <v/>
      </c>
      <c r="J155" s="13">
        <f>IF(OR(I155="A",I155="K"),IF(K155&gt;0,"+","-"),IF(L155&gt;0,"+","-"))</f>
        <v/>
      </c>
      <c r="K155" s="14" t="n"/>
      <c r="L155" s="14" t="n">
        <v>484</v>
      </c>
      <c r="M155" s="13" t="inlineStr">
        <is>
          <t>de schuld aan de leverancier stijgt</t>
        </is>
      </c>
      <c r="N155" s="13" t="inlineStr">
        <is>
          <t>nee</t>
        </is>
      </c>
    </row>
    <row r="156">
      <c r="A156" s="12" t="n">
        <v>155</v>
      </c>
      <c r="B156" s="16" t="n">
        <v>46122</v>
      </c>
      <c r="C156" s="6" t="inlineStr">
        <is>
          <t>OEFEN</t>
        </is>
      </c>
      <c r="D156" s="13" t="inlineStr">
        <is>
          <t>K2</t>
        </is>
      </c>
      <c r="E156" s="13" t="inlineStr">
        <is>
          <t>Q2V1</t>
        </is>
      </c>
      <c r="F156" s="13" t="inlineStr">
        <is>
          <t>2026-008</t>
        </is>
      </c>
      <c r="G156" s="13" t="n">
        <v>400000</v>
      </c>
      <c r="H156" s="13">
        <f>INDEX('MAR 2e graad'!$B$2:$B$58,MATCH(G156,'MAR 2e graad'!$A$2:$A$58,0))</f>
        <v/>
      </c>
      <c r="I156" s="13">
        <f>INDEX('MAR 2e graad'!$C$2:$C$58,MATCH(G156,'MAR 2e graad'!$A$2:$A$58,0))</f>
        <v/>
      </c>
      <c r="J156" s="13">
        <f>IF(OR(I156="A",I156="K"),IF(K156&gt;0,"+","-"),IF(L156&gt;0,"+","-"))</f>
        <v/>
      </c>
      <c r="K156" s="14" t="n">
        <v>5687</v>
      </c>
      <c r="L156" s="14" t="n"/>
      <c r="M156" s="13" t="inlineStr">
        <is>
          <t>de vordering op de klant stijgt</t>
        </is>
      </c>
      <c r="N156" s="13" t="inlineStr">
        <is>
          <t>nee</t>
        </is>
      </c>
    </row>
    <row r="157">
      <c r="A157" s="12" t="n">
        <v>156</v>
      </c>
      <c r="B157" s="16" t="n">
        <v>46122</v>
      </c>
      <c r="C157" s="6" t="inlineStr">
        <is>
          <t>OEFEN</t>
        </is>
      </c>
      <c r="D157" s="13" t="inlineStr">
        <is>
          <t>K2</t>
        </is>
      </c>
      <c r="E157" s="13" t="inlineStr">
        <is>
          <t>Q2V1</t>
        </is>
      </c>
      <c r="F157" s="13" t="inlineStr">
        <is>
          <t>2026-008</t>
        </is>
      </c>
      <c r="G157" s="13" t="n">
        <v>704000</v>
      </c>
      <c r="H157" s="13">
        <f>INDEX('MAR 2e graad'!$B$2:$B$58,MATCH(G157,'MAR 2e graad'!$A$2:$A$58,0))</f>
        <v/>
      </c>
      <c r="I157" s="13">
        <f>INDEX('MAR 2e graad'!$C$2:$C$58,MATCH(G157,'MAR 2e graad'!$A$2:$A$58,0))</f>
        <v/>
      </c>
      <c r="J157" s="13">
        <f>IF(OR(I157="A",I157="K"),IF(K157&gt;0,"+","-"),IF(L157&gt;0,"+","-"))</f>
        <v/>
      </c>
      <c r="K157" s="14" t="n"/>
      <c r="L157" s="14" t="n">
        <v>3600</v>
      </c>
      <c r="M157" s="13" t="inlineStr">
        <is>
          <t>de omzet stijgt</t>
        </is>
      </c>
      <c r="N157" s="13" t="inlineStr">
        <is>
          <t>nee</t>
        </is>
      </c>
    </row>
    <row r="158">
      <c r="A158" s="12" t="n">
        <v>157</v>
      </c>
      <c r="B158" s="16" t="n">
        <v>46122</v>
      </c>
      <c r="C158" s="6" t="inlineStr">
        <is>
          <t>OEFEN</t>
        </is>
      </c>
      <c r="D158" s="13" t="inlineStr">
        <is>
          <t>K2</t>
        </is>
      </c>
      <c r="E158" s="13" t="inlineStr">
        <is>
          <t>Q2V1</t>
        </is>
      </c>
      <c r="F158" s="13" t="inlineStr">
        <is>
          <t>2026-008</t>
        </is>
      </c>
      <c r="G158" s="13" t="n">
        <v>704000</v>
      </c>
      <c r="H158" s="13">
        <f>INDEX('MAR 2e graad'!$B$2:$B$58,MATCH(G158,'MAR 2e graad'!$A$2:$A$58,0))</f>
        <v/>
      </c>
      <c r="I158" s="13">
        <f>INDEX('MAR 2e graad'!$C$2:$C$58,MATCH(G158,'MAR 2e graad'!$A$2:$A$58,0))</f>
        <v/>
      </c>
      <c r="J158" s="13">
        <f>IF(OR(I158="A",I158="K"),IF(K158&gt;0,"+","-"),IF(L158&gt;0,"+","-"))</f>
        <v/>
      </c>
      <c r="K158" s="14" t="n"/>
      <c r="L158" s="14" t="n">
        <v>400</v>
      </c>
      <c r="M158" s="13" t="inlineStr">
        <is>
          <t>de omzet stijgt</t>
        </is>
      </c>
      <c r="N158" s="13" t="inlineStr">
        <is>
          <t>nee</t>
        </is>
      </c>
    </row>
    <row r="159">
      <c r="A159" s="12" t="n">
        <v>158</v>
      </c>
      <c r="B159" s="16" t="n">
        <v>46122</v>
      </c>
      <c r="C159" s="6" t="inlineStr">
        <is>
          <t>OEFEN</t>
        </is>
      </c>
      <c r="D159" s="13" t="inlineStr">
        <is>
          <t>K2</t>
        </is>
      </c>
      <c r="E159" s="13" t="inlineStr">
        <is>
          <t>Q2V1</t>
        </is>
      </c>
      <c r="F159" s="13" t="inlineStr">
        <is>
          <t>2026-008</t>
        </is>
      </c>
      <c r="G159" s="13" t="n">
        <v>704000</v>
      </c>
      <c r="H159" s="13">
        <f>INDEX('MAR 2e graad'!$B$2:$B$58,MATCH(G159,'MAR 2e graad'!$A$2:$A$58,0))</f>
        <v/>
      </c>
      <c r="I159" s="13">
        <f>INDEX('MAR 2e graad'!$C$2:$C$58,MATCH(G159,'MAR 2e graad'!$A$2:$A$58,0))</f>
        <v/>
      </c>
      <c r="J159" s="13">
        <f>IF(OR(I159="A",I159="K"),IF(K159&gt;0,"+","-"),IF(L159&gt;0,"+","-"))</f>
        <v/>
      </c>
      <c r="K159" s="14" t="n"/>
      <c r="L159" s="14" t="n">
        <v>700</v>
      </c>
      <c r="M159" s="13" t="inlineStr">
        <is>
          <t>de omzet stijgt</t>
        </is>
      </c>
      <c r="N159" s="13" t="inlineStr">
        <is>
          <t>nee</t>
        </is>
      </c>
    </row>
    <row r="160">
      <c r="A160" s="12" t="n">
        <v>159</v>
      </c>
      <c r="B160" s="16" t="n">
        <v>46122</v>
      </c>
      <c r="C160" s="6" t="inlineStr">
        <is>
          <t>OEFEN</t>
        </is>
      </c>
      <c r="D160" s="13" t="inlineStr">
        <is>
          <t>K2</t>
        </is>
      </c>
      <c r="E160" s="13" t="inlineStr">
        <is>
          <t>Q2V1</t>
        </is>
      </c>
      <c r="F160" s="13" t="inlineStr">
        <is>
          <t>2026-008</t>
        </is>
      </c>
      <c r="G160" s="13" t="n">
        <v>451100</v>
      </c>
      <c r="H160" s="13">
        <f>INDEX('MAR 2e graad'!$B$2:$B$58,MATCH(G160,'MAR 2e graad'!$A$2:$A$58,0))</f>
        <v/>
      </c>
      <c r="I160" s="13">
        <f>INDEX('MAR 2e graad'!$C$2:$C$58,MATCH(G160,'MAR 2e graad'!$A$2:$A$58,0))</f>
        <v/>
      </c>
      <c r="J160" s="13">
        <f>IF(OR(I160="A",I160="K"),IF(K160&gt;0,"+","-"),IF(L160&gt;0,"+","-"))</f>
        <v/>
      </c>
      <c r="K160" s="14" t="n"/>
      <c r="L160" s="14" t="n">
        <v>987</v>
      </c>
      <c r="M160" s="13" t="inlineStr">
        <is>
          <t>de schuld aan de overheid (verschuldigde btw) stijgt</t>
        </is>
      </c>
      <c r="N160" s="13" t="inlineStr">
        <is>
          <t>nee</t>
        </is>
      </c>
    </row>
    <row r="161">
      <c r="A161" s="12" t="n">
        <v>160</v>
      </c>
      <c r="B161" s="16" t="n">
        <v>46124</v>
      </c>
      <c r="C161" s="6" t="inlineStr">
        <is>
          <t>OEFEN</t>
        </is>
      </c>
      <c r="D161" s="13" t="inlineStr">
        <is>
          <t>K2</t>
        </is>
      </c>
      <c r="E161" s="13" t="inlineStr">
        <is>
          <t>Q2CA1</t>
        </is>
      </c>
      <c r="F161" s="13" t="inlineStr">
        <is>
          <t>CN-2026-029</t>
        </is>
      </c>
      <c r="G161" s="13" t="n">
        <v>604010</v>
      </c>
      <c r="H161" s="13">
        <f>INDEX('MAR 2e graad'!$B$2:$B$58,MATCH(G161,'MAR 2e graad'!$A$2:$A$58,0))</f>
        <v/>
      </c>
      <c r="I161" s="13">
        <f>INDEX('MAR 2e graad'!$C$2:$C$58,MATCH(G161,'MAR 2e graad'!$A$2:$A$58,0))</f>
        <v/>
      </c>
      <c r="J161" s="13">
        <f>IF(OR(I161="A",I161="K"),IF(K161&gt;0,"+","-"),IF(L161&gt;0,"+","-"))</f>
        <v/>
      </c>
      <c r="K161" s="14" t="n"/>
      <c r="L161" s="14" t="n">
        <v>300</v>
      </c>
      <c r="M161" s="13" t="inlineStr">
        <is>
          <t>de kosten voor handelsgoederen dalen (retour)</t>
        </is>
      </c>
      <c r="N161" s="13" t="inlineStr">
        <is>
          <t>nee</t>
        </is>
      </c>
    </row>
    <row r="162">
      <c r="A162" s="12" t="n">
        <v>161</v>
      </c>
      <c r="B162" s="16" t="n">
        <v>46124</v>
      </c>
      <c r="C162" s="6" t="inlineStr">
        <is>
          <t>OEFEN</t>
        </is>
      </c>
      <c r="D162" s="13" t="inlineStr">
        <is>
          <t>K2</t>
        </is>
      </c>
      <c r="E162" s="13" t="inlineStr">
        <is>
          <t>Q2CA1</t>
        </is>
      </c>
      <c r="F162" s="13" t="inlineStr">
        <is>
          <t>CN-2026-029</t>
        </is>
      </c>
      <c r="G162" s="13" t="n">
        <v>451200</v>
      </c>
      <c r="H162" s="13">
        <f>INDEX('MAR 2e graad'!$B$2:$B$58,MATCH(G162,'MAR 2e graad'!$A$2:$A$58,0))</f>
        <v/>
      </c>
      <c r="I162" s="13">
        <f>INDEX('MAR 2e graad'!$C$2:$C$58,MATCH(G162,'MAR 2e graad'!$A$2:$A$58,0))</f>
        <v/>
      </c>
      <c r="J162" s="13">
        <f>IF(OR(I162="A",I162="K"),IF(K162&gt;0,"+","-"),IF(L162&gt;0,"+","-"))</f>
        <v/>
      </c>
      <c r="K162" s="14" t="n"/>
      <c r="L162" s="14" t="n">
        <v>63</v>
      </c>
      <c r="M162" s="13" t="inlineStr">
        <is>
          <t>de schuld aan de overheid stijgt (btw op inkomende creditnota)</t>
        </is>
      </c>
      <c r="N162" s="13" t="inlineStr">
        <is>
          <t>nee</t>
        </is>
      </c>
    </row>
    <row r="163">
      <c r="A163" s="12" t="n">
        <v>162</v>
      </c>
      <c r="B163" s="16" t="n">
        <v>46124</v>
      </c>
      <c r="C163" s="6" t="inlineStr">
        <is>
          <t>OEFEN</t>
        </is>
      </c>
      <c r="D163" s="13" t="inlineStr">
        <is>
          <t>K2</t>
        </is>
      </c>
      <c r="E163" s="13" t="inlineStr">
        <is>
          <t>Q2CA1</t>
        </is>
      </c>
      <c r="F163" s="13" t="inlineStr">
        <is>
          <t>CN-2026-029</t>
        </is>
      </c>
      <c r="G163" s="13" t="n">
        <v>440000</v>
      </c>
      <c r="H163" s="13">
        <f>INDEX('MAR 2e graad'!$B$2:$B$58,MATCH(G163,'MAR 2e graad'!$A$2:$A$58,0))</f>
        <v/>
      </c>
      <c r="I163" s="13">
        <f>INDEX('MAR 2e graad'!$C$2:$C$58,MATCH(G163,'MAR 2e graad'!$A$2:$A$58,0))</f>
        <v/>
      </c>
      <c r="J163" s="13">
        <f>IF(OR(I163="A",I163="K"),IF(K163&gt;0,"+","-"),IF(L163&gt;0,"+","-"))</f>
        <v/>
      </c>
      <c r="K163" s="14" t="n">
        <v>363</v>
      </c>
      <c r="L163" s="14" t="n"/>
      <c r="M163" s="13" t="inlineStr">
        <is>
          <t>de schuld aan de leverancier daalt</t>
        </is>
      </c>
      <c r="N163" s="13" t="inlineStr">
        <is>
          <t>nee</t>
        </is>
      </c>
    </row>
    <row r="164">
      <c r="A164" s="12" t="n">
        <v>163</v>
      </c>
      <c r="B164" s="16" t="n">
        <v>46127</v>
      </c>
      <c r="C164" s="6" t="inlineStr">
        <is>
          <t>OEFEN</t>
        </is>
      </c>
      <c r="D164" s="13" t="inlineStr">
        <is>
          <t>K2</t>
        </is>
      </c>
      <c r="E164" s="13" t="inlineStr">
        <is>
          <t>Q2CV1</t>
        </is>
      </c>
      <c r="F164" s="13" t="inlineStr">
        <is>
          <t>CN-2026-005</t>
        </is>
      </c>
      <c r="G164" s="13" t="n">
        <v>400000</v>
      </c>
      <c r="H164" s="13">
        <f>INDEX('MAR 2e graad'!$B$2:$B$58,MATCH(G164,'MAR 2e graad'!$A$2:$A$58,0))</f>
        <v/>
      </c>
      <c r="I164" s="13">
        <f>INDEX('MAR 2e graad'!$C$2:$C$58,MATCH(G164,'MAR 2e graad'!$A$2:$A$58,0))</f>
        <v/>
      </c>
      <c r="J164" s="13">
        <f>IF(OR(I164="A",I164="K"),IF(K164&gt;0,"+","-"),IF(L164&gt;0,"+","-"))</f>
        <v/>
      </c>
      <c r="K164" s="14" t="n"/>
      <c r="L164" s="14" t="n">
        <v>121</v>
      </c>
      <c r="M164" s="13" t="inlineStr">
        <is>
          <t>de vordering op de klant daalt</t>
        </is>
      </c>
      <c r="N164" s="13" t="inlineStr">
        <is>
          <t>nee</t>
        </is>
      </c>
    </row>
    <row r="165">
      <c r="A165" s="12" t="n">
        <v>164</v>
      </c>
      <c r="B165" s="16" t="n">
        <v>46127</v>
      </c>
      <c r="C165" s="6" t="inlineStr">
        <is>
          <t>OEFEN</t>
        </is>
      </c>
      <c r="D165" s="13" t="inlineStr">
        <is>
          <t>K2</t>
        </is>
      </c>
      <c r="E165" s="13" t="inlineStr">
        <is>
          <t>Q2CV1</t>
        </is>
      </c>
      <c r="F165" s="13" t="inlineStr">
        <is>
          <t>CN-2026-005</t>
        </is>
      </c>
      <c r="G165" s="13" t="n">
        <v>704010</v>
      </c>
      <c r="H165" s="13">
        <f>INDEX('MAR 2e graad'!$B$2:$B$58,MATCH(G165,'MAR 2e graad'!$A$2:$A$58,0))</f>
        <v/>
      </c>
      <c r="I165" s="13">
        <f>INDEX('MAR 2e graad'!$C$2:$C$58,MATCH(G165,'MAR 2e graad'!$A$2:$A$58,0))</f>
        <v/>
      </c>
      <c r="J165" s="13">
        <f>IF(OR(I165="A",I165="K"),IF(K165&gt;0,"+","-"),IF(L165&gt;0,"+","-"))</f>
        <v/>
      </c>
      <c r="K165" s="14" t="n">
        <v>100</v>
      </c>
      <c r="L165" s="14" t="n"/>
      <c r="M165" s="13" t="inlineStr">
        <is>
          <t>de omzet daalt (retour)</t>
        </is>
      </c>
      <c r="N165" s="13" t="inlineStr">
        <is>
          <t>nee</t>
        </is>
      </c>
    </row>
    <row r="166">
      <c r="A166" s="12" t="n">
        <v>165</v>
      </c>
      <c r="B166" s="16" t="n">
        <v>46127</v>
      </c>
      <c r="C166" s="6" t="inlineStr">
        <is>
          <t>OEFEN</t>
        </is>
      </c>
      <c r="D166" s="13" t="inlineStr">
        <is>
          <t>K2</t>
        </is>
      </c>
      <c r="E166" s="13" t="inlineStr">
        <is>
          <t>Q2CV1</t>
        </is>
      </c>
      <c r="F166" s="13" t="inlineStr">
        <is>
          <t>CN-2026-005</t>
        </is>
      </c>
      <c r="G166" s="13" t="n">
        <v>411200</v>
      </c>
      <c r="H166" s="13">
        <f>INDEX('MAR 2e graad'!$B$2:$B$58,MATCH(G166,'MAR 2e graad'!$A$2:$A$58,0))</f>
        <v/>
      </c>
      <c r="I166" s="13">
        <f>INDEX('MAR 2e graad'!$C$2:$C$58,MATCH(G166,'MAR 2e graad'!$A$2:$A$58,0))</f>
        <v/>
      </c>
      <c r="J166" s="13">
        <f>IF(OR(I166="A",I166="K"),IF(K166&gt;0,"+","-"),IF(L166&gt;0,"+","-"))</f>
        <v/>
      </c>
      <c r="K166" s="14" t="n">
        <v>21</v>
      </c>
      <c r="L166" s="14" t="n"/>
      <c r="M166" s="13" t="inlineStr">
        <is>
          <t>de vordering op de overheid stijgt (btw op uitgaande creditnota)</t>
        </is>
      </c>
      <c r="N166" s="13" t="inlineStr">
        <is>
          <t>nee</t>
        </is>
      </c>
    </row>
    <row r="167">
      <c r="A167" s="12" t="n">
        <v>166</v>
      </c>
      <c r="B167" s="16" t="n">
        <v>46129</v>
      </c>
      <c r="C167" s="6" t="inlineStr">
        <is>
          <t>OEFEN</t>
        </is>
      </c>
      <c r="D167" s="13" t="inlineStr">
        <is>
          <t>K2</t>
        </is>
      </c>
      <c r="E167" s="13" t="inlineStr">
        <is>
          <t>Q2A3</t>
        </is>
      </c>
      <c r="F167" s="13" t="inlineStr">
        <is>
          <t>DW-2026-087</t>
        </is>
      </c>
      <c r="G167" s="13" t="n">
        <v>232000</v>
      </c>
      <c r="H167" s="13">
        <f>INDEX('MAR 2e graad'!$B$2:$B$58,MATCH(G167,'MAR 2e graad'!$A$2:$A$58,0))</f>
        <v/>
      </c>
      <c r="I167" s="13">
        <f>INDEX('MAR 2e graad'!$C$2:$C$58,MATCH(G167,'MAR 2e graad'!$A$2:$A$58,0))</f>
        <v/>
      </c>
      <c r="J167" s="13">
        <f>IF(OR(I167="A",I167="K"),IF(K167&gt;0,"+","-"),IF(L167&gt;0,"+","-"))</f>
        <v/>
      </c>
      <c r="K167" s="14" t="n">
        <v>500</v>
      </c>
      <c r="L167" s="14" t="n"/>
      <c r="M167" s="13" t="inlineStr">
        <is>
          <t>het vast actief stijgt</t>
        </is>
      </c>
      <c r="N167" s="13" t="inlineStr">
        <is>
          <t>nee</t>
        </is>
      </c>
    </row>
    <row r="168">
      <c r="A168" s="12" t="n">
        <v>167</v>
      </c>
      <c r="B168" s="16" t="n">
        <v>46129</v>
      </c>
      <c r="C168" s="6" t="inlineStr">
        <is>
          <t>OEFEN</t>
        </is>
      </c>
      <c r="D168" s="13" t="inlineStr">
        <is>
          <t>K2</t>
        </is>
      </c>
      <c r="E168" s="13" t="inlineStr">
        <is>
          <t>Q2A3</t>
        </is>
      </c>
      <c r="F168" s="13" t="inlineStr">
        <is>
          <t>DW-2026-087</t>
        </is>
      </c>
      <c r="G168" s="13" t="n">
        <v>411100</v>
      </c>
      <c r="H168" s="13">
        <f>INDEX('MAR 2e graad'!$B$2:$B$58,MATCH(G168,'MAR 2e graad'!$A$2:$A$58,0))</f>
        <v/>
      </c>
      <c r="I168" s="13">
        <f>INDEX('MAR 2e graad'!$C$2:$C$58,MATCH(G168,'MAR 2e graad'!$A$2:$A$58,0))</f>
        <v/>
      </c>
      <c r="J168" s="13">
        <f>IF(OR(I168="A",I168="K"),IF(K168&gt;0,"+","-"),IF(L168&gt;0,"+","-"))</f>
        <v/>
      </c>
      <c r="K168" s="14" t="n">
        <v>105</v>
      </c>
      <c r="L168" s="14" t="n"/>
      <c r="M168" s="13" t="inlineStr">
        <is>
          <t>de vordering op de overheid (aftrekbare btw) stijgt</t>
        </is>
      </c>
      <c r="N168" s="13" t="inlineStr">
        <is>
          <t>nee</t>
        </is>
      </c>
    </row>
    <row r="169">
      <c r="A169" s="12" t="n">
        <v>168</v>
      </c>
      <c r="B169" s="16" t="n">
        <v>46129</v>
      </c>
      <c r="C169" s="6" t="inlineStr">
        <is>
          <t>OEFEN</t>
        </is>
      </c>
      <c r="D169" s="13" t="inlineStr">
        <is>
          <t>K2</t>
        </is>
      </c>
      <c r="E169" s="13" t="inlineStr">
        <is>
          <t>Q2A3</t>
        </is>
      </c>
      <c r="F169" s="13" t="inlineStr">
        <is>
          <t>DW-2026-087</t>
        </is>
      </c>
      <c r="G169" s="13" t="n">
        <v>440000</v>
      </c>
      <c r="H169" s="13">
        <f>INDEX('MAR 2e graad'!$B$2:$B$58,MATCH(G169,'MAR 2e graad'!$A$2:$A$58,0))</f>
        <v/>
      </c>
      <c r="I169" s="13">
        <f>INDEX('MAR 2e graad'!$C$2:$C$58,MATCH(G169,'MAR 2e graad'!$A$2:$A$58,0))</f>
        <v/>
      </c>
      <c r="J169" s="13">
        <f>IF(OR(I169="A",I169="K"),IF(K169&gt;0,"+","-"),IF(L169&gt;0,"+","-"))</f>
        <v/>
      </c>
      <c r="K169" s="14" t="n"/>
      <c r="L169" s="14" t="n">
        <v>605</v>
      </c>
      <c r="M169" s="13" t="inlineStr">
        <is>
          <t>de schuld aan de leverancier stijgt</t>
        </is>
      </c>
      <c r="N169" s="13" t="inlineStr">
        <is>
          <t>nee</t>
        </is>
      </c>
    </row>
    <row r="170">
      <c r="A170" s="12" t="n">
        <v>169</v>
      </c>
      <c r="B170" s="16" t="n">
        <v>46134</v>
      </c>
      <c r="C170" s="6" t="inlineStr">
        <is>
          <t>OEFEN</t>
        </is>
      </c>
      <c r="D170" s="13" t="inlineStr">
        <is>
          <t>K2</t>
        </is>
      </c>
      <c r="E170" s="13" t="inlineStr">
        <is>
          <t>Q2V2</t>
        </is>
      </c>
      <c r="F170" s="13" t="inlineStr">
        <is>
          <t>2026-009</t>
        </is>
      </c>
      <c r="G170" s="13" t="n">
        <v>400000</v>
      </c>
      <c r="H170" s="13">
        <f>INDEX('MAR 2e graad'!$B$2:$B$58,MATCH(G170,'MAR 2e graad'!$A$2:$A$58,0))</f>
        <v/>
      </c>
      <c r="I170" s="13">
        <f>INDEX('MAR 2e graad'!$C$2:$C$58,MATCH(G170,'MAR 2e graad'!$A$2:$A$58,0))</f>
        <v/>
      </c>
      <c r="J170" s="13">
        <f>IF(OR(I170="A",I170="K"),IF(K170&gt;0,"+","-"),IF(L170&gt;0,"+","-"))</f>
        <v/>
      </c>
      <c r="K170" s="14" t="n">
        <v>4961</v>
      </c>
      <c r="L170" s="14" t="n"/>
      <c r="M170" s="13" t="inlineStr">
        <is>
          <t>de vordering op de klant stijgt</t>
        </is>
      </c>
      <c r="N170" s="13" t="inlineStr">
        <is>
          <t>nee</t>
        </is>
      </c>
    </row>
    <row r="171">
      <c r="A171" s="12" t="n">
        <v>170</v>
      </c>
      <c r="B171" s="16" t="n">
        <v>46134</v>
      </c>
      <c r="C171" s="6" t="inlineStr">
        <is>
          <t>OEFEN</t>
        </is>
      </c>
      <c r="D171" s="13" t="inlineStr">
        <is>
          <t>K2</t>
        </is>
      </c>
      <c r="E171" s="13" t="inlineStr">
        <is>
          <t>Q2V2</t>
        </is>
      </c>
      <c r="F171" s="13" t="inlineStr">
        <is>
          <t>2026-009</t>
        </is>
      </c>
      <c r="G171" s="13" t="n">
        <v>704000</v>
      </c>
      <c r="H171" s="13">
        <f>INDEX('MAR 2e graad'!$B$2:$B$58,MATCH(G171,'MAR 2e graad'!$A$2:$A$58,0))</f>
        <v/>
      </c>
      <c r="I171" s="13">
        <f>INDEX('MAR 2e graad'!$C$2:$C$58,MATCH(G171,'MAR 2e graad'!$A$2:$A$58,0))</f>
        <v/>
      </c>
      <c r="J171" s="13">
        <f>IF(OR(I171="A",I171="K"),IF(K171&gt;0,"+","-"),IF(L171&gt;0,"+","-"))</f>
        <v/>
      </c>
      <c r="K171" s="14" t="n"/>
      <c r="L171" s="14" t="n">
        <v>4000</v>
      </c>
      <c r="M171" s="13" t="inlineStr">
        <is>
          <t>de omzet stijgt</t>
        </is>
      </c>
      <c r="N171" s="13" t="inlineStr">
        <is>
          <t>nee</t>
        </is>
      </c>
    </row>
    <row r="172">
      <c r="A172" s="12" t="n">
        <v>171</v>
      </c>
      <c r="B172" s="16" t="n">
        <v>46134</v>
      </c>
      <c r="C172" s="6" t="inlineStr">
        <is>
          <t>OEFEN</t>
        </is>
      </c>
      <c r="D172" s="13" t="inlineStr">
        <is>
          <t>K2</t>
        </is>
      </c>
      <c r="E172" s="13" t="inlineStr">
        <is>
          <t>Q2V2</t>
        </is>
      </c>
      <c r="F172" s="13" t="inlineStr">
        <is>
          <t>2026-009</t>
        </is>
      </c>
      <c r="G172" s="13" t="n">
        <v>704000</v>
      </c>
      <c r="H172" s="13">
        <f>INDEX('MAR 2e graad'!$B$2:$B$58,MATCH(G172,'MAR 2e graad'!$A$2:$A$58,0))</f>
        <v/>
      </c>
      <c r="I172" s="13">
        <f>INDEX('MAR 2e graad'!$C$2:$C$58,MATCH(G172,'MAR 2e graad'!$A$2:$A$58,0))</f>
        <v/>
      </c>
      <c r="J172" s="13">
        <f>IF(OR(I172="A",I172="K"),IF(K172&gt;0,"+","-"),IF(L172&gt;0,"+","-"))</f>
        <v/>
      </c>
      <c r="K172" s="14" t="n"/>
      <c r="L172" s="14" t="n">
        <v>100</v>
      </c>
      <c r="M172" s="13" t="inlineStr">
        <is>
          <t>de omzet stijgt</t>
        </is>
      </c>
      <c r="N172" s="13" t="inlineStr">
        <is>
          <t>nee</t>
        </is>
      </c>
    </row>
    <row r="173">
      <c r="A173" s="12" t="n">
        <v>172</v>
      </c>
      <c r="B173" s="16" t="n">
        <v>46134</v>
      </c>
      <c r="C173" s="6" t="inlineStr">
        <is>
          <t>OEFEN</t>
        </is>
      </c>
      <c r="D173" s="13" t="inlineStr">
        <is>
          <t>K2</t>
        </is>
      </c>
      <c r="E173" s="13" t="inlineStr">
        <is>
          <t>Q2V2</t>
        </is>
      </c>
      <c r="F173" s="13" t="inlineStr">
        <is>
          <t>2026-009</t>
        </is>
      </c>
      <c r="G173" s="13" t="n">
        <v>451100</v>
      </c>
      <c r="H173" s="13">
        <f>INDEX('MAR 2e graad'!$B$2:$B$58,MATCH(G173,'MAR 2e graad'!$A$2:$A$58,0))</f>
        <v/>
      </c>
      <c r="I173" s="13">
        <f>INDEX('MAR 2e graad'!$C$2:$C$58,MATCH(G173,'MAR 2e graad'!$A$2:$A$58,0))</f>
        <v/>
      </c>
      <c r="J173" s="13">
        <f>IF(OR(I173="A",I173="K"),IF(K173&gt;0,"+","-"),IF(L173&gt;0,"+","-"))</f>
        <v/>
      </c>
      <c r="K173" s="14" t="n"/>
      <c r="L173" s="14" t="n">
        <v>861</v>
      </c>
      <c r="M173" s="13" t="inlineStr">
        <is>
          <t>de schuld aan de overheid (verschuldigde btw) stijgt</t>
        </is>
      </c>
      <c r="N173" s="13" t="inlineStr">
        <is>
          <t>nee</t>
        </is>
      </c>
    </row>
    <row r="174">
      <c r="A174" s="12" t="n">
        <v>173</v>
      </c>
      <c r="B174" s="16" t="n">
        <v>46136</v>
      </c>
      <c r="C174" s="6" t="inlineStr">
        <is>
          <t>OEFEN</t>
        </is>
      </c>
      <c r="D174" s="13" t="inlineStr">
        <is>
          <t>K2</t>
        </is>
      </c>
      <c r="E174" s="13" t="inlineStr">
        <is>
          <t>U2026-08/1</t>
        </is>
      </c>
      <c r="F174" s="13" t="inlineStr">
        <is>
          <t>uittreksel U2026-08/1</t>
        </is>
      </c>
      <c r="G174" s="13" t="n">
        <v>440000</v>
      </c>
      <c r="H174" s="13">
        <f>INDEX('MAR 2e graad'!$B$2:$B$58,MATCH(G174,'MAR 2e graad'!$A$2:$A$58,0))</f>
        <v/>
      </c>
      <c r="I174" s="13">
        <f>INDEX('MAR 2e graad'!$C$2:$C$58,MATCH(G174,'MAR 2e graad'!$A$2:$A$58,0))</f>
        <v/>
      </c>
      <c r="J174" s="13">
        <f>IF(OR(I174="A",I174="K"),IF(K174&gt;0,"+","-"),IF(L174&gt;0,"+","-"))</f>
        <v/>
      </c>
      <c r="K174" s="14" t="n">
        <v>11979</v>
      </c>
      <c r="L174" s="14" t="n"/>
      <c r="M174" s="13" t="inlineStr">
        <is>
          <t>de schuld aan de leverancier daalt</t>
        </is>
      </c>
      <c r="N174" s="13" t="inlineStr">
        <is>
          <t>nee</t>
        </is>
      </c>
    </row>
    <row r="175">
      <c r="A175" s="12" t="n">
        <v>174</v>
      </c>
      <c r="B175" s="16" t="n">
        <v>46136</v>
      </c>
      <c r="C175" s="6" t="inlineStr">
        <is>
          <t>OEFEN</t>
        </is>
      </c>
      <c r="D175" s="13" t="inlineStr">
        <is>
          <t>K2</t>
        </is>
      </c>
      <c r="E175" s="13" t="inlineStr">
        <is>
          <t>U2026-08/1</t>
        </is>
      </c>
      <c r="F175" s="13" t="inlineStr">
        <is>
          <t>uittreksel U2026-08/1</t>
        </is>
      </c>
      <c r="G175" s="13" t="n">
        <v>550000</v>
      </c>
      <c r="H175" s="13">
        <f>INDEX('MAR 2e graad'!$B$2:$B$58,MATCH(G175,'MAR 2e graad'!$A$2:$A$58,0))</f>
        <v/>
      </c>
      <c r="I175" s="13">
        <f>INDEX('MAR 2e graad'!$C$2:$C$58,MATCH(G175,'MAR 2e graad'!$A$2:$A$58,0))</f>
        <v/>
      </c>
      <c r="J175" s="13">
        <f>IF(OR(I175="A",I175="K"),IF(K175&gt;0,"+","-"),IF(L175&gt;0,"+","-"))</f>
        <v/>
      </c>
      <c r="K175" s="14" t="n"/>
      <c r="L175" s="14" t="n">
        <v>11979</v>
      </c>
      <c r="M175" s="13" t="inlineStr">
        <is>
          <t>de bank daalt</t>
        </is>
      </c>
      <c r="N175" s="13" t="inlineStr">
        <is>
          <t>nee</t>
        </is>
      </c>
    </row>
    <row r="176">
      <c r="A176" s="12" t="n">
        <v>175</v>
      </c>
      <c r="B176" s="16" t="n">
        <v>46136</v>
      </c>
      <c r="C176" s="6" t="inlineStr">
        <is>
          <t>OEFEN</t>
        </is>
      </c>
      <c r="D176" s="13" t="inlineStr">
        <is>
          <t>K2</t>
        </is>
      </c>
      <c r="E176" s="13" t="inlineStr">
        <is>
          <t>U2026-08/2</t>
        </is>
      </c>
      <c r="F176" s="13" t="inlineStr">
        <is>
          <t>uittreksel U2026-08/2</t>
        </is>
      </c>
      <c r="G176" s="13" t="n">
        <v>550000</v>
      </c>
      <c r="H176" s="13">
        <f>INDEX('MAR 2e graad'!$B$2:$B$58,MATCH(G176,'MAR 2e graad'!$A$2:$A$58,0))</f>
        <v/>
      </c>
      <c r="I176" s="13">
        <f>INDEX('MAR 2e graad'!$C$2:$C$58,MATCH(G176,'MAR 2e graad'!$A$2:$A$58,0))</f>
        <v/>
      </c>
      <c r="J176" s="13">
        <f>IF(OR(I176="A",I176="K"),IF(K176&gt;0,"+","-"),IF(L176&gt;0,"+","-"))</f>
        <v/>
      </c>
      <c r="K176" s="14" t="n">
        <v>5566</v>
      </c>
      <c r="L176" s="14" t="n"/>
      <c r="M176" s="13" t="inlineStr">
        <is>
          <t>de bank stijgt</t>
        </is>
      </c>
      <c r="N176" s="13" t="inlineStr">
        <is>
          <t>nee</t>
        </is>
      </c>
    </row>
    <row r="177">
      <c r="A177" s="12" t="n">
        <v>176</v>
      </c>
      <c r="B177" s="16" t="n">
        <v>46136</v>
      </c>
      <c r="C177" s="6" t="inlineStr">
        <is>
          <t>OEFEN</t>
        </is>
      </c>
      <c r="D177" s="13" t="inlineStr">
        <is>
          <t>K2</t>
        </is>
      </c>
      <c r="E177" s="13" t="inlineStr">
        <is>
          <t>U2026-08/2</t>
        </is>
      </c>
      <c r="F177" s="13" t="inlineStr">
        <is>
          <t>uittreksel U2026-08/2</t>
        </is>
      </c>
      <c r="G177" s="13" t="n">
        <v>400000</v>
      </c>
      <c r="H177" s="13">
        <f>INDEX('MAR 2e graad'!$B$2:$B$58,MATCH(G177,'MAR 2e graad'!$A$2:$A$58,0))</f>
        <v/>
      </c>
      <c r="I177" s="13">
        <f>INDEX('MAR 2e graad'!$C$2:$C$58,MATCH(G177,'MAR 2e graad'!$A$2:$A$58,0))</f>
        <v/>
      </c>
      <c r="J177" s="13">
        <f>IF(OR(I177="A",I177="K"),IF(K177&gt;0,"+","-"),IF(L177&gt;0,"+","-"))</f>
        <v/>
      </c>
      <c r="K177" s="14" t="n"/>
      <c r="L177" s="14" t="n">
        <v>5566</v>
      </c>
      <c r="M177" s="13" t="inlineStr">
        <is>
          <t>de vordering op de klant daalt</t>
        </is>
      </c>
      <c r="N177" s="13" t="inlineStr">
        <is>
          <t>nee</t>
        </is>
      </c>
    </row>
    <row r="178">
      <c r="A178" s="12" t="n">
        <v>177</v>
      </c>
      <c r="B178" s="16" t="n">
        <v>46136</v>
      </c>
      <c r="C178" s="6" t="inlineStr">
        <is>
          <t>OEFEN</t>
        </is>
      </c>
      <c r="D178" s="13" t="inlineStr">
        <is>
          <t>K2</t>
        </is>
      </c>
      <c r="E178" s="13" t="inlineStr">
        <is>
          <t>U2026-08/3</t>
        </is>
      </c>
      <c r="F178" s="13" t="inlineStr">
        <is>
          <t>uittreksel U2026-08/3</t>
        </is>
      </c>
      <c r="G178" s="13" t="n">
        <v>440000</v>
      </c>
      <c r="H178" s="13">
        <f>INDEX('MAR 2e graad'!$B$2:$B$58,MATCH(G178,'MAR 2e graad'!$A$2:$A$58,0))</f>
        <v/>
      </c>
      <c r="I178" s="13">
        <f>INDEX('MAR 2e graad'!$C$2:$C$58,MATCH(G178,'MAR 2e graad'!$A$2:$A$58,0))</f>
        <v/>
      </c>
      <c r="J178" s="13">
        <f>IF(OR(I178="A",I178="K"),IF(K178&gt;0,"+","-"),IF(L178&gt;0,"+","-"))</f>
        <v/>
      </c>
      <c r="K178" s="14" t="n">
        <v>484</v>
      </c>
      <c r="L178" s="14" t="n"/>
      <c r="M178" s="13" t="inlineStr">
        <is>
          <t>de schuld aan de leverancier daalt</t>
        </is>
      </c>
      <c r="N178" s="13" t="inlineStr">
        <is>
          <t>nee</t>
        </is>
      </c>
    </row>
    <row r="179">
      <c r="A179" s="12" t="n">
        <v>178</v>
      </c>
      <c r="B179" s="16" t="n">
        <v>46136</v>
      </c>
      <c r="C179" s="6" t="inlineStr">
        <is>
          <t>OEFEN</t>
        </is>
      </c>
      <c r="D179" s="13" t="inlineStr">
        <is>
          <t>K2</t>
        </is>
      </c>
      <c r="E179" s="13" t="inlineStr">
        <is>
          <t>U2026-08/3</t>
        </is>
      </c>
      <c r="F179" s="13" t="inlineStr">
        <is>
          <t>uittreksel U2026-08/3</t>
        </is>
      </c>
      <c r="G179" s="13" t="n">
        <v>550000</v>
      </c>
      <c r="H179" s="13">
        <f>INDEX('MAR 2e graad'!$B$2:$B$58,MATCH(G179,'MAR 2e graad'!$A$2:$A$58,0))</f>
        <v/>
      </c>
      <c r="I179" s="13">
        <f>INDEX('MAR 2e graad'!$C$2:$C$58,MATCH(G179,'MAR 2e graad'!$A$2:$A$58,0))</f>
        <v/>
      </c>
      <c r="J179" s="13">
        <f>IF(OR(I179="A",I179="K"),IF(K179&gt;0,"+","-"),IF(L179&gt;0,"+","-"))</f>
        <v/>
      </c>
      <c r="K179" s="14" t="n"/>
      <c r="L179" s="14" t="n">
        <v>484</v>
      </c>
      <c r="M179" s="13" t="inlineStr">
        <is>
          <t>de bank daalt</t>
        </is>
      </c>
      <c r="N179" s="13" t="inlineStr">
        <is>
          <t>nee</t>
        </is>
      </c>
    </row>
    <row r="180">
      <c r="A180" s="12" t="n">
        <v>179</v>
      </c>
      <c r="B180" s="16" t="n">
        <v>46148</v>
      </c>
      <c r="C180" s="6" t="inlineStr">
        <is>
          <t>OEFEN</t>
        </is>
      </c>
      <c r="D180" s="13" t="inlineStr">
        <is>
          <t>K2</t>
        </is>
      </c>
      <c r="E180" s="13" t="inlineStr">
        <is>
          <t>Q2A4</t>
        </is>
      </c>
      <c r="F180" s="13" t="inlineStr">
        <is>
          <t>SW-1290</t>
        </is>
      </c>
      <c r="G180" s="13" t="n">
        <v>604000</v>
      </c>
      <c r="H180" s="13">
        <f>INDEX('MAR 2e graad'!$B$2:$B$58,MATCH(G180,'MAR 2e graad'!$A$2:$A$58,0))</f>
        <v/>
      </c>
      <c r="I180" s="13">
        <f>INDEX('MAR 2e graad'!$C$2:$C$58,MATCH(G180,'MAR 2e graad'!$A$2:$A$58,0))</f>
        <v/>
      </c>
      <c r="J180" s="13">
        <f>IF(OR(I180="A",I180="K"),IF(K180&gt;0,"+","-"),IF(L180&gt;0,"+","-"))</f>
        <v/>
      </c>
      <c r="K180" s="14" t="n">
        <v>500</v>
      </c>
      <c r="L180" s="14" t="n"/>
      <c r="M180" s="13" t="inlineStr">
        <is>
          <t>de kosten voor handelsgoederen stijgen</t>
        </is>
      </c>
      <c r="N180" s="13" t="inlineStr">
        <is>
          <t>nee</t>
        </is>
      </c>
    </row>
    <row r="181">
      <c r="A181" s="12" t="n">
        <v>180</v>
      </c>
      <c r="B181" s="16" t="n">
        <v>46148</v>
      </c>
      <c r="C181" s="6" t="inlineStr">
        <is>
          <t>OEFEN</t>
        </is>
      </c>
      <c r="D181" s="13" t="inlineStr">
        <is>
          <t>K2</t>
        </is>
      </c>
      <c r="E181" s="13" t="inlineStr">
        <is>
          <t>Q2A4</t>
        </is>
      </c>
      <c r="F181" s="13" t="inlineStr">
        <is>
          <t>SW-1290</t>
        </is>
      </c>
      <c r="G181" s="13" t="n">
        <v>604000</v>
      </c>
      <c r="H181" s="13">
        <f>INDEX('MAR 2e graad'!$B$2:$B$58,MATCH(G181,'MAR 2e graad'!$A$2:$A$58,0))</f>
        <v/>
      </c>
      <c r="I181" s="13">
        <f>INDEX('MAR 2e graad'!$C$2:$C$58,MATCH(G181,'MAR 2e graad'!$A$2:$A$58,0))</f>
        <v/>
      </c>
      <c r="J181" s="13">
        <f>IF(OR(I181="A",I181="K"),IF(K181&gt;0,"+","-"),IF(L181&gt;0,"+","-"))</f>
        <v/>
      </c>
      <c r="K181" s="14" t="n">
        <v>300</v>
      </c>
      <c r="L181" s="14" t="n"/>
      <c r="M181" s="13" t="inlineStr">
        <is>
          <t>de kosten voor handelsgoederen stijgen</t>
        </is>
      </c>
      <c r="N181" s="13" t="inlineStr">
        <is>
          <t>nee</t>
        </is>
      </c>
    </row>
    <row r="182">
      <c r="A182" s="12" t="n">
        <v>181</v>
      </c>
      <c r="B182" s="16" t="n">
        <v>46148</v>
      </c>
      <c r="C182" s="6" t="inlineStr">
        <is>
          <t>OEFEN</t>
        </is>
      </c>
      <c r="D182" s="13" t="inlineStr">
        <is>
          <t>K2</t>
        </is>
      </c>
      <c r="E182" s="13" t="inlineStr">
        <is>
          <t>Q2A4</t>
        </is>
      </c>
      <c r="F182" s="13" t="inlineStr">
        <is>
          <t>SW-1290</t>
        </is>
      </c>
      <c r="G182" s="13" t="n">
        <v>604000</v>
      </c>
      <c r="H182" s="13">
        <f>INDEX('MAR 2e graad'!$B$2:$B$58,MATCH(G182,'MAR 2e graad'!$A$2:$A$58,0))</f>
        <v/>
      </c>
      <c r="I182" s="13">
        <f>INDEX('MAR 2e graad'!$C$2:$C$58,MATCH(G182,'MAR 2e graad'!$A$2:$A$58,0))</f>
        <v/>
      </c>
      <c r="J182" s="13">
        <f>IF(OR(I182="A",I182="K"),IF(K182&gt;0,"+","-"),IF(L182&gt;0,"+","-"))</f>
        <v/>
      </c>
      <c r="K182" s="14" t="n">
        <v>100</v>
      </c>
      <c r="L182" s="14" t="n"/>
      <c r="M182" s="13" t="inlineStr">
        <is>
          <t>de kosten voor handelsgoederen stijgen</t>
        </is>
      </c>
      <c r="N182" s="13" t="inlineStr">
        <is>
          <t>nee</t>
        </is>
      </c>
    </row>
    <row r="183">
      <c r="A183" s="12" t="n">
        <v>182</v>
      </c>
      <c r="B183" s="16" t="n">
        <v>46148</v>
      </c>
      <c r="C183" s="6" t="inlineStr">
        <is>
          <t>OEFEN</t>
        </is>
      </c>
      <c r="D183" s="13" t="inlineStr">
        <is>
          <t>K2</t>
        </is>
      </c>
      <c r="E183" s="13" t="inlineStr">
        <is>
          <t>Q2A4</t>
        </is>
      </c>
      <c r="F183" s="13" t="inlineStr">
        <is>
          <t>SW-1290</t>
        </is>
      </c>
      <c r="G183" s="13" t="n">
        <v>411100</v>
      </c>
      <c r="H183" s="13">
        <f>INDEX('MAR 2e graad'!$B$2:$B$58,MATCH(G183,'MAR 2e graad'!$A$2:$A$58,0))</f>
        <v/>
      </c>
      <c r="I183" s="13">
        <f>INDEX('MAR 2e graad'!$C$2:$C$58,MATCH(G183,'MAR 2e graad'!$A$2:$A$58,0))</f>
        <v/>
      </c>
      <c r="J183" s="13">
        <f>IF(OR(I183="A",I183="K"),IF(K183&gt;0,"+","-"),IF(L183&gt;0,"+","-"))</f>
        <v/>
      </c>
      <c r="K183" s="14" t="n">
        <v>189</v>
      </c>
      <c r="L183" s="14" t="n"/>
      <c r="M183" s="13" t="inlineStr">
        <is>
          <t>de vordering op de overheid (aftrekbare btw) stijgt</t>
        </is>
      </c>
      <c r="N183" s="13" t="inlineStr">
        <is>
          <t>nee</t>
        </is>
      </c>
    </row>
    <row r="184">
      <c r="A184" s="12" t="n">
        <v>183</v>
      </c>
      <c r="B184" s="16" t="n">
        <v>46148</v>
      </c>
      <c r="C184" s="6" t="inlineStr">
        <is>
          <t>OEFEN</t>
        </is>
      </c>
      <c r="D184" s="13" t="inlineStr">
        <is>
          <t>K2</t>
        </is>
      </c>
      <c r="E184" s="13" t="inlineStr">
        <is>
          <t>Q2A4</t>
        </is>
      </c>
      <c r="F184" s="13" t="inlineStr">
        <is>
          <t>SW-1290</t>
        </is>
      </c>
      <c r="G184" s="13" t="n">
        <v>440000</v>
      </c>
      <c r="H184" s="13">
        <f>INDEX('MAR 2e graad'!$B$2:$B$58,MATCH(G184,'MAR 2e graad'!$A$2:$A$58,0))</f>
        <v/>
      </c>
      <c r="I184" s="13">
        <f>INDEX('MAR 2e graad'!$C$2:$C$58,MATCH(G184,'MAR 2e graad'!$A$2:$A$58,0))</f>
        <v/>
      </c>
      <c r="J184" s="13">
        <f>IF(OR(I184="A",I184="K"),IF(K184&gt;0,"+","-"),IF(L184&gt;0,"+","-"))</f>
        <v/>
      </c>
      <c r="K184" s="14" t="n"/>
      <c r="L184" s="14" t="n">
        <v>1089</v>
      </c>
      <c r="M184" s="13" t="inlineStr">
        <is>
          <t>de schuld aan de leverancier stijgt</t>
        </is>
      </c>
      <c r="N184" s="13" t="inlineStr">
        <is>
          <t>nee</t>
        </is>
      </c>
    </row>
    <row r="185">
      <c r="A185" s="12" t="n">
        <v>184</v>
      </c>
      <c r="B185" s="16" t="n">
        <v>46155</v>
      </c>
      <c r="C185" s="6" t="inlineStr">
        <is>
          <t>OEFEN</t>
        </is>
      </c>
      <c r="D185" s="13" t="inlineStr">
        <is>
          <t>K2</t>
        </is>
      </c>
      <c r="E185" s="13" t="inlineStr">
        <is>
          <t>Q2V3</t>
        </is>
      </c>
      <c r="F185" s="13" t="inlineStr">
        <is>
          <t>2026-010</t>
        </is>
      </c>
      <c r="G185" s="13" t="n">
        <v>400000</v>
      </c>
      <c r="H185" s="13">
        <f>INDEX('MAR 2e graad'!$B$2:$B$58,MATCH(G185,'MAR 2e graad'!$A$2:$A$58,0))</f>
        <v/>
      </c>
      <c r="I185" s="13">
        <f>INDEX('MAR 2e graad'!$C$2:$C$58,MATCH(G185,'MAR 2e graad'!$A$2:$A$58,0))</f>
        <v/>
      </c>
      <c r="J185" s="13">
        <f>IF(OR(I185="A",I185="K"),IF(K185&gt;0,"+","-"),IF(L185&gt;0,"+","-"))</f>
        <v/>
      </c>
      <c r="K185" s="14" t="n">
        <v>954</v>
      </c>
      <c r="L185" s="14" t="n"/>
      <c r="M185" s="13" t="inlineStr">
        <is>
          <t>de vordering op de klant stijgt</t>
        </is>
      </c>
      <c r="N185" s="13" t="inlineStr">
        <is>
          <t>nee</t>
        </is>
      </c>
    </row>
    <row r="186">
      <c r="A186" s="12" t="n">
        <v>185</v>
      </c>
      <c r="B186" s="16" t="n">
        <v>46155</v>
      </c>
      <c r="C186" s="6" t="inlineStr">
        <is>
          <t>OEFEN</t>
        </is>
      </c>
      <c r="D186" s="13" t="inlineStr">
        <is>
          <t>K2</t>
        </is>
      </c>
      <c r="E186" s="13" t="inlineStr">
        <is>
          <t>Q2V3</t>
        </is>
      </c>
      <c r="F186" s="13" t="inlineStr">
        <is>
          <t>2026-010</t>
        </is>
      </c>
      <c r="G186" s="13" t="n">
        <v>700000</v>
      </c>
      <c r="H186" s="13">
        <f>INDEX('MAR 2e graad'!$B$2:$B$58,MATCH(G186,'MAR 2e graad'!$A$2:$A$58,0))</f>
        <v/>
      </c>
      <c r="I186" s="13">
        <f>INDEX('MAR 2e graad'!$C$2:$C$58,MATCH(G186,'MAR 2e graad'!$A$2:$A$58,0))</f>
        <v/>
      </c>
      <c r="J186" s="13">
        <f>IF(OR(I186="A",I186="K"),IF(K186&gt;0,"+","-"),IF(L186&gt;0,"+","-"))</f>
        <v/>
      </c>
      <c r="K186" s="14" t="n"/>
      <c r="L186" s="14" t="n">
        <v>900</v>
      </c>
      <c r="M186" s="13" t="inlineStr">
        <is>
          <t>de omzet (diensten) stijgt</t>
        </is>
      </c>
      <c r="N186" s="13" t="inlineStr">
        <is>
          <t>nee</t>
        </is>
      </c>
    </row>
    <row r="187">
      <c r="A187" s="12" t="n">
        <v>186</v>
      </c>
      <c r="B187" s="16" t="n">
        <v>46155</v>
      </c>
      <c r="C187" s="6" t="inlineStr">
        <is>
          <t>OEFEN</t>
        </is>
      </c>
      <c r="D187" s="13" t="inlineStr">
        <is>
          <t>K2</t>
        </is>
      </c>
      <c r="E187" s="13" t="inlineStr">
        <is>
          <t>Q2V3</t>
        </is>
      </c>
      <c r="F187" s="13" t="inlineStr">
        <is>
          <t>2026-010</t>
        </is>
      </c>
      <c r="G187" s="13" t="n">
        <v>451100</v>
      </c>
      <c r="H187" s="13">
        <f>INDEX('MAR 2e graad'!$B$2:$B$58,MATCH(G187,'MAR 2e graad'!$A$2:$A$58,0))</f>
        <v/>
      </c>
      <c r="I187" s="13">
        <f>INDEX('MAR 2e graad'!$C$2:$C$58,MATCH(G187,'MAR 2e graad'!$A$2:$A$58,0))</f>
        <v/>
      </c>
      <c r="J187" s="13">
        <f>IF(OR(I187="A",I187="K"),IF(K187&gt;0,"+","-"),IF(L187&gt;0,"+","-"))</f>
        <v/>
      </c>
      <c r="K187" s="14" t="n"/>
      <c r="L187" s="14" t="n">
        <v>54</v>
      </c>
      <c r="M187" s="13" t="inlineStr">
        <is>
          <t>de schuld aan de overheid (verschuldigde btw) stijgt</t>
        </is>
      </c>
      <c r="N187" s="13" t="inlineStr">
        <is>
          <t>nee</t>
        </is>
      </c>
    </row>
    <row r="188">
      <c r="A188" s="12" t="n">
        <v>187</v>
      </c>
      <c r="B188" s="16" t="n">
        <v>46157</v>
      </c>
      <c r="C188" s="6" t="inlineStr">
        <is>
          <t>OEFEN</t>
        </is>
      </c>
      <c r="D188" s="13" t="inlineStr">
        <is>
          <t>K2</t>
        </is>
      </c>
      <c r="E188" s="13" t="inlineStr">
        <is>
          <t>U2026-09/1</t>
        </is>
      </c>
      <c r="F188" s="13" t="inlineStr">
        <is>
          <t>uittreksel U2026-09/1</t>
        </is>
      </c>
      <c r="G188" s="13" t="n">
        <v>550000</v>
      </c>
      <c r="H188" s="13">
        <f>INDEX('MAR 2e graad'!$B$2:$B$58,MATCH(G188,'MAR 2e graad'!$A$2:$A$58,0))</f>
        <v/>
      </c>
      <c r="I188" s="13">
        <f>INDEX('MAR 2e graad'!$C$2:$C$58,MATCH(G188,'MAR 2e graad'!$A$2:$A$58,0))</f>
        <v/>
      </c>
      <c r="J188" s="13">
        <f>IF(OR(I188="A",I188="K"),IF(K188&gt;0,"+","-"),IF(L188&gt;0,"+","-"))</f>
        <v/>
      </c>
      <c r="K188" s="14" t="n">
        <v>4961</v>
      </c>
      <c r="L188" s="14" t="n"/>
      <c r="M188" s="13" t="inlineStr">
        <is>
          <t>de bank stijgt</t>
        </is>
      </c>
      <c r="N188" s="13" t="inlineStr">
        <is>
          <t>nee</t>
        </is>
      </c>
    </row>
    <row r="189">
      <c r="A189" s="12" t="n">
        <v>188</v>
      </c>
      <c r="B189" s="16" t="n">
        <v>46157</v>
      </c>
      <c r="C189" s="6" t="inlineStr">
        <is>
          <t>OEFEN</t>
        </is>
      </c>
      <c r="D189" s="13" t="inlineStr">
        <is>
          <t>K2</t>
        </is>
      </c>
      <c r="E189" s="13" t="inlineStr">
        <is>
          <t>U2026-09/1</t>
        </is>
      </c>
      <c r="F189" s="13" t="inlineStr">
        <is>
          <t>uittreksel U2026-09/1</t>
        </is>
      </c>
      <c r="G189" s="13" t="n">
        <v>400000</v>
      </c>
      <c r="H189" s="13">
        <f>INDEX('MAR 2e graad'!$B$2:$B$58,MATCH(G189,'MAR 2e graad'!$A$2:$A$58,0))</f>
        <v/>
      </c>
      <c r="I189" s="13">
        <f>INDEX('MAR 2e graad'!$C$2:$C$58,MATCH(G189,'MAR 2e graad'!$A$2:$A$58,0))</f>
        <v/>
      </c>
      <c r="J189" s="13">
        <f>IF(OR(I189="A",I189="K"),IF(K189&gt;0,"+","-"),IF(L189&gt;0,"+","-"))</f>
        <v/>
      </c>
      <c r="K189" s="14" t="n"/>
      <c r="L189" s="14" t="n">
        <v>4961</v>
      </c>
      <c r="M189" s="13" t="inlineStr">
        <is>
          <t>de vordering op de klant daalt</t>
        </is>
      </c>
      <c r="N189" s="13" t="inlineStr">
        <is>
          <t>nee</t>
        </is>
      </c>
    </row>
    <row r="190">
      <c r="A190" s="12" t="n">
        <v>189</v>
      </c>
      <c r="B190" s="16" t="n">
        <v>46157</v>
      </c>
      <c r="C190" s="6" t="inlineStr">
        <is>
          <t>OEFEN</t>
        </is>
      </c>
      <c r="D190" s="13" t="inlineStr">
        <is>
          <t>K2</t>
        </is>
      </c>
      <c r="E190" s="13" t="inlineStr">
        <is>
          <t>U2026-09/2</t>
        </is>
      </c>
      <c r="F190" s="13" t="inlineStr">
        <is>
          <t>uittreksel U2026-09/2</t>
        </is>
      </c>
      <c r="G190" s="13" t="n">
        <v>440000</v>
      </c>
      <c r="H190" s="13">
        <f>INDEX('MAR 2e graad'!$B$2:$B$58,MATCH(G190,'MAR 2e graad'!$A$2:$A$58,0))</f>
        <v/>
      </c>
      <c r="I190" s="13">
        <f>INDEX('MAR 2e graad'!$C$2:$C$58,MATCH(G190,'MAR 2e graad'!$A$2:$A$58,0))</f>
        <v/>
      </c>
      <c r="J190" s="13">
        <f>IF(OR(I190="A",I190="K"),IF(K190&gt;0,"+","-"),IF(L190&gt;0,"+","-"))</f>
        <v/>
      </c>
      <c r="K190" s="14" t="n">
        <v>605</v>
      </c>
      <c r="L190" s="14" t="n"/>
      <c r="M190" s="13" t="inlineStr">
        <is>
          <t>de schuld aan de leverancier daalt</t>
        </is>
      </c>
      <c r="N190" s="13" t="inlineStr">
        <is>
          <t>nee</t>
        </is>
      </c>
    </row>
    <row r="191">
      <c r="A191" s="12" t="n">
        <v>190</v>
      </c>
      <c r="B191" s="16" t="n">
        <v>46157</v>
      </c>
      <c r="C191" s="6" t="inlineStr">
        <is>
          <t>OEFEN</t>
        </is>
      </c>
      <c r="D191" s="13" t="inlineStr">
        <is>
          <t>K2</t>
        </is>
      </c>
      <c r="E191" s="13" t="inlineStr">
        <is>
          <t>U2026-09/2</t>
        </is>
      </c>
      <c r="F191" s="13" t="inlineStr">
        <is>
          <t>uittreksel U2026-09/2</t>
        </is>
      </c>
      <c r="G191" s="13" t="n">
        <v>550000</v>
      </c>
      <c r="H191" s="13">
        <f>INDEX('MAR 2e graad'!$B$2:$B$58,MATCH(G191,'MAR 2e graad'!$A$2:$A$58,0))</f>
        <v/>
      </c>
      <c r="I191" s="13">
        <f>INDEX('MAR 2e graad'!$C$2:$C$58,MATCH(G191,'MAR 2e graad'!$A$2:$A$58,0))</f>
        <v/>
      </c>
      <c r="J191" s="13">
        <f>IF(OR(I191="A",I191="K"),IF(K191&gt;0,"+","-"),IF(L191&gt;0,"+","-"))</f>
        <v/>
      </c>
      <c r="K191" s="14" t="n"/>
      <c r="L191" s="14" t="n">
        <v>605</v>
      </c>
      <c r="M191" s="13" t="inlineStr">
        <is>
          <t>de bank daalt</t>
        </is>
      </c>
      <c r="N191" s="13" t="inlineStr">
        <is>
          <t>nee</t>
        </is>
      </c>
    </row>
    <row r="192">
      <c r="A192" s="12" t="n">
        <v>191</v>
      </c>
      <c r="B192" s="16" t="n">
        <v>46157</v>
      </c>
      <c r="C192" s="6" t="inlineStr">
        <is>
          <t>OEFEN</t>
        </is>
      </c>
      <c r="D192" s="13" t="inlineStr">
        <is>
          <t>K2</t>
        </is>
      </c>
      <c r="E192" s="13" t="inlineStr">
        <is>
          <t>U2026-09/3</t>
        </is>
      </c>
      <c r="F192" s="13" t="inlineStr">
        <is>
          <t>uittreksel U2026-09/3</t>
        </is>
      </c>
      <c r="G192" s="13" t="n">
        <v>440000</v>
      </c>
      <c r="H192" s="13">
        <f>INDEX('MAR 2e graad'!$B$2:$B$58,MATCH(G192,'MAR 2e graad'!$A$2:$A$58,0))</f>
        <v/>
      </c>
      <c r="I192" s="13">
        <f>INDEX('MAR 2e graad'!$C$2:$C$58,MATCH(G192,'MAR 2e graad'!$A$2:$A$58,0))</f>
        <v/>
      </c>
      <c r="J192" s="13">
        <f>IF(OR(I192="A",I192="K"),IF(K192&gt;0,"+","-"),IF(L192&gt;0,"+","-"))</f>
        <v/>
      </c>
      <c r="K192" s="14" t="n">
        <v>1089</v>
      </c>
      <c r="L192" s="14" t="n"/>
      <c r="M192" s="13" t="inlineStr">
        <is>
          <t>de schuld aan de leverancier daalt</t>
        </is>
      </c>
      <c r="N192" s="13" t="inlineStr">
        <is>
          <t>nee</t>
        </is>
      </c>
    </row>
    <row r="193">
      <c r="A193" s="12" t="n">
        <v>192</v>
      </c>
      <c r="B193" s="16" t="n">
        <v>46157</v>
      </c>
      <c r="C193" s="6" t="inlineStr">
        <is>
          <t>OEFEN</t>
        </is>
      </c>
      <c r="D193" s="13" t="inlineStr">
        <is>
          <t>K2</t>
        </is>
      </c>
      <c r="E193" s="13" t="inlineStr">
        <is>
          <t>U2026-09/3</t>
        </is>
      </c>
      <c r="F193" s="13" t="inlineStr">
        <is>
          <t>uittreksel U2026-09/3</t>
        </is>
      </c>
      <c r="G193" s="13" t="n">
        <v>550000</v>
      </c>
      <c r="H193" s="13">
        <f>INDEX('MAR 2e graad'!$B$2:$B$58,MATCH(G193,'MAR 2e graad'!$A$2:$A$58,0))</f>
        <v/>
      </c>
      <c r="I193" s="13">
        <f>INDEX('MAR 2e graad'!$C$2:$C$58,MATCH(G193,'MAR 2e graad'!$A$2:$A$58,0))</f>
        <v/>
      </c>
      <c r="J193" s="13">
        <f>IF(OR(I193="A",I193="K"),IF(K193&gt;0,"+","-"),IF(L193&gt;0,"+","-"))</f>
        <v/>
      </c>
      <c r="K193" s="14" t="n"/>
      <c r="L193" s="14" t="n">
        <v>1089</v>
      </c>
      <c r="M193" s="13" t="inlineStr">
        <is>
          <t>de bank daalt</t>
        </is>
      </c>
      <c r="N193" s="13" t="inlineStr">
        <is>
          <t>nee</t>
        </is>
      </c>
    </row>
    <row r="194">
      <c r="A194" s="12" t="n">
        <v>193</v>
      </c>
      <c r="B194" s="16" t="n">
        <v>46162</v>
      </c>
      <c r="C194" s="6" t="inlineStr">
        <is>
          <t>OEFEN</t>
        </is>
      </c>
      <c r="D194" s="13" t="inlineStr">
        <is>
          <t>K2</t>
        </is>
      </c>
      <c r="E194" s="13" t="inlineStr">
        <is>
          <t>Q2CA2</t>
        </is>
      </c>
      <c r="F194" s="13" t="inlineStr">
        <is>
          <t>SW-CN-171</t>
        </is>
      </c>
      <c r="G194" s="13" t="n">
        <v>604010</v>
      </c>
      <c r="H194" s="13">
        <f>INDEX('MAR 2e graad'!$B$2:$B$58,MATCH(G194,'MAR 2e graad'!$A$2:$A$58,0))</f>
        <v/>
      </c>
      <c r="I194" s="13">
        <f>INDEX('MAR 2e graad'!$C$2:$C$58,MATCH(G194,'MAR 2e graad'!$A$2:$A$58,0))</f>
        <v/>
      </c>
      <c r="J194" s="13">
        <f>IF(OR(I194="A",I194="K"),IF(K194&gt;0,"+","-"),IF(L194&gt;0,"+","-"))</f>
        <v/>
      </c>
      <c r="K194" s="14" t="n"/>
      <c r="L194" s="14" t="n">
        <v>100</v>
      </c>
      <c r="M194" s="13" t="inlineStr">
        <is>
          <t>de kosten voor handelsgoederen dalen (retour)</t>
        </is>
      </c>
      <c r="N194" s="13" t="inlineStr">
        <is>
          <t>nee</t>
        </is>
      </c>
    </row>
    <row r="195">
      <c r="A195" s="12" t="n">
        <v>194</v>
      </c>
      <c r="B195" s="16" t="n">
        <v>46162</v>
      </c>
      <c r="C195" s="6" t="inlineStr">
        <is>
          <t>OEFEN</t>
        </is>
      </c>
      <c r="D195" s="13" t="inlineStr">
        <is>
          <t>K2</t>
        </is>
      </c>
      <c r="E195" s="13" t="inlineStr">
        <is>
          <t>Q2CA2</t>
        </is>
      </c>
      <c r="F195" s="13" t="inlineStr">
        <is>
          <t>SW-CN-171</t>
        </is>
      </c>
      <c r="G195" s="13" t="n">
        <v>451200</v>
      </c>
      <c r="H195" s="13">
        <f>INDEX('MAR 2e graad'!$B$2:$B$58,MATCH(G195,'MAR 2e graad'!$A$2:$A$58,0))</f>
        <v/>
      </c>
      <c r="I195" s="13">
        <f>INDEX('MAR 2e graad'!$C$2:$C$58,MATCH(G195,'MAR 2e graad'!$A$2:$A$58,0))</f>
        <v/>
      </c>
      <c r="J195" s="13">
        <f>IF(OR(I195="A",I195="K"),IF(K195&gt;0,"+","-"),IF(L195&gt;0,"+","-"))</f>
        <v/>
      </c>
      <c r="K195" s="14" t="n"/>
      <c r="L195" s="14" t="n">
        <v>21</v>
      </c>
      <c r="M195" s="13" t="inlineStr">
        <is>
          <t>de schuld aan de overheid stijgt (btw op inkomende creditnota)</t>
        </is>
      </c>
      <c r="N195" s="13" t="inlineStr">
        <is>
          <t>nee</t>
        </is>
      </c>
    </row>
    <row r="196">
      <c r="A196" s="12" t="n">
        <v>195</v>
      </c>
      <c r="B196" s="16" t="n">
        <v>46162</v>
      </c>
      <c r="C196" s="6" t="inlineStr">
        <is>
          <t>OEFEN</t>
        </is>
      </c>
      <c r="D196" s="13" t="inlineStr">
        <is>
          <t>K2</t>
        </is>
      </c>
      <c r="E196" s="13" t="inlineStr">
        <is>
          <t>Q2CA2</t>
        </is>
      </c>
      <c r="F196" s="13" t="inlineStr">
        <is>
          <t>SW-CN-171</t>
        </is>
      </c>
      <c r="G196" s="13" t="n">
        <v>440000</v>
      </c>
      <c r="H196" s="13">
        <f>INDEX('MAR 2e graad'!$B$2:$B$58,MATCH(G196,'MAR 2e graad'!$A$2:$A$58,0))</f>
        <v/>
      </c>
      <c r="I196" s="13">
        <f>INDEX('MAR 2e graad'!$C$2:$C$58,MATCH(G196,'MAR 2e graad'!$A$2:$A$58,0))</f>
        <v/>
      </c>
      <c r="J196" s="13">
        <f>IF(OR(I196="A",I196="K"),IF(K196&gt;0,"+","-"),IF(L196&gt;0,"+","-"))</f>
        <v/>
      </c>
      <c r="K196" s="14" t="n">
        <v>121</v>
      </c>
      <c r="L196" s="14" t="n"/>
      <c r="M196" s="13" t="inlineStr">
        <is>
          <t>de schuld aan de leverancier daalt</t>
        </is>
      </c>
      <c r="N196" s="13" t="inlineStr">
        <is>
          <t>nee</t>
        </is>
      </c>
    </row>
    <row r="197">
      <c r="A197" s="12" t="n">
        <v>196</v>
      </c>
      <c r="B197" s="16" t="n">
        <v>46169</v>
      </c>
      <c r="C197" s="6" t="inlineStr">
        <is>
          <t>OEFEN</t>
        </is>
      </c>
      <c r="D197" s="13" t="inlineStr">
        <is>
          <t>K2</t>
        </is>
      </c>
      <c r="E197" s="13" t="inlineStr">
        <is>
          <t>Q2V4</t>
        </is>
      </c>
      <c r="F197" s="13" t="inlineStr">
        <is>
          <t>2026-011</t>
        </is>
      </c>
      <c r="G197" s="13" t="n">
        <v>400000</v>
      </c>
      <c r="H197" s="13">
        <f>INDEX('MAR 2e graad'!$B$2:$B$58,MATCH(G197,'MAR 2e graad'!$A$2:$A$58,0))</f>
        <v/>
      </c>
      <c r="I197" s="13">
        <f>INDEX('MAR 2e graad'!$C$2:$C$58,MATCH(G197,'MAR 2e graad'!$A$2:$A$58,0))</f>
        <v/>
      </c>
      <c r="J197" s="13">
        <f>IF(OR(I197="A",I197="K"),IF(K197&gt;0,"+","-"),IF(L197&gt;0,"+","-"))</f>
        <v/>
      </c>
      <c r="K197" s="14" t="n">
        <v>1573</v>
      </c>
      <c r="L197" s="14" t="n"/>
      <c r="M197" s="13" t="inlineStr">
        <is>
          <t>de vordering op de klant stijgt</t>
        </is>
      </c>
      <c r="N197" s="13" t="inlineStr">
        <is>
          <t>nee</t>
        </is>
      </c>
    </row>
    <row r="198">
      <c r="A198" s="12" t="n">
        <v>197</v>
      </c>
      <c r="B198" s="16" t="n">
        <v>46169</v>
      </c>
      <c r="C198" s="6" t="inlineStr">
        <is>
          <t>OEFEN</t>
        </is>
      </c>
      <c r="D198" s="13" t="inlineStr">
        <is>
          <t>K2</t>
        </is>
      </c>
      <c r="E198" s="13" t="inlineStr">
        <is>
          <t>Q2V4</t>
        </is>
      </c>
      <c r="F198" s="13" t="inlineStr">
        <is>
          <t>2026-011</t>
        </is>
      </c>
      <c r="G198" s="13" t="n">
        <v>704000</v>
      </c>
      <c r="H198" s="13">
        <f>INDEX('MAR 2e graad'!$B$2:$B$58,MATCH(G198,'MAR 2e graad'!$A$2:$A$58,0))</f>
        <v/>
      </c>
      <c r="I198" s="13">
        <f>INDEX('MAR 2e graad'!$C$2:$C$58,MATCH(G198,'MAR 2e graad'!$A$2:$A$58,0))</f>
        <v/>
      </c>
      <c r="J198" s="13">
        <f>IF(OR(I198="A",I198="K"),IF(K198&gt;0,"+","-"),IF(L198&gt;0,"+","-"))</f>
        <v/>
      </c>
      <c r="K198" s="14" t="n"/>
      <c r="L198" s="14" t="n">
        <v>1200</v>
      </c>
      <c r="M198" s="13" t="inlineStr">
        <is>
          <t>de omzet stijgt</t>
        </is>
      </c>
      <c r="N198" s="13" t="inlineStr">
        <is>
          <t>nee</t>
        </is>
      </c>
    </row>
    <row r="199">
      <c r="A199" s="12" t="n">
        <v>198</v>
      </c>
      <c r="B199" s="16" t="n">
        <v>46169</v>
      </c>
      <c r="C199" s="6" t="inlineStr">
        <is>
          <t>OEFEN</t>
        </is>
      </c>
      <c r="D199" s="13" t="inlineStr">
        <is>
          <t>K2</t>
        </is>
      </c>
      <c r="E199" s="13" t="inlineStr">
        <is>
          <t>Q2V4</t>
        </is>
      </c>
      <c r="F199" s="13" t="inlineStr">
        <is>
          <t>2026-011</t>
        </is>
      </c>
      <c r="G199" s="13" t="n">
        <v>704000</v>
      </c>
      <c r="H199" s="13">
        <f>INDEX('MAR 2e graad'!$B$2:$B$58,MATCH(G199,'MAR 2e graad'!$A$2:$A$58,0))</f>
        <v/>
      </c>
      <c r="I199" s="13">
        <f>INDEX('MAR 2e graad'!$C$2:$C$58,MATCH(G199,'MAR 2e graad'!$A$2:$A$58,0))</f>
        <v/>
      </c>
      <c r="J199" s="13">
        <f>IF(OR(I199="A",I199="K"),IF(K199&gt;0,"+","-"),IF(L199&gt;0,"+","-"))</f>
        <v/>
      </c>
      <c r="K199" s="14" t="n"/>
      <c r="L199" s="14" t="n">
        <v>100</v>
      </c>
      <c r="M199" s="13" t="inlineStr">
        <is>
          <t>de omzet stijgt</t>
        </is>
      </c>
      <c r="N199" s="13" t="inlineStr">
        <is>
          <t>nee</t>
        </is>
      </c>
    </row>
    <row r="200">
      <c r="A200" s="12" t="n">
        <v>199</v>
      </c>
      <c r="B200" s="16" t="n">
        <v>46169</v>
      </c>
      <c r="C200" s="6" t="inlineStr">
        <is>
          <t>OEFEN</t>
        </is>
      </c>
      <c r="D200" s="13" t="inlineStr">
        <is>
          <t>K2</t>
        </is>
      </c>
      <c r="E200" s="13" t="inlineStr">
        <is>
          <t>Q2V4</t>
        </is>
      </c>
      <c r="F200" s="13" t="inlineStr">
        <is>
          <t>2026-011</t>
        </is>
      </c>
      <c r="G200" s="13" t="n">
        <v>451100</v>
      </c>
      <c r="H200" s="13">
        <f>INDEX('MAR 2e graad'!$B$2:$B$58,MATCH(G200,'MAR 2e graad'!$A$2:$A$58,0))</f>
        <v/>
      </c>
      <c r="I200" s="13">
        <f>INDEX('MAR 2e graad'!$C$2:$C$58,MATCH(G200,'MAR 2e graad'!$A$2:$A$58,0))</f>
        <v/>
      </c>
      <c r="J200" s="13">
        <f>IF(OR(I200="A",I200="K"),IF(K200&gt;0,"+","-"),IF(L200&gt;0,"+","-"))</f>
        <v/>
      </c>
      <c r="K200" s="14" t="n"/>
      <c r="L200" s="14" t="n">
        <v>273</v>
      </c>
      <c r="M200" s="13" t="inlineStr">
        <is>
          <t>de schuld aan de overheid (verschuldigde btw) stijgt</t>
        </is>
      </c>
      <c r="N200" s="13" t="inlineStr">
        <is>
          <t>nee</t>
        </is>
      </c>
    </row>
    <row r="201">
      <c r="A201" s="12" t="n">
        <v>200</v>
      </c>
      <c r="B201" s="16" t="n">
        <v>46175</v>
      </c>
      <c r="C201" s="6" t="inlineStr">
        <is>
          <t>OEFEN</t>
        </is>
      </c>
      <c r="D201" s="13" t="inlineStr">
        <is>
          <t>K2</t>
        </is>
      </c>
      <c r="E201" s="13" t="inlineStr">
        <is>
          <t>Q2CV2</t>
        </is>
      </c>
      <c r="F201" s="13" t="inlineStr">
        <is>
          <t>CN-2026-006</t>
        </is>
      </c>
      <c r="G201" s="13" t="n">
        <v>400000</v>
      </c>
      <c r="H201" s="13">
        <f>INDEX('MAR 2e graad'!$B$2:$B$58,MATCH(G201,'MAR 2e graad'!$A$2:$A$58,0))</f>
        <v/>
      </c>
      <c r="I201" s="13">
        <f>INDEX('MAR 2e graad'!$C$2:$C$58,MATCH(G201,'MAR 2e graad'!$A$2:$A$58,0))</f>
        <v/>
      </c>
      <c r="J201" s="13">
        <f>IF(OR(I201="A",I201="K"),IF(K201&gt;0,"+","-"),IF(L201&gt;0,"+","-"))</f>
        <v/>
      </c>
      <c r="K201" s="14" t="n"/>
      <c r="L201" s="14" t="n">
        <v>2420</v>
      </c>
      <c r="M201" s="13" t="inlineStr">
        <is>
          <t>de vordering op de klant daalt</t>
        </is>
      </c>
      <c r="N201" s="13" t="inlineStr">
        <is>
          <t>nee</t>
        </is>
      </c>
    </row>
    <row r="202">
      <c r="A202" s="12" t="n">
        <v>201</v>
      </c>
      <c r="B202" s="16" t="n">
        <v>46175</v>
      </c>
      <c r="C202" s="6" t="inlineStr">
        <is>
          <t>OEFEN</t>
        </is>
      </c>
      <c r="D202" s="13" t="inlineStr">
        <is>
          <t>K2</t>
        </is>
      </c>
      <c r="E202" s="13" t="inlineStr">
        <is>
          <t>Q2CV2</t>
        </is>
      </c>
      <c r="F202" s="13" t="inlineStr">
        <is>
          <t>CN-2026-006</t>
        </is>
      </c>
      <c r="G202" s="13" t="n">
        <v>704010</v>
      </c>
      <c r="H202" s="13">
        <f>INDEX('MAR 2e graad'!$B$2:$B$58,MATCH(G202,'MAR 2e graad'!$A$2:$A$58,0))</f>
        <v/>
      </c>
      <c r="I202" s="13">
        <f>INDEX('MAR 2e graad'!$C$2:$C$58,MATCH(G202,'MAR 2e graad'!$A$2:$A$58,0))</f>
        <v/>
      </c>
      <c r="J202" s="13">
        <f>IF(OR(I202="A",I202="K"),IF(K202&gt;0,"+","-"),IF(L202&gt;0,"+","-"))</f>
        <v/>
      </c>
      <c r="K202" s="14" t="n">
        <v>2000</v>
      </c>
      <c r="L202" s="14" t="n"/>
      <c r="M202" s="13" t="inlineStr">
        <is>
          <t>de omzet daalt (retour)</t>
        </is>
      </c>
      <c r="N202" s="13" t="inlineStr">
        <is>
          <t>nee</t>
        </is>
      </c>
    </row>
    <row r="203">
      <c r="A203" s="12" t="n">
        <v>202</v>
      </c>
      <c r="B203" s="16" t="n">
        <v>46175</v>
      </c>
      <c r="C203" s="6" t="inlineStr">
        <is>
          <t>OEFEN</t>
        </is>
      </c>
      <c r="D203" s="13" t="inlineStr">
        <is>
          <t>K2</t>
        </is>
      </c>
      <c r="E203" s="13" t="inlineStr">
        <is>
          <t>Q2CV2</t>
        </is>
      </c>
      <c r="F203" s="13" t="inlineStr">
        <is>
          <t>CN-2026-006</t>
        </is>
      </c>
      <c r="G203" s="13" t="n">
        <v>411200</v>
      </c>
      <c r="H203" s="13">
        <f>INDEX('MAR 2e graad'!$B$2:$B$58,MATCH(G203,'MAR 2e graad'!$A$2:$A$58,0))</f>
        <v/>
      </c>
      <c r="I203" s="13">
        <f>INDEX('MAR 2e graad'!$C$2:$C$58,MATCH(G203,'MAR 2e graad'!$A$2:$A$58,0))</f>
        <v/>
      </c>
      <c r="J203" s="13">
        <f>IF(OR(I203="A",I203="K"),IF(K203&gt;0,"+","-"),IF(L203&gt;0,"+","-"))</f>
        <v/>
      </c>
      <c r="K203" s="14" t="n">
        <v>420</v>
      </c>
      <c r="L203" s="14" t="n"/>
      <c r="M203" s="13" t="inlineStr">
        <is>
          <t>de vordering op de overheid stijgt (btw op uitgaande creditnota)</t>
        </is>
      </c>
      <c r="N203" s="13" t="inlineStr">
        <is>
          <t>nee</t>
        </is>
      </c>
    </row>
    <row r="204">
      <c r="A204" s="12" t="n">
        <v>203</v>
      </c>
      <c r="B204" s="16" t="n">
        <v>46179</v>
      </c>
      <c r="C204" s="6" t="inlineStr">
        <is>
          <t>OEFEN</t>
        </is>
      </c>
      <c r="D204" s="13" t="inlineStr">
        <is>
          <t>K2</t>
        </is>
      </c>
      <c r="E204" s="13" t="inlineStr">
        <is>
          <t>Q2D1</t>
        </is>
      </c>
      <c r="F204" s="13" t="inlineStr">
        <is>
          <t>DO-2026-05</t>
        </is>
      </c>
      <c r="G204" s="13" t="n">
        <v>400000</v>
      </c>
      <c r="H204" s="13">
        <f>INDEX('MAR 2e graad'!$B$2:$B$58,MATCH(G204,'MAR 2e graad'!$A$2:$A$58,0))</f>
        <v/>
      </c>
      <c r="I204" s="13">
        <f>INDEX('MAR 2e graad'!$C$2:$C$58,MATCH(G204,'MAR 2e graad'!$A$2:$A$58,0))</f>
        <v/>
      </c>
      <c r="J204" s="13">
        <f>IF(OR(I204="A",I204="K"),IF(K204&gt;0,"+","-"),IF(L204&gt;0,"+","-"))</f>
        <v/>
      </c>
      <c r="K204" s="14" t="n">
        <v>2466</v>
      </c>
      <c r="L204" s="14" t="n"/>
      <c r="M204" s="13" t="inlineStr">
        <is>
          <t>de vordering op de klanten (dagontvangsten) stijgt</t>
        </is>
      </c>
      <c r="N204" s="13" t="inlineStr">
        <is>
          <t>nee</t>
        </is>
      </c>
    </row>
    <row r="205">
      <c r="A205" s="12" t="n">
        <v>204</v>
      </c>
      <c r="B205" s="16" t="n">
        <v>46179</v>
      </c>
      <c r="C205" s="6" t="inlineStr">
        <is>
          <t>OEFEN</t>
        </is>
      </c>
      <c r="D205" s="13" t="inlineStr">
        <is>
          <t>K2</t>
        </is>
      </c>
      <c r="E205" s="13" t="inlineStr">
        <is>
          <t>Q2D1</t>
        </is>
      </c>
      <c r="F205" s="13" t="inlineStr">
        <is>
          <t>DO-2026-05</t>
        </is>
      </c>
      <c r="G205" s="13" t="n">
        <v>704000</v>
      </c>
      <c r="H205" s="13">
        <f>INDEX('MAR 2e graad'!$B$2:$B$58,MATCH(G205,'MAR 2e graad'!$A$2:$A$58,0))</f>
        <v/>
      </c>
      <c r="I205" s="13">
        <f>INDEX('MAR 2e graad'!$C$2:$C$58,MATCH(G205,'MAR 2e graad'!$A$2:$A$58,0))</f>
        <v/>
      </c>
      <c r="J205" s="13">
        <f>IF(OR(I205="A",I205="K"),IF(K205&gt;0,"+","-"),IF(L205&gt;0,"+","-"))</f>
        <v/>
      </c>
      <c r="K205" s="14" t="n"/>
      <c r="L205" s="14" t="n">
        <v>1200</v>
      </c>
      <c r="M205" s="13" t="inlineStr">
        <is>
          <t>de omzet stijgt</t>
        </is>
      </c>
      <c r="N205" s="13" t="inlineStr">
        <is>
          <t>nee</t>
        </is>
      </c>
    </row>
    <row r="206">
      <c r="A206" s="12" t="n">
        <v>205</v>
      </c>
      <c r="B206" s="16" t="n">
        <v>46179</v>
      </c>
      <c r="C206" s="6" t="inlineStr">
        <is>
          <t>OEFEN</t>
        </is>
      </c>
      <c r="D206" s="13" t="inlineStr">
        <is>
          <t>K2</t>
        </is>
      </c>
      <c r="E206" s="13" t="inlineStr">
        <is>
          <t>Q2D1</t>
        </is>
      </c>
      <c r="F206" s="13" t="inlineStr">
        <is>
          <t>DO-2026-05</t>
        </is>
      </c>
      <c r="G206" s="13" t="n">
        <v>704000</v>
      </c>
      <c r="H206" s="13">
        <f>INDEX('MAR 2e graad'!$B$2:$B$58,MATCH(G206,'MAR 2e graad'!$A$2:$A$58,0))</f>
        <v/>
      </c>
      <c r="I206" s="13">
        <f>INDEX('MAR 2e graad'!$C$2:$C$58,MATCH(G206,'MAR 2e graad'!$A$2:$A$58,0))</f>
        <v/>
      </c>
      <c r="J206" s="13">
        <f>IF(OR(I206="A",I206="K"),IF(K206&gt;0,"+","-"),IF(L206&gt;0,"+","-"))</f>
        <v/>
      </c>
      <c r="K206" s="14" t="n"/>
      <c r="L206" s="14" t="n">
        <v>400</v>
      </c>
      <c r="M206" s="13" t="inlineStr">
        <is>
          <t>de omzet stijgt</t>
        </is>
      </c>
      <c r="N206" s="13" t="inlineStr">
        <is>
          <t>nee</t>
        </is>
      </c>
    </row>
    <row r="207">
      <c r="A207" s="12" t="n">
        <v>206</v>
      </c>
      <c r="B207" s="16" t="n">
        <v>46179</v>
      </c>
      <c r="C207" s="6" t="inlineStr">
        <is>
          <t>OEFEN</t>
        </is>
      </c>
      <c r="D207" s="13" t="inlineStr">
        <is>
          <t>K2</t>
        </is>
      </c>
      <c r="E207" s="13" t="inlineStr">
        <is>
          <t>Q2D1</t>
        </is>
      </c>
      <c r="F207" s="13" t="inlineStr">
        <is>
          <t>DO-2026-05</t>
        </is>
      </c>
      <c r="G207" s="13" t="n">
        <v>700000</v>
      </c>
      <c r="H207" s="13">
        <f>INDEX('MAR 2e graad'!$B$2:$B$58,MATCH(G207,'MAR 2e graad'!$A$2:$A$58,0))</f>
        <v/>
      </c>
      <c r="I207" s="13">
        <f>INDEX('MAR 2e graad'!$C$2:$C$58,MATCH(G207,'MAR 2e graad'!$A$2:$A$58,0))</f>
        <v/>
      </c>
      <c r="J207" s="13">
        <f>IF(OR(I207="A",I207="K"),IF(K207&gt;0,"+","-"),IF(L207&gt;0,"+","-"))</f>
        <v/>
      </c>
      <c r="K207" s="14" t="n"/>
      <c r="L207" s="14" t="n">
        <v>500</v>
      </c>
      <c r="M207" s="13" t="inlineStr">
        <is>
          <t>de omzet (diensten) stijgt</t>
        </is>
      </c>
      <c r="N207" s="13" t="inlineStr">
        <is>
          <t>nee</t>
        </is>
      </c>
    </row>
    <row r="208">
      <c r="A208" s="12" t="n">
        <v>207</v>
      </c>
      <c r="B208" s="16" t="n">
        <v>46179</v>
      </c>
      <c r="C208" s="6" t="inlineStr">
        <is>
          <t>OEFEN</t>
        </is>
      </c>
      <c r="D208" s="13" t="inlineStr">
        <is>
          <t>K2</t>
        </is>
      </c>
      <c r="E208" s="13" t="inlineStr">
        <is>
          <t>Q2D1</t>
        </is>
      </c>
      <c r="F208" s="13" t="inlineStr">
        <is>
          <t>DO-2026-05</t>
        </is>
      </c>
      <c r="G208" s="13" t="n">
        <v>451100</v>
      </c>
      <c r="H208" s="13">
        <f>INDEX('MAR 2e graad'!$B$2:$B$58,MATCH(G208,'MAR 2e graad'!$A$2:$A$58,0))</f>
        <v/>
      </c>
      <c r="I208" s="13">
        <f>INDEX('MAR 2e graad'!$C$2:$C$58,MATCH(G208,'MAR 2e graad'!$A$2:$A$58,0))</f>
        <v/>
      </c>
      <c r="J208" s="13">
        <f>IF(OR(I208="A",I208="K"),IF(K208&gt;0,"+","-"),IF(L208&gt;0,"+","-"))</f>
        <v/>
      </c>
      <c r="K208" s="14" t="n"/>
      <c r="L208" s="14" t="n">
        <v>366</v>
      </c>
      <c r="M208" s="13" t="inlineStr">
        <is>
          <t>de schuld aan de overheid (verschuldigde btw) stijgt</t>
        </is>
      </c>
      <c r="N208" s="13" t="inlineStr">
        <is>
          <t>nee</t>
        </is>
      </c>
    </row>
    <row r="209">
      <c r="A209" s="12" t="n">
        <v>208</v>
      </c>
      <c r="B209" s="16" t="n">
        <v>46179</v>
      </c>
      <c r="C209" s="6" t="inlineStr">
        <is>
          <t>OEFEN</t>
        </is>
      </c>
      <c r="D209" s="13" t="inlineStr">
        <is>
          <t>K2</t>
        </is>
      </c>
      <c r="E209" s="13" t="inlineStr">
        <is>
          <t>Q2D1K</t>
        </is>
      </c>
      <c r="F209" s="13" t="inlineStr">
        <is>
          <t>Kasboek DO-2026-05</t>
        </is>
      </c>
      <c r="G209" s="13" t="n">
        <v>570000</v>
      </c>
      <c r="H209" s="13">
        <f>INDEX('MAR 2e graad'!$B$2:$B$58,MATCH(G209,'MAR 2e graad'!$A$2:$A$58,0))</f>
        <v/>
      </c>
      <c r="I209" s="13">
        <f>INDEX('MAR 2e graad'!$C$2:$C$58,MATCH(G209,'MAR 2e graad'!$A$2:$A$58,0))</f>
        <v/>
      </c>
      <c r="J209" s="13">
        <f>IF(OR(I209="A",I209="K"),IF(K209&gt;0,"+","-"),IF(L209&gt;0,"+","-"))</f>
        <v/>
      </c>
      <c r="K209" s="14" t="n">
        <v>466</v>
      </c>
      <c r="L209" s="14" t="n"/>
      <c r="M209" s="13" t="inlineStr">
        <is>
          <t>de kas stijgt</t>
        </is>
      </c>
      <c r="N209" s="13" t="inlineStr">
        <is>
          <t>nee</t>
        </is>
      </c>
    </row>
    <row r="210">
      <c r="A210" s="12" t="n">
        <v>209</v>
      </c>
      <c r="B210" s="16" t="n">
        <v>46179</v>
      </c>
      <c r="C210" s="6" t="inlineStr">
        <is>
          <t>OEFEN</t>
        </is>
      </c>
      <c r="D210" s="13" t="inlineStr">
        <is>
          <t>K2</t>
        </is>
      </c>
      <c r="E210" s="13" t="inlineStr">
        <is>
          <t>Q2D1K</t>
        </is>
      </c>
      <c r="F210" s="13" t="inlineStr">
        <is>
          <t>Kasboek DO-2026-05</t>
        </is>
      </c>
      <c r="G210" s="13" t="n">
        <v>400000</v>
      </c>
      <c r="H210" s="13">
        <f>INDEX('MAR 2e graad'!$B$2:$B$58,MATCH(G210,'MAR 2e graad'!$A$2:$A$58,0))</f>
        <v/>
      </c>
      <c r="I210" s="13">
        <f>INDEX('MAR 2e graad'!$C$2:$C$58,MATCH(G210,'MAR 2e graad'!$A$2:$A$58,0))</f>
        <v/>
      </c>
      <c r="J210" s="13">
        <f>IF(OR(I210="A",I210="K"),IF(K210&gt;0,"+","-"),IF(L210&gt;0,"+","-"))</f>
        <v/>
      </c>
      <c r="K210" s="14" t="n"/>
      <c r="L210" s="14" t="n">
        <v>466</v>
      </c>
      <c r="M210" s="13" t="inlineStr">
        <is>
          <t>de vordering op de klanten (contant betaald) daalt</t>
        </is>
      </c>
      <c r="N210" s="13" t="inlineStr">
        <is>
          <t>nee</t>
        </is>
      </c>
    </row>
    <row r="211">
      <c r="A211" s="12" t="n">
        <v>210</v>
      </c>
      <c r="B211" s="16" t="n">
        <v>46183</v>
      </c>
      <c r="C211" s="6" t="inlineStr">
        <is>
          <t>OEFEN</t>
        </is>
      </c>
      <c r="D211" s="13" t="inlineStr">
        <is>
          <t>K2</t>
        </is>
      </c>
      <c r="E211" s="13" t="inlineStr">
        <is>
          <t>U2026-10/1</t>
        </is>
      </c>
      <c r="F211" s="13" t="inlineStr">
        <is>
          <t>uittreksel U2026-10/1</t>
        </is>
      </c>
      <c r="G211" s="13" t="n">
        <v>550000</v>
      </c>
      <c r="H211" s="13">
        <f>INDEX('MAR 2e graad'!$B$2:$B$58,MATCH(G211,'MAR 2e graad'!$A$2:$A$58,0))</f>
        <v/>
      </c>
      <c r="I211" s="13">
        <f>INDEX('MAR 2e graad'!$C$2:$C$58,MATCH(G211,'MAR 2e graad'!$A$2:$A$58,0))</f>
        <v/>
      </c>
      <c r="J211" s="13">
        <f>IF(OR(I211="A",I211="K"),IF(K211&gt;0,"+","-"),IF(L211&gt;0,"+","-"))</f>
        <v/>
      </c>
      <c r="K211" s="14" t="n">
        <v>954</v>
      </c>
      <c r="L211" s="14" t="n"/>
      <c r="M211" s="13" t="inlineStr">
        <is>
          <t>de bank stijgt</t>
        </is>
      </c>
      <c r="N211" s="13" t="inlineStr">
        <is>
          <t>nee</t>
        </is>
      </c>
    </row>
    <row r="212">
      <c r="A212" s="12" t="n">
        <v>211</v>
      </c>
      <c r="B212" s="16" t="n">
        <v>46183</v>
      </c>
      <c r="C212" s="6" t="inlineStr">
        <is>
          <t>OEFEN</t>
        </is>
      </c>
      <c r="D212" s="13" t="inlineStr">
        <is>
          <t>K2</t>
        </is>
      </c>
      <c r="E212" s="13" t="inlineStr">
        <is>
          <t>U2026-10/1</t>
        </is>
      </c>
      <c r="F212" s="13" t="inlineStr">
        <is>
          <t>uittreksel U2026-10/1</t>
        </is>
      </c>
      <c r="G212" s="13" t="n">
        <v>400000</v>
      </c>
      <c r="H212" s="13">
        <f>INDEX('MAR 2e graad'!$B$2:$B$58,MATCH(G212,'MAR 2e graad'!$A$2:$A$58,0))</f>
        <v/>
      </c>
      <c r="I212" s="13">
        <f>INDEX('MAR 2e graad'!$C$2:$C$58,MATCH(G212,'MAR 2e graad'!$A$2:$A$58,0))</f>
        <v/>
      </c>
      <c r="J212" s="13">
        <f>IF(OR(I212="A",I212="K"),IF(K212&gt;0,"+","-"),IF(L212&gt;0,"+","-"))</f>
        <v/>
      </c>
      <c r="K212" s="14" t="n"/>
      <c r="L212" s="14" t="n">
        <v>954</v>
      </c>
      <c r="M212" s="13" t="inlineStr">
        <is>
          <t>de vordering op de klant daalt</t>
        </is>
      </c>
      <c r="N212" s="13" t="inlineStr">
        <is>
          <t>nee</t>
        </is>
      </c>
    </row>
    <row r="213">
      <c r="A213" s="12" t="n">
        <v>212</v>
      </c>
      <c r="B213" s="16" t="n">
        <v>46183</v>
      </c>
      <c r="C213" s="6" t="inlineStr">
        <is>
          <t>OEFEN</t>
        </is>
      </c>
      <c r="D213" s="13" t="inlineStr">
        <is>
          <t>K2</t>
        </is>
      </c>
      <c r="E213" s="13" t="inlineStr">
        <is>
          <t>U2026-10/2</t>
        </is>
      </c>
      <c r="F213" s="13" t="inlineStr">
        <is>
          <t>uittreksel U2026-10/2</t>
        </is>
      </c>
      <c r="G213" s="13" t="n">
        <v>550000</v>
      </c>
      <c r="H213" s="13">
        <f>INDEX('MAR 2e graad'!$B$2:$B$58,MATCH(G213,'MAR 2e graad'!$A$2:$A$58,0))</f>
        <v/>
      </c>
      <c r="I213" s="13">
        <f>INDEX('MAR 2e graad'!$C$2:$C$58,MATCH(G213,'MAR 2e graad'!$A$2:$A$58,0))</f>
        <v/>
      </c>
      <c r="J213" s="13">
        <f>IF(OR(I213="A",I213="K"),IF(K213&gt;0,"+","-"),IF(L213&gt;0,"+","-"))</f>
        <v/>
      </c>
      <c r="K213" s="14" t="n">
        <v>121</v>
      </c>
      <c r="L213" s="14" t="n"/>
      <c r="M213" s="13" t="inlineStr">
        <is>
          <t>de bank stijgt</t>
        </is>
      </c>
      <c r="N213" s="13" t="inlineStr">
        <is>
          <t>nee</t>
        </is>
      </c>
    </row>
    <row r="214">
      <c r="A214" s="12" t="n">
        <v>213</v>
      </c>
      <c r="B214" s="16" t="n">
        <v>46183</v>
      </c>
      <c r="C214" s="6" t="inlineStr">
        <is>
          <t>OEFEN</t>
        </is>
      </c>
      <c r="D214" s="13" t="inlineStr">
        <is>
          <t>K2</t>
        </is>
      </c>
      <c r="E214" s="13" t="inlineStr">
        <is>
          <t>U2026-10/2</t>
        </is>
      </c>
      <c r="F214" s="13" t="inlineStr">
        <is>
          <t>uittreksel U2026-10/2</t>
        </is>
      </c>
      <c r="G214" s="13" t="n">
        <v>440000</v>
      </c>
      <c r="H214" s="13">
        <f>INDEX('MAR 2e graad'!$B$2:$B$58,MATCH(G214,'MAR 2e graad'!$A$2:$A$58,0))</f>
        <v/>
      </c>
      <c r="I214" s="13">
        <f>INDEX('MAR 2e graad'!$C$2:$C$58,MATCH(G214,'MAR 2e graad'!$A$2:$A$58,0))</f>
        <v/>
      </c>
      <c r="J214" s="13">
        <f>IF(OR(I214="A",I214="K"),IF(K214&gt;0,"+","-"),IF(L214&gt;0,"+","-"))</f>
        <v/>
      </c>
      <c r="K214" s="14" t="n"/>
      <c r="L214" s="14" t="n">
        <v>121</v>
      </c>
      <c r="M214" s="13" t="inlineStr">
        <is>
          <t>de vordering op de leverancier (creditnota) daalt</t>
        </is>
      </c>
      <c r="N214" s="13" t="inlineStr">
        <is>
          <t>nee</t>
        </is>
      </c>
    </row>
    <row r="215">
      <c r="A215" s="12" t="n">
        <v>214</v>
      </c>
      <c r="B215" s="16" t="n">
        <v>46183</v>
      </c>
      <c r="C215" s="6" t="inlineStr">
        <is>
          <t>OEFEN</t>
        </is>
      </c>
      <c r="D215" s="13" t="inlineStr">
        <is>
          <t>K2</t>
        </is>
      </c>
      <c r="E215" s="13" t="inlineStr">
        <is>
          <t>U2026-10/3</t>
        </is>
      </c>
      <c r="F215" s="13" t="inlineStr">
        <is>
          <t>uittreksel U2026-10/3</t>
        </is>
      </c>
      <c r="G215" s="13" t="n">
        <v>550000</v>
      </c>
      <c r="H215" s="13">
        <f>INDEX('MAR 2e graad'!$B$2:$B$58,MATCH(G215,'MAR 2e graad'!$A$2:$A$58,0))</f>
        <v/>
      </c>
      <c r="I215" s="13">
        <f>INDEX('MAR 2e graad'!$C$2:$C$58,MATCH(G215,'MAR 2e graad'!$A$2:$A$58,0))</f>
        <v/>
      </c>
      <c r="J215" s="13">
        <f>IF(OR(I215="A",I215="K"),IF(K215&gt;0,"+","-"),IF(L215&gt;0,"+","-"))</f>
        <v/>
      </c>
      <c r="K215" s="14" t="n">
        <v>1573</v>
      </c>
      <c r="L215" s="14" t="n"/>
      <c r="M215" s="13" t="inlineStr">
        <is>
          <t>de bank stijgt</t>
        </is>
      </c>
      <c r="N215" s="13" t="inlineStr">
        <is>
          <t>nee</t>
        </is>
      </c>
    </row>
    <row r="216">
      <c r="A216" s="12" t="n">
        <v>215</v>
      </c>
      <c r="B216" s="16" t="n">
        <v>46183</v>
      </c>
      <c r="C216" s="6" t="inlineStr">
        <is>
          <t>OEFEN</t>
        </is>
      </c>
      <c r="D216" s="13" t="inlineStr">
        <is>
          <t>K2</t>
        </is>
      </c>
      <c r="E216" s="13" t="inlineStr">
        <is>
          <t>U2026-10/3</t>
        </is>
      </c>
      <c r="F216" s="13" t="inlineStr">
        <is>
          <t>uittreksel U2026-10/3</t>
        </is>
      </c>
      <c r="G216" s="13" t="n">
        <v>400000</v>
      </c>
      <c r="H216" s="13">
        <f>INDEX('MAR 2e graad'!$B$2:$B$58,MATCH(G216,'MAR 2e graad'!$A$2:$A$58,0))</f>
        <v/>
      </c>
      <c r="I216" s="13">
        <f>INDEX('MAR 2e graad'!$C$2:$C$58,MATCH(G216,'MAR 2e graad'!$A$2:$A$58,0))</f>
        <v/>
      </c>
      <c r="J216" s="13">
        <f>IF(OR(I216="A",I216="K"),IF(K216&gt;0,"+","-"),IF(L216&gt;0,"+","-"))</f>
        <v/>
      </c>
      <c r="K216" s="14" t="n"/>
      <c r="L216" s="14" t="n">
        <v>1573</v>
      </c>
      <c r="M216" s="13" t="inlineStr">
        <is>
          <t>de vordering op de klant daalt</t>
        </is>
      </c>
      <c r="N216" s="13" t="inlineStr">
        <is>
          <t>nee</t>
        </is>
      </c>
    </row>
    <row r="217">
      <c r="A217" s="12" t="n">
        <v>216</v>
      </c>
      <c r="B217" s="16" t="n">
        <v>46183</v>
      </c>
      <c r="C217" s="6" t="inlineStr">
        <is>
          <t>OEFEN</t>
        </is>
      </c>
      <c r="D217" s="13" t="inlineStr">
        <is>
          <t>K2</t>
        </is>
      </c>
      <c r="E217" s="13" t="inlineStr">
        <is>
          <t>U2026-10/4</t>
        </is>
      </c>
      <c r="F217" s="13" t="inlineStr">
        <is>
          <t>uittreksel U2026-10/4</t>
        </is>
      </c>
      <c r="G217" s="13" t="n">
        <v>400000</v>
      </c>
      <c r="H217" s="13">
        <f>INDEX('MAR 2e graad'!$B$2:$B$58,MATCH(G217,'MAR 2e graad'!$A$2:$A$58,0))</f>
        <v/>
      </c>
      <c r="I217" s="13">
        <f>INDEX('MAR 2e graad'!$C$2:$C$58,MATCH(G217,'MAR 2e graad'!$A$2:$A$58,0))</f>
        <v/>
      </c>
      <c r="J217" s="13">
        <f>IF(OR(I217="A",I217="K"),IF(K217&gt;0,"+","-"),IF(L217&gt;0,"+","-"))</f>
        <v/>
      </c>
      <c r="K217" s="14" t="n">
        <v>2420</v>
      </c>
      <c r="L217" s="14" t="n"/>
      <c r="M217" s="13" t="inlineStr">
        <is>
          <t>de schuld aan de klant (creditnota) daalt</t>
        </is>
      </c>
      <c r="N217" s="13" t="inlineStr">
        <is>
          <t>nee</t>
        </is>
      </c>
    </row>
    <row r="218">
      <c r="A218" s="12" t="n">
        <v>217</v>
      </c>
      <c r="B218" s="16" t="n">
        <v>46183</v>
      </c>
      <c r="C218" s="6" t="inlineStr">
        <is>
          <t>OEFEN</t>
        </is>
      </c>
      <c r="D218" s="13" t="inlineStr">
        <is>
          <t>K2</t>
        </is>
      </c>
      <c r="E218" s="13" t="inlineStr">
        <is>
          <t>U2026-10/4</t>
        </is>
      </c>
      <c r="F218" s="13" t="inlineStr">
        <is>
          <t>uittreksel U2026-10/4</t>
        </is>
      </c>
      <c r="G218" s="13" t="n">
        <v>550000</v>
      </c>
      <c r="H218" s="13">
        <f>INDEX('MAR 2e graad'!$B$2:$B$58,MATCH(G218,'MAR 2e graad'!$A$2:$A$58,0))</f>
        <v/>
      </c>
      <c r="I218" s="13">
        <f>INDEX('MAR 2e graad'!$C$2:$C$58,MATCH(G218,'MAR 2e graad'!$A$2:$A$58,0))</f>
        <v/>
      </c>
      <c r="J218" s="13">
        <f>IF(OR(I218="A",I218="K"),IF(K218&gt;0,"+","-"),IF(L218&gt;0,"+","-"))</f>
        <v/>
      </c>
      <c r="K218" s="14" t="n"/>
      <c r="L218" s="14" t="n">
        <v>2420</v>
      </c>
      <c r="M218" s="13" t="inlineStr">
        <is>
          <t>de bank daalt</t>
        </is>
      </c>
      <c r="N218" s="13" t="inlineStr">
        <is>
          <t>nee</t>
        </is>
      </c>
    </row>
    <row r="219">
      <c r="A219" s="12" t="n">
        <v>218</v>
      </c>
      <c r="B219" s="16" t="n">
        <v>46183</v>
      </c>
      <c r="C219" s="6" t="inlineStr">
        <is>
          <t>OEFEN</t>
        </is>
      </c>
      <c r="D219" s="13" t="inlineStr">
        <is>
          <t>K2</t>
        </is>
      </c>
      <c r="E219" s="13" t="inlineStr">
        <is>
          <t>U2026-10/5</t>
        </is>
      </c>
      <c r="F219" s="13" t="inlineStr">
        <is>
          <t>uittreksel U2026-10/5</t>
        </is>
      </c>
      <c r="G219" s="13" t="n">
        <v>550000</v>
      </c>
      <c r="H219" s="13">
        <f>INDEX('MAR 2e graad'!$B$2:$B$58,MATCH(G219,'MAR 2e graad'!$A$2:$A$58,0))</f>
        <v/>
      </c>
      <c r="I219" s="13">
        <f>INDEX('MAR 2e graad'!$C$2:$C$58,MATCH(G219,'MAR 2e graad'!$A$2:$A$58,0))</f>
        <v/>
      </c>
      <c r="J219" s="13">
        <f>IF(OR(I219="A",I219="K"),IF(K219&gt;0,"+","-"),IF(L219&gt;0,"+","-"))</f>
        <v/>
      </c>
      <c r="K219" s="14" t="n">
        <v>2000</v>
      </c>
      <c r="L219" s="14" t="n"/>
      <c r="M219" s="13" t="inlineStr">
        <is>
          <t>de bank stijgt</t>
        </is>
      </c>
      <c r="N219" s="13" t="inlineStr">
        <is>
          <t>nee</t>
        </is>
      </c>
    </row>
    <row r="220">
      <c r="A220" s="12" t="n">
        <v>219</v>
      </c>
      <c r="B220" s="16" t="n">
        <v>46183</v>
      </c>
      <c r="C220" s="6" t="inlineStr">
        <is>
          <t>OEFEN</t>
        </is>
      </c>
      <c r="D220" s="13" t="inlineStr">
        <is>
          <t>K2</t>
        </is>
      </c>
      <c r="E220" s="13" t="inlineStr">
        <is>
          <t>U2026-10/5</t>
        </is>
      </c>
      <c r="F220" s="13" t="inlineStr">
        <is>
          <t>uittreksel U2026-10/5</t>
        </is>
      </c>
      <c r="G220" s="13" t="n">
        <v>400000</v>
      </c>
      <c r="H220" s="13">
        <f>INDEX('MAR 2e graad'!$B$2:$B$58,MATCH(G220,'MAR 2e graad'!$A$2:$A$58,0))</f>
        <v/>
      </c>
      <c r="I220" s="13">
        <f>INDEX('MAR 2e graad'!$C$2:$C$58,MATCH(G220,'MAR 2e graad'!$A$2:$A$58,0))</f>
        <v/>
      </c>
      <c r="J220" s="13">
        <f>IF(OR(I220="A",I220="K"),IF(K220&gt;0,"+","-"),IF(L220&gt;0,"+","-"))</f>
        <v/>
      </c>
      <c r="K220" s="14" t="n"/>
      <c r="L220" s="14" t="n">
        <v>2000</v>
      </c>
      <c r="M220" s="13" t="inlineStr">
        <is>
          <t>de vordering (bancontact) daalt</t>
        </is>
      </c>
      <c r="N220" s="13" t="inlineStr">
        <is>
          <t>nee</t>
        </is>
      </c>
    </row>
    <row r="221">
      <c r="A221" s="12" t="n">
        <v>220</v>
      </c>
      <c r="B221" s="16" t="n">
        <v>46204</v>
      </c>
      <c r="C221" s="7" t="inlineStr">
        <is>
          <t>TJ</t>
        </is>
      </c>
      <c r="D221" s="13" t="inlineStr">
        <is>
          <t>K3</t>
        </is>
      </c>
      <c r="E221" s="13" t="inlineStr">
        <is>
          <t>Q3A1</t>
        </is>
      </c>
      <c r="F221" s="13" t="inlineStr">
        <is>
          <t>2026-702</t>
        </is>
      </c>
      <c r="G221" s="13" t="n">
        <v>604000</v>
      </c>
      <c r="H221" s="13">
        <f>INDEX('MAR 2e graad'!$B$2:$B$58,MATCH(G221,'MAR 2e graad'!$A$2:$A$58,0))</f>
        <v/>
      </c>
      <c r="I221" s="13">
        <f>INDEX('MAR 2e graad'!$C$2:$C$58,MATCH(G221,'MAR 2e graad'!$A$2:$A$58,0))</f>
        <v/>
      </c>
      <c r="J221" s="13">
        <f>IF(OR(I221="A",I221="K"),IF(K221&gt;0,"+","-"),IF(L221&gt;0,"+","-"))</f>
        <v/>
      </c>
      <c r="K221" s="14" t="n">
        <v>3200</v>
      </c>
      <c r="L221" s="14" t="n"/>
      <c r="M221" s="13" t="inlineStr">
        <is>
          <t>de kosten voor handelsgoederen stijgen</t>
        </is>
      </c>
      <c r="N221" s="13" t="inlineStr">
        <is>
          <t>nee</t>
        </is>
      </c>
    </row>
    <row r="222">
      <c r="A222" s="12" t="n">
        <v>221</v>
      </c>
      <c r="B222" s="16" t="n">
        <v>46204</v>
      </c>
      <c r="C222" s="7" t="inlineStr">
        <is>
          <t>TJ</t>
        </is>
      </c>
      <c r="D222" s="13" t="inlineStr">
        <is>
          <t>K3</t>
        </is>
      </c>
      <c r="E222" s="13" t="inlineStr">
        <is>
          <t>Q3A1</t>
        </is>
      </c>
      <c r="F222" s="13" t="inlineStr">
        <is>
          <t>2026-702</t>
        </is>
      </c>
      <c r="G222" s="13" t="n">
        <v>604000</v>
      </c>
      <c r="H222" s="13">
        <f>INDEX('MAR 2e graad'!$B$2:$B$58,MATCH(G222,'MAR 2e graad'!$A$2:$A$58,0))</f>
        <v/>
      </c>
      <c r="I222" s="13">
        <f>INDEX('MAR 2e graad'!$C$2:$C$58,MATCH(G222,'MAR 2e graad'!$A$2:$A$58,0))</f>
        <v/>
      </c>
      <c r="J222" s="13">
        <f>IF(OR(I222="A",I222="K"),IF(K222&gt;0,"+","-"),IF(L222&gt;0,"+","-"))</f>
        <v/>
      </c>
      <c r="K222" s="14" t="n">
        <v>3600</v>
      </c>
      <c r="L222" s="14" t="n"/>
      <c r="M222" s="13" t="inlineStr">
        <is>
          <t>de kosten voor handelsgoederen stijgen</t>
        </is>
      </c>
      <c r="N222" s="13" t="inlineStr">
        <is>
          <t>nee</t>
        </is>
      </c>
    </row>
    <row r="223">
      <c r="A223" s="12" t="n">
        <v>222</v>
      </c>
      <c r="B223" s="16" t="n">
        <v>46204</v>
      </c>
      <c r="C223" s="7" t="inlineStr">
        <is>
          <t>TJ</t>
        </is>
      </c>
      <c r="D223" s="13" t="inlineStr">
        <is>
          <t>K3</t>
        </is>
      </c>
      <c r="E223" s="13" t="inlineStr">
        <is>
          <t>Q3A1</t>
        </is>
      </c>
      <c r="F223" s="13" t="inlineStr">
        <is>
          <t>2026-702</t>
        </is>
      </c>
      <c r="G223" s="13" t="n">
        <v>604000</v>
      </c>
      <c r="H223" s="13">
        <f>INDEX('MAR 2e graad'!$B$2:$B$58,MATCH(G223,'MAR 2e graad'!$A$2:$A$58,0))</f>
        <v/>
      </c>
      <c r="I223" s="13">
        <f>INDEX('MAR 2e graad'!$C$2:$C$58,MATCH(G223,'MAR 2e graad'!$A$2:$A$58,0))</f>
        <v/>
      </c>
      <c r="J223" s="13">
        <f>IF(OR(I223="A",I223="K"),IF(K223&gt;0,"+","-"),IF(L223&gt;0,"+","-"))</f>
        <v/>
      </c>
      <c r="K223" s="14" t="n">
        <v>2800</v>
      </c>
      <c r="L223" s="14" t="n"/>
      <c r="M223" s="13" t="inlineStr">
        <is>
          <t>de kosten voor handelsgoederen stijgen</t>
        </is>
      </c>
      <c r="N223" s="13" t="inlineStr">
        <is>
          <t>nee</t>
        </is>
      </c>
    </row>
    <row r="224">
      <c r="A224" s="12" t="n">
        <v>223</v>
      </c>
      <c r="B224" s="16" t="n">
        <v>46204</v>
      </c>
      <c r="C224" s="7" t="inlineStr">
        <is>
          <t>TJ</t>
        </is>
      </c>
      <c r="D224" s="13" t="inlineStr">
        <is>
          <t>K3</t>
        </is>
      </c>
      <c r="E224" s="13" t="inlineStr">
        <is>
          <t>Q3A1</t>
        </is>
      </c>
      <c r="F224" s="13" t="inlineStr">
        <is>
          <t>2026-702</t>
        </is>
      </c>
      <c r="G224" s="13" t="n">
        <v>411100</v>
      </c>
      <c r="H224" s="13">
        <f>INDEX('MAR 2e graad'!$B$2:$B$58,MATCH(G224,'MAR 2e graad'!$A$2:$A$58,0))</f>
        <v/>
      </c>
      <c r="I224" s="13">
        <f>INDEX('MAR 2e graad'!$C$2:$C$58,MATCH(G224,'MAR 2e graad'!$A$2:$A$58,0))</f>
        <v/>
      </c>
      <c r="J224" s="13">
        <f>IF(OR(I224="A",I224="K"),IF(K224&gt;0,"+","-"),IF(L224&gt;0,"+","-"))</f>
        <v/>
      </c>
      <c r="K224" s="14" t="n">
        <v>2016</v>
      </c>
      <c r="L224" s="14" t="n"/>
      <c r="M224" s="13" t="inlineStr">
        <is>
          <t>de vordering op de overheid (aftrekbare btw) stijgt</t>
        </is>
      </c>
      <c r="N224" s="13" t="inlineStr">
        <is>
          <t>nee</t>
        </is>
      </c>
    </row>
    <row r="225">
      <c r="A225" s="12" t="n">
        <v>224</v>
      </c>
      <c r="B225" s="16" t="n">
        <v>46204</v>
      </c>
      <c r="C225" s="7" t="inlineStr">
        <is>
          <t>TJ</t>
        </is>
      </c>
      <c r="D225" s="13" t="inlineStr">
        <is>
          <t>K3</t>
        </is>
      </c>
      <c r="E225" s="13" t="inlineStr">
        <is>
          <t>Q3A1</t>
        </is>
      </c>
      <c r="F225" s="13" t="inlineStr">
        <is>
          <t>2026-702</t>
        </is>
      </c>
      <c r="G225" s="13" t="n">
        <v>440000</v>
      </c>
      <c r="H225" s="13">
        <f>INDEX('MAR 2e graad'!$B$2:$B$58,MATCH(G225,'MAR 2e graad'!$A$2:$A$58,0))</f>
        <v/>
      </c>
      <c r="I225" s="13">
        <f>INDEX('MAR 2e graad'!$C$2:$C$58,MATCH(G225,'MAR 2e graad'!$A$2:$A$58,0))</f>
        <v/>
      </c>
      <c r="J225" s="13">
        <f>IF(OR(I225="A",I225="K"),IF(K225&gt;0,"+","-"),IF(L225&gt;0,"+","-"))</f>
        <v/>
      </c>
      <c r="K225" s="14" t="n"/>
      <c r="L225" s="14" t="n">
        <v>11616</v>
      </c>
      <c r="M225" s="13" t="inlineStr">
        <is>
          <t>de schuld aan de leverancier stijgt</t>
        </is>
      </c>
      <c r="N225" s="13" t="inlineStr">
        <is>
          <t>nee</t>
        </is>
      </c>
    </row>
    <row r="226">
      <c r="A226" s="12" t="n">
        <v>225</v>
      </c>
      <c r="B226" s="16" t="n">
        <v>46206</v>
      </c>
      <c r="C226" s="7" t="inlineStr">
        <is>
          <t>TJ</t>
        </is>
      </c>
      <c r="D226" s="13" t="inlineStr">
        <is>
          <t>K3</t>
        </is>
      </c>
      <c r="E226" s="13" t="inlineStr">
        <is>
          <t>Q3A3</t>
        </is>
      </c>
      <c r="F226" s="13" t="inlineStr">
        <is>
          <t>HH-26-311</t>
        </is>
      </c>
      <c r="G226" s="13" t="n">
        <v>604000</v>
      </c>
      <c r="H226" s="13">
        <f>INDEX('MAR 2e graad'!$B$2:$B$58,MATCH(G226,'MAR 2e graad'!$A$2:$A$58,0))</f>
        <v/>
      </c>
      <c r="I226" s="13">
        <f>INDEX('MAR 2e graad'!$C$2:$C$58,MATCH(G226,'MAR 2e graad'!$A$2:$A$58,0))</f>
        <v/>
      </c>
      <c r="J226" s="13">
        <f>IF(OR(I226="A",I226="K"),IF(K226&gt;0,"+","-"),IF(L226&gt;0,"+","-"))</f>
        <v/>
      </c>
      <c r="K226" s="14" t="n">
        <v>600</v>
      </c>
      <c r="L226" s="14" t="n"/>
      <c r="M226" s="13" t="inlineStr">
        <is>
          <t>de kosten voor handelsgoederen stijgen</t>
        </is>
      </c>
      <c r="N226" s="13" t="inlineStr">
        <is>
          <t>nee</t>
        </is>
      </c>
    </row>
    <row r="227">
      <c r="A227" s="12" t="n">
        <v>226</v>
      </c>
      <c r="B227" s="16" t="n">
        <v>46206</v>
      </c>
      <c r="C227" s="7" t="inlineStr">
        <is>
          <t>TJ</t>
        </is>
      </c>
      <c r="D227" s="13" t="inlineStr">
        <is>
          <t>K3</t>
        </is>
      </c>
      <c r="E227" s="13" t="inlineStr">
        <is>
          <t>Q3A3</t>
        </is>
      </c>
      <c r="F227" s="13" t="inlineStr">
        <is>
          <t>HH-26-311</t>
        </is>
      </c>
      <c r="G227" s="13" t="n">
        <v>604000</v>
      </c>
      <c r="H227" s="13">
        <f>INDEX('MAR 2e graad'!$B$2:$B$58,MATCH(G227,'MAR 2e graad'!$A$2:$A$58,0))</f>
        <v/>
      </c>
      <c r="I227" s="13">
        <f>INDEX('MAR 2e graad'!$C$2:$C$58,MATCH(G227,'MAR 2e graad'!$A$2:$A$58,0))</f>
        <v/>
      </c>
      <c r="J227" s="13">
        <f>IF(OR(I227="A",I227="K"),IF(K227&gt;0,"+","-"),IF(L227&gt;0,"+","-"))</f>
        <v/>
      </c>
      <c r="K227" s="14" t="n">
        <v>400</v>
      </c>
      <c r="L227" s="14" t="n"/>
      <c r="M227" s="13" t="inlineStr">
        <is>
          <t>de kosten voor handelsgoederen stijgen</t>
        </is>
      </c>
      <c r="N227" s="13" t="inlineStr">
        <is>
          <t>nee</t>
        </is>
      </c>
    </row>
    <row r="228">
      <c r="A228" s="12" t="n">
        <v>227</v>
      </c>
      <c r="B228" s="16" t="n">
        <v>46206</v>
      </c>
      <c r="C228" s="7" t="inlineStr">
        <is>
          <t>TJ</t>
        </is>
      </c>
      <c r="D228" s="13" t="inlineStr">
        <is>
          <t>K3</t>
        </is>
      </c>
      <c r="E228" s="13" t="inlineStr">
        <is>
          <t>Q3A3</t>
        </is>
      </c>
      <c r="F228" s="13" t="inlineStr">
        <is>
          <t>HH-26-311</t>
        </is>
      </c>
      <c r="G228" s="13" t="n">
        <v>411100</v>
      </c>
      <c r="H228" s="13">
        <f>INDEX('MAR 2e graad'!$B$2:$B$58,MATCH(G228,'MAR 2e graad'!$A$2:$A$58,0))</f>
        <v/>
      </c>
      <c r="I228" s="13">
        <f>INDEX('MAR 2e graad'!$C$2:$C$58,MATCH(G228,'MAR 2e graad'!$A$2:$A$58,0))</f>
        <v/>
      </c>
      <c r="J228" s="13">
        <f>IF(OR(I228="A",I228="K"),IF(K228&gt;0,"+","-"),IF(L228&gt;0,"+","-"))</f>
        <v/>
      </c>
      <c r="K228" s="14" t="n">
        <v>210</v>
      </c>
      <c r="L228" s="14" t="n"/>
      <c r="M228" s="13" t="inlineStr">
        <is>
          <t>de vordering op de overheid (aftrekbare btw) stijgt</t>
        </is>
      </c>
      <c r="N228" s="13" t="inlineStr">
        <is>
          <t>nee</t>
        </is>
      </c>
    </row>
    <row r="229">
      <c r="A229" s="12" t="n">
        <v>228</v>
      </c>
      <c r="B229" s="16" t="n">
        <v>46206</v>
      </c>
      <c r="C229" s="7" t="inlineStr">
        <is>
          <t>TJ</t>
        </is>
      </c>
      <c r="D229" s="13" t="inlineStr">
        <is>
          <t>K3</t>
        </is>
      </c>
      <c r="E229" s="13" t="inlineStr">
        <is>
          <t>Q3A3</t>
        </is>
      </c>
      <c r="F229" s="13" t="inlineStr">
        <is>
          <t>HH-26-311</t>
        </is>
      </c>
      <c r="G229" s="13" t="n">
        <v>440000</v>
      </c>
      <c r="H229" s="13">
        <f>INDEX('MAR 2e graad'!$B$2:$B$58,MATCH(G229,'MAR 2e graad'!$A$2:$A$58,0))</f>
        <v/>
      </c>
      <c r="I229" s="13">
        <f>INDEX('MAR 2e graad'!$C$2:$C$58,MATCH(G229,'MAR 2e graad'!$A$2:$A$58,0))</f>
        <v/>
      </c>
      <c r="J229" s="13">
        <f>IF(OR(I229="A",I229="K"),IF(K229&gt;0,"+","-"),IF(L229&gt;0,"+","-"))</f>
        <v/>
      </c>
      <c r="K229" s="14" t="n"/>
      <c r="L229" s="14" t="n">
        <v>1210</v>
      </c>
      <c r="M229" s="13" t="inlineStr">
        <is>
          <t>de schuld aan de leverancier stijgt</t>
        </is>
      </c>
      <c r="N229" s="13" t="inlineStr">
        <is>
          <t>nee</t>
        </is>
      </c>
    </row>
    <row r="230">
      <c r="A230" s="12" t="n">
        <v>229</v>
      </c>
      <c r="B230" s="16" t="n">
        <v>46211</v>
      </c>
      <c r="C230" s="7" t="inlineStr">
        <is>
          <t>TJ</t>
        </is>
      </c>
      <c r="D230" s="13" t="inlineStr">
        <is>
          <t>K3</t>
        </is>
      </c>
      <c r="E230" s="13" t="inlineStr">
        <is>
          <t>Q3CA1</t>
        </is>
      </c>
      <c r="F230" s="13" t="inlineStr">
        <is>
          <t>CN-2026-044</t>
        </is>
      </c>
      <c r="G230" s="13" t="n">
        <v>604010</v>
      </c>
      <c r="H230" s="13">
        <f>INDEX('MAR 2e graad'!$B$2:$B$58,MATCH(G230,'MAR 2e graad'!$A$2:$A$58,0))</f>
        <v/>
      </c>
      <c r="I230" s="13">
        <f>INDEX('MAR 2e graad'!$C$2:$C$58,MATCH(G230,'MAR 2e graad'!$A$2:$A$58,0))</f>
        <v/>
      </c>
      <c r="J230" s="13">
        <f>IF(OR(I230="A",I230="K"),IF(K230&gt;0,"+","-"),IF(L230&gt;0,"+","-"))</f>
        <v/>
      </c>
      <c r="K230" s="14" t="n"/>
      <c r="L230" s="14" t="n">
        <v>400</v>
      </c>
      <c r="M230" s="13" t="inlineStr">
        <is>
          <t>de kosten voor handelsgoederen dalen (retour)</t>
        </is>
      </c>
      <c r="N230" s="13" t="inlineStr">
        <is>
          <t>nee</t>
        </is>
      </c>
    </row>
    <row r="231">
      <c r="A231" s="12" t="n">
        <v>230</v>
      </c>
      <c r="B231" s="16" t="n">
        <v>46211</v>
      </c>
      <c r="C231" s="7" t="inlineStr">
        <is>
          <t>TJ</t>
        </is>
      </c>
      <c r="D231" s="13" t="inlineStr">
        <is>
          <t>K3</t>
        </is>
      </c>
      <c r="E231" s="13" t="inlineStr">
        <is>
          <t>Q3CA1</t>
        </is>
      </c>
      <c r="F231" s="13" t="inlineStr">
        <is>
          <t>CN-2026-044</t>
        </is>
      </c>
      <c r="G231" s="13" t="n">
        <v>451200</v>
      </c>
      <c r="H231" s="13">
        <f>INDEX('MAR 2e graad'!$B$2:$B$58,MATCH(G231,'MAR 2e graad'!$A$2:$A$58,0))</f>
        <v/>
      </c>
      <c r="I231" s="13">
        <f>INDEX('MAR 2e graad'!$C$2:$C$58,MATCH(G231,'MAR 2e graad'!$A$2:$A$58,0))</f>
        <v/>
      </c>
      <c r="J231" s="13">
        <f>IF(OR(I231="A",I231="K"),IF(K231&gt;0,"+","-"),IF(L231&gt;0,"+","-"))</f>
        <v/>
      </c>
      <c r="K231" s="14" t="n"/>
      <c r="L231" s="14" t="n">
        <v>84</v>
      </c>
      <c r="M231" s="13" t="inlineStr">
        <is>
          <t>de schuld aan de overheid stijgt (btw op inkomende creditnota)</t>
        </is>
      </c>
      <c r="N231" s="13" t="inlineStr">
        <is>
          <t>nee</t>
        </is>
      </c>
    </row>
    <row r="232">
      <c r="A232" s="12" t="n">
        <v>231</v>
      </c>
      <c r="B232" s="16" t="n">
        <v>46211</v>
      </c>
      <c r="C232" s="7" t="inlineStr">
        <is>
          <t>TJ</t>
        </is>
      </c>
      <c r="D232" s="13" t="inlineStr">
        <is>
          <t>K3</t>
        </is>
      </c>
      <c r="E232" s="13" t="inlineStr">
        <is>
          <t>Q3CA1</t>
        </is>
      </c>
      <c r="F232" s="13" t="inlineStr">
        <is>
          <t>CN-2026-044</t>
        </is>
      </c>
      <c r="G232" s="13" t="n">
        <v>440000</v>
      </c>
      <c r="H232" s="13">
        <f>INDEX('MAR 2e graad'!$B$2:$B$58,MATCH(G232,'MAR 2e graad'!$A$2:$A$58,0))</f>
        <v/>
      </c>
      <c r="I232" s="13">
        <f>INDEX('MAR 2e graad'!$C$2:$C$58,MATCH(G232,'MAR 2e graad'!$A$2:$A$58,0))</f>
        <v/>
      </c>
      <c r="J232" s="13">
        <f>IF(OR(I232="A",I232="K"),IF(K232&gt;0,"+","-"),IF(L232&gt;0,"+","-"))</f>
        <v/>
      </c>
      <c r="K232" s="14" t="n">
        <v>484</v>
      </c>
      <c r="L232" s="14" t="n"/>
      <c r="M232" s="13" t="inlineStr">
        <is>
          <t>de schuld aan de leverancier daalt</t>
        </is>
      </c>
      <c r="N232" s="13" t="inlineStr">
        <is>
          <t>nee</t>
        </is>
      </c>
    </row>
    <row r="233">
      <c r="A233" s="12" t="n">
        <v>232</v>
      </c>
      <c r="B233" s="16" t="n">
        <v>46213</v>
      </c>
      <c r="C233" s="7" t="inlineStr">
        <is>
          <t>TJ</t>
        </is>
      </c>
      <c r="D233" s="13" t="inlineStr">
        <is>
          <t>K3</t>
        </is>
      </c>
      <c r="E233" s="13" t="inlineStr">
        <is>
          <t>Q3A2</t>
        </is>
      </c>
      <c r="F233" s="13" t="inlineStr">
        <is>
          <t>BN-2026-061</t>
        </is>
      </c>
      <c r="G233" s="13" t="n">
        <v>613200</v>
      </c>
      <c r="H233" s="13">
        <f>INDEX('MAR 2e graad'!$B$2:$B$58,MATCH(G233,'MAR 2e graad'!$A$2:$A$58,0))</f>
        <v/>
      </c>
      <c r="I233" s="13">
        <f>INDEX('MAR 2e graad'!$C$2:$C$58,MATCH(G233,'MAR 2e graad'!$A$2:$A$58,0))</f>
        <v/>
      </c>
      <c r="J233" s="13">
        <f>IF(OR(I233="A",I233="K"),IF(K233&gt;0,"+","-"),IF(L233&gt;0,"+","-"))</f>
        <v/>
      </c>
      <c r="K233" s="14" t="n">
        <v>800</v>
      </c>
      <c r="L233" s="14" t="n"/>
      <c r="M233" s="13" t="inlineStr">
        <is>
          <t>de kosten voor diensten en diverse goederen stijgen</t>
        </is>
      </c>
      <c r="N233" s="13" t="inlineStr">
        <is>
          <t>nee</t>
        </is>
      </c>
    </row>
    <row r="234">
      <c r="A234" s="12" t="n">
        <v>233</v>
      </c>
      <c r="B234" s="16" t="n">
        <v>46213</v>
      </c>
      <c r="C234" s="7" t="inlineStr">
        <is>
          <t>TJ</t>
        </is>
      </c>
      <c r="D234" s="13" t="inlineStr">
        <is>
          <t>K3</t>
        </is>
      </c>
      <c r="E234" s="13" t="inlineStr">
        <is>
          <t>Q3A2</t>
        </is>
      </c>
      <c r="F234" s="13" t="inlineStr">
        <is>
          <t>BN-2026-061</t>
        </is>
      </c>
      <c r="G234" s="13" t="n">
        <v>411100</v>
      </c>
      <c r="H234" s="13">
        <f>INDEX('MAR 2e graad'!$B$2:$B$58,MATCH(G234,'MAR 2e graad'!$A$2:$A$58,0))</f>
        <v/>
      </c>
      <c r="I234" s="13">
        <f>INDEX('MAR 2e graad'!$C$2:$C$58,MATCH(G234,'MAR 2e graad'!$A$2:$A$58,0))</f>
        <v/>
      </c>
      <c r="J234" s="13">
        <f>IF(OR(I234="A",I234="K"),IF(K234&gt;0,"+","-"),IF(L234&gt;0,"+","-"))</f>
        <v/>
      </c>
      <c r="K234" s="14" t="n">
        <v>168</v>
      </c>
      <c r="L234" s="14" t="n"/>
      <c r="M234" s="13" t="inlineStr">
        <is>
          <t>de vordering op de overheid (aftrekbare btw) stijgt</t>
        </is>
      </c>
      <c r="N234" s="13" t="inlineStr">
        <is>
          <t>nee</t>
        </is>
      </c>
    </row>
    <row r="235">
      <c r="A235" s="12" t="n">
        <v>234</v>
      </c>
      <c r="B235" s="16" t="n">
        <v>46213</v>
      </c>
      <c r="C235" s="7" t="inlineStr">
        <is>
          <t>TJ</t>
        </is>
      </c>
      <c r="D235" s="13" t="inlineStr">
        <is>
          <t>K3</t>
        </is>
      </c>
      <c r="E235" s="13" t="inlineStr">
        <is>
          <t>Q3A2</t>
        </is>
      </c>
      <c r="F235" s="13" t="inlineStr">
        <is>
          <t>BN-2026-061</t>
        </is>
      </c>
      <c r="G235" s="13" t="n">
        <v>440000</v>
      </c>
      <c r="H235" s="13">
        <f>INDEX('MAR 2e graad'!$B$2:$B$58,MATCH(G235,'MAR 2e graad'!$A$2:$A$58,0))</f>
        <v/>
      </c>
      <c r="I235" s="13">
        <f>INDEX('MAR 2e graad'!$C$2:$C$58,MATCH(G235,'MAR 2e graad'!$A$2:$A$58,0))</f>
        <v/>
      </c>
      <c r="J235" s="13">
        <f>IF(OR(I235="A",I235="K"),IF(K235&gt;0,"+","-"),IF(L235&gt;0,"+","-"))</f>
        <v/>
      </c>
      <c r="K235" s="14" t="n"/>
      <c r="L235" s="14" t="n">
        <v>968</v>
      </c>
      <c r="M235" s="13" t="inlineStr">
        <is>
          <t>de schuld aan de leverancier stijgt</t>
        </is>
      </c>
      <c r="N235" s="13" t="inlineStr">
        <is>
          <t>nee</t>
        </is>
      </c>
    </row>
    <row r="236">
      <c r="A236" s="12" t="n">
        <v>235</v>
      </c>
      <c r="B236" s="16" t="n">
        <v>46217</v>
      </c>
      <c r="C236" s="7" t="inlineStr">
        <is>
          <t>TJ</t>
        </is>
      </c>
      <c r="D236" s="13" t="inlineStr">
        <is>
          <t>K3</t>
        </is>
      </c>
      <c r="E236" s="13" t="inlineStr">
        <is>
          <t>Q3V1</t>
        </is>
      </c>
      <c r="F236" s="13" t="inlineStr">
        <is>
          <t>2026-012</t>
        </is>
      </c>
      <c r="G236" s="13" t="n">
        <v>400000</v>
      </c>
      <c r="H236" s="13">
        <f>INDEX('MAR 2e graad'!$B$2:$B$58,MATCH(G236,'MAR 2e graad'!$A$2:$A$58,0))</f>
        <v/>
      </c>
      <c r="I236" s="13">
        <f>INDEX('MAR 2e graad'!$C$2:$C$58,MATCH(G236,'MAR 2e graad'!$A$2:$A$58,0))</f>
        <v/>
      </c>
      <c r="J236" s="13">
        <f>IF(OR(I236="A",I236="K"),IF(K236&gt;0,"+","-"),IF(L236&gt;0,"+","-"))</f>
        <v/>
      </c>
      <c r="K236" s="14" t="n">
        <v>3146</v>
      </c>
      <c r="L236" s="14" t="n"/>
      <c r="M236" s="13" t="inlineStr">
        <is>
          <t>de vordering op de klant stijgt</t>
        </is>
      </c>
      <c r="N236" s="13" t="inlineStr">
        <is>
          <t>nee</t>
        </is>
      </c>
    </row>
    <row r="237">
      <c r="A237" s="12" t="n">
        <v>236</v>
      </c>
      <c r="B237" s="16" t="n">
        <v>46217</v>
      </c>
      <c r="C237" s="7" t="inlineStr">
        <is>
          <t>TJ</t>
        </is>
      </c>
      <c r="D237" s="13" t="inlineStr">
        <is>
          <t>K3</t>
        </is>
      </c>
      <c r="E237" s="13" t="inlineStr">
        <is>
          <t>Q3V1</t>
        </is>
      </c>
      <c r="F237" s="13" t="inlineStr">
        <is>
          <t>2026-012</t>
        </is>
      </c>
      <c r="G237" s="13" t="n">
        <v>704000</v>
      </c>
      <c r="H237" s="13">
        <f>INDEX('MAR 2e graad'!$B$2:$B$58,MATCH(G237,'MAR 2e graad'!$A$2:$A$58,0))</f>
        <v/>
      </c>
      <c r="I237" s="13">
        <f>INDEX('MAR 2e graad'!$C$2:$C$58,MATCH(G237,'MAR 2e graad'!$A$2:$A$58,0))</f>
        <v/>
      </c>
      <c r="J237" s="13">
        <f>IF(OR(I237="A",I237="K"),IF(K237&gt;0,"+","-"),IF(L237&gt;0,"+","-"))</f>
        <v/>
      </c>
      <c r="K237" s="14" t="n"/>
      <c r="L237" s="14" t="n">
        <v>2400</v>
      </c>
      <c r="M237" s="13" t="inlineStr">
        <is>
          <t>de omzet stijgt</t>
        </is>
      </c>
      <c r="N237" s="13" t="inlineStr">
        <is>
          <t>nee</t>
        </is>
      </c>
    </row>
    <row r="238">
      <c r="A238" s="12" t="n">
        <v>237</v>
      </c>
      <c r="B238" s="16" t="n">
        <v>46217</v>
      </c>
      <c r="C238" s="7" t="inlineStr">
        <is>
          <t>TJ</t>
        </is>
      </c>
      <c r="D238" s="13" t="inlineStr">
        <is>
          <t>K3</t>
        </is>
      </c>
      <c r="E238" s="13" t="inlineStr">
        <is>
          <t>Q3V1</t>
        </is>
      </c>
      <c r="F238" s="13" t="inlineStr">
        <is>
          <t>2026-012</t>
        </is>
      </c>
      <c r="G238" s="13" t="n">
        <v>704000</v>
      </c>
      <c r="H238" s="13">
        <f>INDEX('MAR 2e graad'!$B$2:$B$58,MATCH(G238,'MAR 2e graad'!$A$2:$A$58,0))</f>
        <v/>
      </c>
      <c r="I238" s="13">
        <f>INDEX('MAR 2e graad'!$C$2:$C$58,MATCH(G238,'MAR 2e graad'!$A$2:$A$58,0))</f>
        <v/>
      </c>
      <c r="J238" s="13">
        <f>IF(OR(I238="A",I238="K"),IF(K238&gt;0,"+","-"),IF(L238&gt;0,"+","-"))</f>
        <v/>
      </c>
      <c r="K238" s="14" t="n"/>
      <c r="L238" s="14" t="n">
        <v>200</v>
      </c>
      <c r="M238" s="13" t="inlineStr">
        <is>
          <t>de omzet stijgt</t>
        </is>
      </c>
      <c r="N238" s="13" t="inlineStr">
        <is>
          <t>nee</t>
        </is>
      </c>
    </row>
    <row r="239">
      <c r="A239" s="12" t="n">
        <v>238</v>
      </c>
      <c r="B239" s="16" t="n">
        <v>46217</v>
      </c>
      <c r="C239" s="7" t="inlineStr">
        <is>
          <t>TJ</t>
        </is>
      </c>
      <c r="D239" s="13" t="inlineStr">
        <is>
          <t>K3</t>
        </is>
      </c>
      <c r="E239" s="13" t="inlineStr">
        <is>
          <t>Q3V1</t>
        </is>
      </c>
      <c r="F239" s="13" t="inlineStr">
        <is>
          <t>2026-012</t>
        </is>
      </c>
      <c r="G239" s="13" t="n">
        <v>451100</v>
      </c>
      <c r="H239" s="13">
        <f>INDEX('MAR 2e graad'!$B$2:$B$58,MATCH(G239,'MAR 2e graad'!$A$2:$A$58,0))</f>
        <v/>
      </c>
      <c r="I239" s="13">
        <f>INDEX('MAR 2e graad'!$C$2:$C$58,MATCH(G239,'MAR 2e graad'!$A$2:$A$58,0))</f>
        <v/>
      </c>
      <c r="J239" s="13">
        <f>IF(OR(I239="A",I239="K"),IF(K239&gt;0,"+","-"),IF(L239&gt;0,"+","-"))</f>
        <v/>
      </c>
      <c r="K239" s="14" t="n"/>
      <c r="L239" s="14" t="n">
        <v>546</v>
      </c>
      <c r="M239" s="13" t="inlineStr">
        <is>
          <t>de schuld aan de overheid (verschuldigde btw) stijgt</t>
        </is>
      </c>
      <c r="N239" s="13" t="inlineStr">
        <is>
          <t>nee</t>
        </is>
      </c>
    </row>
    <row r="240">
      <c r="A240" s="12" t="n">
        <v>239</v>
      </c>
      <c r="B240" s="16" t="n">
        <v>46224</v>
      </c>
      <c r="C240" s="7" t="inlineStr">
        <is>
          <t>TJ</t>
        </is>
      </c>
      <c r="D240" s="13" t="inlineStr">
        <is>
          <t>K3</t>
        </is>
      </c>
      <c r="E240" s="13" t="inlineStr">
        <is>
          <t>Q3CV1</t>
        </is>
      </c>
      <c r="F240" s="13" t="inlineStr">
        <is>
          <t>CN-2026-007</t>
        </is>
      </c>
      <c r="G240" s="13" t="n">
        <v>400000</v>
      </c>
      <c r="H240" s="13">
        <f>INDEX('MAR 2e graad'!$B$2:$B$58,MATCH(G240,'MAR 2e graad'!$A$2:$A$58,0))</f>
        <v/>
      </c>
      <c r="I240" s="13">
        <f>INDEX('MAR 2e graad'!$C$2:$C$58,MATCH(G240,'MAR 2e graad'!$A$2:$A$58,0))</f>
        <v/>
      </c>
      <c r="J240" s="13">
        <f>IF(OR(I240="A",I240="K"),IF(K240&gt;0,"+","-"),IF(L240&gt;0,"+","-"))</f>
        <v/>
      </c>
      <c r="K240" s="14" t="n"/>
      <c r="L240" s="14" t="n">
        <v>726</v>
      </c>
      <c r="M240" s="13" t="inlineStr">
        <is>
          <t>de vordering op de klant daalt</t>
        </is>
      </c>
      <c r="N240" s="13" t="inlineStr">
        <is>
          <t>nee</t>
        </is>
      </c>
    </row>
    <row r="241">
      <c r="A241" s="12" t="n">
        <v>240</v>
      </c>
      <c r="B241" s="16" t="n">
        <v>46224</v>
      </c>
      <c r="C241" s="7" t="inlineStr">
        <is>
          <t>TJ</t>
        </is>
      </c>
      <c r="D241" s="13" t="inlineStr">
        <is>
          <t>K3</t>
        </is>
      </c>
      <c r="E241" s="13" t="inlineStr">
        <is>
          <t>Q3CV1</t>
        </is>
      </c>
      <c r="F241" s="13" t="inlineStr">
        <is>
          <t>CN-2026-007</t>
        </is>
      </c>
      <c r="G241" s="13" t="n">
        <v>704010</v>
      </c>
      <c r="H241" s="13">
        <f>INDEX('MAR 2e graad'!$B$2:$B$58,MATCH(G241,'MAR 2e graad'!$A$2:$A$58,0))</f>
        <v/>
      </c>
      <c r="I241" s="13">
        <f>INDEX('MAR 2e graad'!$C$2:$C$58,MATCH(G241,'MAR 2e graad'!$A$2:$A$58,0))</f>
        <v/>
      </c>
      <c r="J241" s="13">
        <f>IF(OR(I241="A",I241="K"),IF(K241&gt;0,"+","-"),IF(L241&gt;0,"+","-"))</f>
        <v/>
      </c>
      <c r="K241" s="14" t="n">
        <v>600</v>
      </c>
      <c r="L241" s="14" t="n"/>
      <c r="M241" s="13" t="inlineStr">
        <is>
          <t>de omzet daalt (retour)</t>
        </is>
      </c>
      <c r="N241" s="13" t="inlineStr">
        <is>
          <t>nee</t>
        </is>
      </c>
    </row>
    <row r="242">
      <c r="A242" s="12" t="n">
        <v>241</v>
      </c>
      <c r="B242" s="16" t="n">
        <v>46224</v>
      </c>
      <c r="C242" s="7" t="inlineStr">
        <is>
          <t>TJ</t>
        </is>
      </c>
      <c r="D242" s="13" t="inlineStr">
        <is>
          <t>K3</t>
        </is>
      </c>
      <c r="E242" s="13" t="inlineStr">
        <is>
          <t>Q3CV1</t>
        </is>
      </c>
      <c r="F242" s="13" t="inlineStr">
        <is>
          <t>CN-2026-007</t>
        </is>
      </c>
      <c r="G242" s="13" t="n">
        <v>411200</v>
      </c>
      <c r="H242" s="13">
        <f>INDEX('MAR 2e graad'!$B$2:$B$58,MATCH(G242,'MAR 2e graad'!$A$2:$A$58,0))</f>
        <v/>
      </c>
      <c r="I242" s="13">
        <f>INDEX('MAR 2e graad'!$C$2:$C$58,MATCH(G242,'MAR 2e graad'!$A$2:$A$58,0))</f>
        <v/>
      </c>
      <c r="J242" s="13">
        <f>IF(OR(I242="A",I242="K"),IF(K242&gt;0,"+","-"),IF(L242&gt;0,"+","-"))</f>
        <v/>
      </c>
      <c r="K242" s="14" t="n">
        <v>126</v>
      </c>
      <c r="L242" s="14" t="n"/>
      <c r="M242" s="13" t="inlineStr">
        <is>
          <t>de vordering op de overheid stijgt (btw op uitgaande creditnota)</t>
        </is>
      </c>
      <c r="N242" s="13" t="inlineStr">
        <is>
          <t>nee</t>
        </is>
      </c>
    </row>
    <row r="243">
      <c r="A243" s="12" t="n">
        <v>242</v>
      </c>
      <c r="B243" s="16" t="n">
        <v>46227</v>
      </c>
      <c r="C243" s="7" t="inlineStr">
        <is>
          <t>TJ</t>
        </is>
      </c>
      <c r="D243" s="13" t="inlineStr">
        <is>
          <t>K3</t>
        </is>
      </c>
      <c r="E243" s="13" t="inlineStr">
        <is>
          <t>U2026-11/1</t>
        </is>
      </c>
      <c r="F243" s="13" t="inlineStr">
        <is>
          <t>uittreksel U2026-11/1</t>
        </is>
      </c>
      <c r="G243" s="13" t="n">
        <v>440000</v>
      </c>
      <c r="H243" s="13">
        <f>INDEX('MAR 2e graad'!$B$2:$B$58,MATCH(G243,'MAR 2e graad'!$A$2:$A$58,0))</f>
        <v/>
      </c>
      <c r="I243" s="13">
        <f>INDEX('MAR 2e graad'!$C$2:$C$58,MATCH(G243,'MAR 2e graad'!$A$2:$A$58,0))</f>
        <v/>
      </c>
      <c r="J243" s="13">
        <f>IF(OR(I243="A",I243="K"),IF(K243&gt;0,"+","-"),IF(L243&gt;0,"+","-"))</f>
        <v/>
      </c>
      <c r="K243" s="14" t="n">
        <v>11132</v>
      </c>
      <c r="L243" s="14" t="n"/>
      <c r="M243" s="13" t="inlineStr">
        <is>
          <t>de schuld aan de leverancier daalt</t>
        </is>
      </c>
      <c r="N243" s="13" t="inlineStr">
        <is>
          <t>nee</t>
        </is>
      </c>
    </row>
    <row r="244">
      <c r="A244" s="12" t="n">
        <v>243</v>
      </c>
      <c r="B244" s="16" t="n">
        <v>46227</v>
      </c>
      <c r="C244" s="7" t="inlineStr">
        <is>
          <t>TJ</t>
        </is>
      </c>
      <c r="D244" s="13" t="inlineStr">
        <is>
          <t>K3</t>
        </is>
      </c>
      <c r="E244" s="13" t="inlineStr">
        <is>
          <t>U2026-11/1</t>
        </is>
      </c>
      <c r="F244" s="13" t="inlineStr">
        <is>
          <t>uittreksel U2026-11/1</t>
        </is>
      </c>
      <c r="G244" s="13" t="n">
        <v>550000</v>
      </c>
      <c r="H244" s="13">
        <f>INDEX('MAR 2e graad'!$B$2:$B$58,MATCH(G244,'MAR 2e graad'!$A$2:$A$58,0))</f>
        <v/>
      </c>
      <c r="I244" s="13">
        <f>INDEX('MAR 2e graad'!$C$2:$C$58,MATCH(G244,'MAR 2e graad'!$A$2:$A$58,0))</f>
        <v/>
      </c>
      <c r="J244" s="13">
        <f>IF(OR(I244="A",I244="K"),IF(K244&gt;0,"+","-"),IF(L244&gt;0,"+","-"))</f>
        <v/>
      </c>
      <c r="K244" s="14" t="n"/>
      <c r="L244" s="14" t="n">
        <v>11132</v>
      </c>
      <c r="M244" s="13" t="inlineStr">
        <is>
          <t>de bank daalt</t>
        </is>
      </c>
      <c r="N244" s="13" t="inlineStr">
        <is>
          <t>nee</t>
        </is>
      </c>
    </row>
    <row r="245">
      <c r="A245" s="12" t="n">
        <v>244</v>
      </c>
      <c r="B245" s="16" t="n">
        <v>46227</v>
      </c>
      <c r="C245" s="7" t="inlineStr">
        <is>
          <t>TJ</t>
        </is>
      </c>
      <c r="D245" s="13" t="inlineStr">
        <is>
          <t>K3</t>
        </is>
      </c>
      <c r="E245" s="13" t="inlineStr">
        <is>
          <t>U2026-11/2</t>
        </is>
      </c>
      <c r="F245" s="13" t="inlineStr">
        <is>
          <t>uittreksel U2026-11/2</t>
        </is>
      </c>
      <c r="G245" s="13" t="n">
        <v>440000</v>
      </c>
      <c r="H245" s="13">
        <f>INDEX('MAR 2e graad'!$B$2:$B$58,MATCH(G245,'MAR 2e graad'!$A$2:$A$58,0))</f>
        <v/>
      </c>
      <c r="I245" s="13">
        <f>INDEX('MAR 2e graad'!$C$2:$C$58,MATCH(G245,'MAR 2e graad'!$A$2:$A$58,0))</f>
        <v/>
      </c>
      <c r="J245" s="13">
        <f>IF(OR(I245="A",I245="K"),IF(K245&gt;0,"+","-"),IF(L245&gt;0,"+","-"))</f>
        <v/>
      </c>
      <c r="K245" s="14" t="n">
        <v>968</v>
      </c>
      <c r="L245" s="14" t="n"/>
      <c r="M245" s="13" t="inlineStr">
        <is>
          <t>de schuld aan de leverancier daalt</t>
        </is>
      </c>
      <c r="N245" s="13" t="inlineStr">
        <is>
          <t>nee</t>
        </is>
      </c>
    </row>
    <row r="246">
      <c r="A246" s="12" t="n">
        <v>245</v>
      </c>
      <c r="B246" s="16" t="n">
        <v>46227</v>
      </c>
      <c r="C246" s="7" t="inlineStr">
        <is>
          <t>TJ</t>
        </is>
      </c>
      <c r="D246" s="13" t="inlineStr">
        <is>
          <t>K3</t>
        </is>
      </c>
      <c r="E246" s="13" t="inlineStr">
        <is>
          <t>U2026-11/2</t>
        </is>
      </c>
      <c r="F246" s="13" t="inlineStr">
        <is>
          <t>uittreksel U2026-11/2</t>
        </is>
      </c>
      <c r="G246" s="13" t="n">
        <v>550000</v>
      </c>
      <c r="H246" s="13">
        <f>INDEX('MAR 2e graad'!$B$2:$B$58,MATCH(G246,'MAR 2e graad'!$A$2:$A$58,0))</f>
        <v/>
      </c>
      <c r="I246" s="13">
        <f>INDEX('MAR 2e graad'!$C$2:$C$58,MATCH(G246,'MAR 2e graad'!$A$2:$A$58,0))</f>
        <v/>
      </c>
      <c r="J246" s="13">
        <f>IF(OR(I246="A",I246="K"),IF(K246&gt;0,"+","-"),IF(L246&gt;0,"+","-"))</f>
        <v/>
      </c>
      <c r="K246" s="14" t="n"/>
      <c r="L246" s="14" t="n">
        <v>968</v>
      </c>
      <c r="M246" s="13" t="inlineStr">
        <is>
          <t>de bank daalt</t>
        </is>
      </c>
      <c r="N246" s="13" t="inlineStr">
        <is>
          <t>nee</t>
        </is>
      </c>
    </row>
    <row r="247">
      <c r="A247" s="12" t="n">
        <v>246</v>
      </c>
      <c r="B247" s="16" t="n">
        <v>46227</v>
      </c>
      <c r="C247" s="7" t="inlineStr">
        <is>
          <t>TJ</t>
        </is>
      </c>
      <c r="D247" s="13" t="inlineStr">
        <is>
          <t>K3</t>
        </is>
      </c>
      <c r="E247" s="13" t="inlineStr">
        <is>
          <t>U2026-11/3</t>
        </is>
      </c>
      <c r="F247" s="13" t="inlineStr">
        <is>
          <t>uittreksel U2026-11/3</t>
        </is>
      </c>
      <c r="G247" s="13" t="n">
        <v>550000</v>
      </c>
      <c r="H247" s="13">
        <f>INDEX('MAR 2e graad'!$B$2:$B$58,MATCH(G247,'MAR 2e graad'!$A$2:$A$58,0))</f>
        <v/>
      </c>
      <c r="I247" s="13">
        <f>INDEX('MAR 2e graad'!$C$2:$C$58,MATCH(G247,'MAR 2e graad'!$A$2:$A$58,0))</f>
        <v/>
      </c>
      <c r="J247" s="13">
        <f>IF(OR(I247="A",I247="K"),IF(K247&gt;0,"+","-"),IF(L247&gt;0,"+","-"))</f>
        <v/>
      </c>
      <c r="K247" s="14" t="n">
        <v>2420</v>
      </c>
      <c r="L247" s="14" t="n"/>
      <c r="M247" s="13" t="inlineStr">
        <is>
          <t>de bank stijgt</t>
        </is>
      </c>
      <c r="N247" s="13" t="inlineStr">
        <is>
          <t>nee</t>
        </is>
      </c>
    </row>
    <row r="248">
      <c r="A248" s="12" t="n">
        <v>247</v>
      </c>
      <c r="B248" s="16" t="n">
        <v>46227</v>
      </c>
      <c r="C248" s="7" t="inlineStr">
        <is>
          <t>TJ</t>
        </is>
      </c>
      <c r="D248" s="13" t="inlineStr">
        <is>
          <t>K3</t>
        </is>
      </c>
      <c r="E248" s="13" t="inlineStr">
        <is>
          <t>U2026-11/3</t>
        </is>
      </c>
      <c r="F248" s="13" t="inlineStr">
        <is>
          <t>uittreksel U2026-11/3</t>
        </is>
      </c>
      <c r="G248" s="13" t="n">
        <v>400000</v>
      </c>
      <c r="H248" s="13">
        <f>INDEX('MAR 2e graad'!$B$2:$B$58,MATCH(G248,'MAR 2e graad'!$A$2:$A$58,0))</f>
        <v/>
      </c>
      <c r="I248" s="13">
        <f>INDEX('MAR 2e graad'!$C$2:$C$58,MATCH(G248,'MAR 2e graad'!$A$2:$A$58,0))</f>
        <v/>
      </c>
      <c r="J248" s="13">
        <f>IF(OR(I248="A",I248="K"),IF(K248&gt;0,"+","-"),IF(L248&gt;0,"+","-"))</f>
        <v/>
      </c>
      <c r="K248" s="14" t="n"/>
      <c r="L248" s="14" t="n">
        <v>2420</v>
      </c>
      <c r="M248" s="13" t="inlineStr">
        <is>
          <t>de vordering op de klant daalt</t>
        </is>
      </c>
      <c r="N248" s="13" t="inlineStr">
        <is>
          <t>nee</t>
        </is>
      </c>
    </row>
    <row r="249">
      <c r="A249" s="12" t="n">
        <v>248</v>
      </c>
      <c r="B249" s="16" t="n">
        <v>46238</v>
      </c>
      <c r="C249" s="7" t="inlineStr">
        <is>
          <t>TJ</t>
        </is>
      </c>
      <c r="D249" s="13" t="inlineStr">
        <is>
          <t>K3</t>
        </is>
      </c>
      <c r="E249" s="13" t="inlineStr">
        <is>
          <t>Q3V2</t>
        </is>
      </c>
      <c r="F249" s="13" t="inlineStr">
        <is>
          <t>2026-013</t>
        </is>
      </c>
      <c r="G249" s="13" t="n">
        <v>400000</v>
      </c>
      <c r="H249" s="13">
        <f>INDEX('MAR 2e graad'!$B$2:$B$58,MATCH(G249,'MAR 2e graad'!$A$2:$A$58,0))</f>
        <v/>
      </c>
      <c r="I249" s="13">
        <f>INDEX('MAR 2e graad'!$C$2:$C$58,MATCH(G249,'MAR 2e graad'!$A$2:$A$58,0))</f>
        <v/>
      </c>
      <c r="J249" s="13">
        <f>IF(OR(I249="A",I249="K"),IF(K249&gt;0,"+","-"),IF(L249&gt;0,"+","-"))</f>
        <v/>
      </c>
      <c r="K249" s="14" t="n">
        <v>7986</v>
      </c>
      <c r="L249" s="14" t="n"/>
      <c r="M249" s="13" t="inlineStr">
        <is>
          <t>de vordering op de klant stijgt</t>
        </is>
      </c>
      <c r="N249" s="13" t="inlineStr">
        <is>
          <t>nee</t>
        </is>
      </c>
    </row>
    <row r="250">
      <c r="A250" s="12" t="n">
        <v>249</v>
      </c>
      <c r="B250" s="16" t="n">
        <v>46238</v>
      </c>
      <c r="C250" s="7" t="inlineStr">
        <is>
          <t>TJ</t>
        </is>
      </c>
      <c r="D250" s="13" t="inlineStr">
        <is>
          <t>K3</t>
        </is>
      </c>
      <c r="E250" s="13" t="inlineStr">
        <is>
          <t>Q3V2</t>
        </is>
      </c>
      <c r="F250" s="13" t="inlineStr">
        <is>
          <t>2026-013</t>
        </is>
      </c>
      <c r="G250" s="13" t="n">
        <v>704000</v>
      </c>
      <c r="H250" s="13">
        <f>INDEX('MAR 2e graad'!$B$2:$B$58,MATCH(G250,'MAR 2e graad'!$A$2:$A$58,0))</f>
        <v/>
      </c>
      <c r="I250" s="13">
        <f>INDEX('MAR 2e graad'!$C$2:$C$58,MATCH(G250,'MAR 2e graad'!$A$2:$A$58,0))</f>
        <v/>
      </c>
      <c r="J250" s="13">
        <f>IF(OR(I250="A",I250="K"),IF(K250&gt;0,"+","-"),IF(L250&gt;0,"+","-"))</f>
        <v/>
      </c>
      <c r="K250" s="14" t="n"/>
      <c r="L250" s="14" t="n">
        <v>2600</v>
      </c>
      <c r="M250" s="13" t="inlineStr">
        <is>
          <t>de omzet stijgt</t>
        </is>
      </c>
      <c r="N250" s="13" t="inlineStr">
        <is>
          <t>nee</t>
        </is>
      </c>
    </row>
    <row r="251">
      <c r="A251" s="12" t="n">
        <v>250</v>
      </c>
      <c r="B251" s="16" t="n">
        <v>46238</v>
      </c>
      <c r="C251" s="7" t="inlineStr">
        <is>
          <t>TJ</t>
        </is>
      </c>
      <c r="D251" s="13" t="inlineStr">
        <is>
          <t>K3</t>
        </is>
      </c>
      <c r="E251" s="13" t="inlineStr">
        <is>
          <t>Q3V2</t>
        </is>
      </c>
      <c r="F251" s="13" t="inlineStr">
        <is>
          <t>2026-013</t>
        </is>
      </c>
      <c r="G251" s="13" t="n">
        <v>704000</v>
      </c>
      <c r="H251" s="13">
        <f>INDEX('MAR 2e graad'!$B$2:$B$58,MATCH(G251,'MAR 2e graad'!$A$2:$A$58,0))</f>
        <v/>
      </c>
      <c r="I251" s="13">
        <f>INDEX('MAR 2e graad'!$C$2:$C$58,MATCH(G251,'MAR 2e graad'!$A$2:$A$58,0))</f>
        <v/>
      </c>
      <c r="J251" s="13">
        <f>IF(OR(I251="A",I251="K"),IF(K251&gt;0,"+","-"),IF(L251&gt;0,"+","-"))</f>
        <v/>
      </c>
      <c r="K251" s="14" t="n"/>
      <c r="L251" s="14" t="n">
        <v>4000</v>
      </c>
      <c r="M251" s="13" t="inlineStr">
        <is>
          <t>de omzet stijgt</t>
        </is>
      </c>
      <c r="N251" s="13" t="inlineStr">
        <is>
          <t>nee</t>
        </is>
      </c>
    </row>
    <row r="252">
      <c r="A252" s="12" t="n">
        <v>251</v>
      </c>
      <c r="B252" s="16" t="n">
        <v>46238</v>
      </c>
      <c r="C252" s="7" t="inlineStr">
        <is>
          <t>TJ</t>
        </is>
      </c>
      <c r="D252" s="13" t="inlineStr">
        <is>
          <t>K3</t>
        </is>
      </c>
      <c r="E252" s="13" t="inlineStr">
        <is>
          <t>Q3V2</t>
        </is>
      </c>
      <c r="F252" s="13" t="inlineStr">
        <is>
          <t>2026-013</t>
        </is>
      </c>
      <c r="G252" s="13" t="n">
        <v>451100</v>
      </c>
      <c r="H252" s="13">
        <f>INDEX('MAR 2e graad'!$B$2:$B$58,MATCH(G252,'MAR 2e graad'!$A$2:$A$58,0))</f>
        <v/>
      </c>
      <c r="I252" s="13">
        <f>INDEX('MAR 2e graad'!$C$2:$C$58,MATCH(G252,'MAR 2e graad'!$A$2:$A$58,0))</f>
        <v/>
      </c>
      <c r="J252" s="13">
        <f>IF(OR(I252="A",I252="K"),IF(K252&gt;0,"+","-"),IF(L252&gt;0,"+","-"))</f>
        <v/>
      </c>
      <c r="K252" s="14" t="n"/>
      <c r="L252" s="14" t="n">
        <v>1386</v>
      </c>
      <c r="M252" s="13" t="inlineStr">
        <is>
          <t>de schuld aan de overheid (verschuldigde btw) stijgt</t>
        </is>
      </c>
      <c r="N252" s="13" t="inlineStr">
        <is>
          <t>nee</t>
        </is>
      </c>
    </row>
    <row r="253">
      <c r="A253" s="12" t="n">
        <v>252</v>
      </c>
      <c r="B253" s="16" t="n">
        <v>46251</v>
      </c>
      <c r="C253" s="7" t="inlineStr">
        <is>
          <t>TJ</t>
        </is>
      </c>
      <c r="D253" s="13" t="inlineStr">
        <is>
          <t>K3</t>
        </is>
      </c>
      <c r="E253" s="13" t="inlineStr">
        <is>
          <t>U2026-12/1</t>
        </is>
      </c>
      <c r="F253" s="13" t="inlineStr">
        <is>
          <t>uittreksel U2026-12/1</t>
        </is>
      </c>
      <c r="G253" s="13" t="n">
        <v>550000</v>
      </c>
      <c r="H253" s="13">
        <f>INDEX('MAR 2e graad'!$B$2:$B$58,MATCH(G253,'MAR 2e graad'!$A$2:$A$58,0))</f>
        <v/>
      </c>
      <c r="I253" s="13">
        <f>INDEX('MAR 2e graad'!$C$2:$C$58,MATCH(G253,'MAR 2e graad'!$A$2:$A$58,0))</f>
        <v/>
      </c>
      <c r="J253" s="13">
        <f>IF(OR(I253="A",I253="K"),IF(K253&gt;0,"+","-"),IF(L253&gt;0,"+","-"))</f>
        <v/>
      </c>
      <c r="K253" s="14" t="n">
        <v>7986</v>
      </c>
      <c r="L253" s="14" t="n"/>
      <c r="M253" s="13" t="inlineStr">
        <is>
          <t>de bank stijgt</t>
        </is>
      </c>
      <c r="N253" s="13" t="inlineStr">
        <is>
          <t>nee</t>
        </is>
      </c>
    </row>
    <row r="254">
      <c r="A254" s="12" t="n">
        <v>253</v>
      </c>
      <c r="B254" s="16" t="n">
        <v>46251</v>
      </c>
      <c r="C254" s="7" t="inlineStr">
        <is>
          <t>TJ</t>
        </is>
      </c>
      <c r="D254" s="13" t="inlineStr">
        <is>
          <t>K3</t>
        </is>
      </c>
      <c r="E254" s="13" t="inlineStr">
        <is>
          <t>U2026-12/1</t>
        </is>
      </c>
      <c r="F254" s="13" t="inlineStr">
        <is>
          <t>uittreksel U2026-12/1</t>
        </is>
      </c>
      <c r="G254" s="13" t="n">
        <v>400000</v>
      </c>
      <c r="H254" s="13">
        <f>INDEX('MAR 2e graad'!$B$2:$B$58,MATCH(G254,'MAR 2e graad'!$A$2:$A$58,0))</f>
        <v/>
      </c>
      <c r="I254" s="13">
        <f>INDEX('MAR 2e graad'!$C$2:$C$58,MATCH(G254,'MAR 2e graad'!$A$2:$A$58,0))</f>
        <v/>
      </c>
      <c r="J254" s="13">
        <f>IF(OR(I254="A",I254="K"),IF(K254&gt;0,"+","-"),IF(L254&gt;0,"+","-"))</f>
        <v/>
      </c>
      <c r="K254" s="14" t="n"/>
      <c r="L254" s="14" t="n">
        <v>7986</v>
      </c>
      <c r="M254" s="13" t="inlineStr">
        <is>
          <t>de vordering op de klant daalt</t>
        </is>
      </c>
      <c r="N254" s="13" t="inlineStr">
        <is>
          <t>nee</t>
        </is>
      </c>
    </row>
    <row r="255">
      <c r="A255" s="12" t="n">
        <v>254</v>
      </c>
      <c r="B255" s="16" t="n">
        <v>46251</v>
      </c>
      <c r="C255" s="7" t="inlineStr">
        <is>
          <t>TJ</t>
        </is>
      </c>
      <c r="D255" s="13" t="inlineStr">
        <is>
          <t>K3</t>
        </is>
      </c>
      <c r="E255" s="13" t="inlineStr">
        <is>
          <t>U2026-12/2</t>
        </is>
      </c>
      <c r="F255" s="13" t="inlineStr">
        <is>
          <t>uittreksel U2026-12/2</t>
        </is>
      </c>
      <c r="G255" s="13" t="n">
        <v>440000</v>
      </c>
      <c r="H255" s="13">
        <f>INDEX('MAR 2e graad'!$B$2:$B$58,MATCH(G255,'MAR 2e graad'!$A$2:$A$58,0))</f>
        <v/>
      </c>
      <c r="I255" s="13">
        <f>INDEX('MAR 2e graad'!$C$2:$C$58,MATCH(G255,'MAR 2e graad'!$A$2:$A$58,0))</f>
        <v/>
      </c>
      <c r="J255" s="13">
        <f>IF(OR(I255="A",I255="K"),IF(K255&gt;0,"+","-"),IF(L255&gt;0,"+","-"))</f>
        <v/>
      </c>
      <c r="K255" s="14" t="n">
        <v>1210</v>
      </c>
      <c r="L255" s="14" t="n"/>
      <c r="M255" s="13" t="inlineStr">
        <is>
          <t>de schuld aan de leverancier daalt</t>
        </is>
      </c>
      <c r="N255" s="13" t="inlineStr">
        <is>
          <t>nee</t>
        </is>
      </c>
    </row>
    <row r="256">
      <c r="A256" s="12" t="n">
        <v>255</v>
      </c>
      <c r="B256" s="16" t="n">
        <v>46251</v>
      </c>
      <c r="C256" s="7" t="inlineStr">
        <is>
          <t>TJ</t>
        </is>
      </c>
      <c r="D256" s="13" t="inlineStr">
        <is>
          <t>K3</t>
        </is>
      </c>
      <c r="E256" s="13" t="inlineStr">
        <is>
          <t>U2026-12/2</t>
        </is>
      </c>
      <c r="F256" s="13" t="inlineStr">
        <is>
          <t>uittreksel U2026-12/2</t>
        </is>
      </c>
      <c r="G256" s="13" t="n">
        <v>550000</v>
      </c>
      <c r="H256" s="13">
        <f>INDEX('MAR 2e graad'!$B$2:$B$58,MATCH(G256,'MAR 2e graad'!$A$2:$A$58,0))</f>
        <v/>
      </c>
      <c r="I256" s="13">
        <f>INDEX('MAR 2e graad'!$C$2:$C$58,MATCH(G256,'MAR 2e graad'!$A$2:$A$58,0))</f>
        <v/>
      </c>
      <c r="J256" s="13">
        <f>IF(OR(I256="A",I256="K"),IF(K256&gt;0,"+","-"),IF(L256&gt;0,"+","-"))</f>
        <v/>
      </c>
      <c r="K256" s="14" t="n"/>
      <c r="L256" s="14" t="n">
        <v>1210</v>
      </c>
      <c r="M256" s="13" t="inlineStr">
        <is>
          <t>de bank daalt</t>
        </is>
      </c>
      <c r="N256" s="13" t="inlineStr">
        <is>
          <t>nee</t>
        </is>
      </c>
    </row>
    <row r="257">
      <c r="A257" s="12" t="n">
        <v>256</v>
      </c>
      <c r="B257" s="16" t="n">
        <v>46254</v>
      </c>
      <c r="C257" s="7" t="inlineStr">
        <is>
          <t>TJ</t>
        </is>
      </c>
      <c r="D257" s="13" t="inlineStr">
        <is>
          <t>K3</t>
        </is>
      </c>
      <c r="E257" s="13" t="inlineStr">
        <is>
          <t>Q3CA2</t>
        </is>
      </c>
      <c r="F257" s="13" t="inlineStr">
        <is>
          <t>HH-CN-26-019</t>
        </is>
      </c>
      <c r="G257" s="13" t="n">
        <v>604010</v>
      </c>
      <c r="H257" s="13">
        <f>INDEX('MAR 2e graad'!$B$2:$B$58,MATCH(G257,'MAR 2e graad'!$A$2:$A$58,0))</f>
        <v/>
      </c>
      <c r="I257" s="13">
        <f>INDEX('MAR 2e graad'!$C$2:$C$58,MATCH(G257,'MAR 2e graad'!$A$2:$A$58,0))</f>
        <v/>
      </c>
      <c r="J257" s="13">
        <f>IF(OR(I257="A",I257="K"),IF(K257&gt;0,"+","-"),IF(L257&gt;0,"+","-"))</f>
        <v/>
      </c>
      <c r="K257" s="14" t="n"/>
      <c r="L257" s="14" t="n">
        <v>300</v>
      </c>
      <c r="M257" s="13" t="inlineStr">
        <is>
          <t>de kosten voor handelsgoederen dalen (retour)</t>
        </is>
      </c>
      <c r="N257" s="13" t="inlineStr">
        <is>
          <t>nee</t>
        </is>
      </c>
    </row>
    <row r="258">
      <c r="A258" s="12" t="n">
        <v>257</v>
      </c>
      <c r="B258" s="16" t="n">
        <v>46254</v>
      </c>
      <c r="C258" s="7" t="inlineStr">
        <is>
          <t>TJ</t>
        </is>
      </c>
      <c r="D258" s="13" t="inlineStr">
        <is>
          <t>K3</t>
        </is>
      </c>
      <c r="E258" s="13" t="inlineStr">
        <is>
          <t>Q3CA2</t>
        </is>
      </c>
      <c r="F258" s="13" t="inlineStr">
        <is>
          <t>HH-CN-26-019</t>
        </is>
      </c>
      <c r="G258" s="13" t="n">
        <v>451200</v>
      </c>
      <c r="H258" s="13">
        <f>INDEX('MAR 2e graad'!$B$2:$B$58,MATCH(G258,'MAR 2e graad'!$A$2:$A$58,0))</f>
        <v/>
      </c>
      <c r="I258" s="13">
        <f>INDEX('MAR 2e graad'!$C$2:$C$58,MATCH(G258,'MAR 2e graad'!$A$2:$A$58,0))</f>
        <v/>
      </c>
      <c r="J258" s="13">
        <f>IF(OR(I258="A",I258="K"),IF(K258&gt;0,"+","-"),IF(L258&gt;0,"+","-"))</f>
        <v/>
      </c>
      <c r="K258" s="14" t="n"/>
      <c r="L258" s="14" t="n">
        <v>63</v>
      </c>
      <c r="M258" s="13" t="inlineStr">
        <is>
          <t>de schuld aan de overheid stijgt (btw op inkomende creditnota)</t>
        </is>
      </c>
      <c r="N258" s="13" t="inlineStr">
        <is>
          <t>nee</t>
        </is>
      </c>
    </row>
    <row r="259">
      <c r="A259" s="12" t="n">
        <v>258</v>
      </c>
      <c r="B259" s="16" t="n">
        <v>46254</v>
      </c>
      <c r="C259" s="7" t="inlineStr">
        <is>
          <t>TJ</t>
        </is>
      </c>
      <c r="D259" s="13" t="inlineStr">
        <is>
          <t>K3</t>
        </is>
      </c>
      <c r="E259" s="13" t="inlineStr">
        <is>
          <t>Q3CA2</t>
        </is>
      </c>
      <c r="F259" s="13" t="inlineStr">
        <is>
          <t>HH-CN-26-019</t>
        </is>
      </c>
      <c r="G259" s="13" t="n">
        <v>440000</v>
      </c>
      <c r="H259" s="13">
        <f>INDEX('MAR 2e graad'!$B$2:$B$58,MATCH(G259,'MAR 2e graad'!$A$2:$A$58,0))</f>
        <v/>
      </c>
      <c r="I259" s="13">
        <f>INDEX('MAR 2e graad'!$C$2:$C$58,MATCH(G259,'MAR 2e graad'!$A$2:$A$58,0))</f>
        <v/>
      </c>
      <c r="J259" s="13">
        <f>IF(OR(I259="A",I259="K"),IF(K259&gt;0,"+","-"),IF(L259&gt;0,"+","-"))</f>
        <v/>
      </c>
      <c r="K259" s="14" t="n">
        <v>363</v>
      </c>
      <c r="L259" s="14" t="n"/>
      <c r="M259" s="13" t="inlineStr">
        <is>
          <t>de schuld aan de leverancier daalt</t>
        </is>
      </c>
      <c r="N259" s="13" t="inlineStr">
        <is>
          <t>nee</t>
        </is>
      </c>
    </row>
    <row r="260">
      <c r="A260" s="12" t="n">
        <v>259</v>
      </c>
      <c r="B260" s="16" t="n">
        <v>46260</v>
      </c>
      <c r="C260" s="7" t="inlineStr">
        <is>
          <t>TJ</t>
        </is>
      </c>
      <c r="D260" s="13" t="inlineStr">
        <is>
          <t>K3</t>
        </is>
      </c>
      <c r="E260" s="13" t="inlineStr">
        <is>
          <t>Q3V3</t>
        </is>
      </c>
      <c r="F260" s="13" t="inlineStr">
        <is>
          <t>2026-014</t>
        </is>
      </c>
      <c r="G260" s="13" t="n">
        <v>400000</v>
      </c>
      <c r="H260" s="13">
        <f>INDEX('MAR 2e graad'!$B$2:$B$58,MATCH(G260,'MAR 2e graad'!$A$2:$A$58,0))</f>
        <v/>
      </c>
      <c r="I260" s="13">
        <f>INDEX('MAR 2e graad'!$C$2:$C$58,MATCH(G260,'MAR 2e graad'!$A$2:$A$58,0))</f>
        <v/>
      </c>
      <c r="J260" s="13">
        <f>IF(OR(I260="A",I260="K"),IF(K260&gt;0,"+","-"),IF(L260&gt;0,"+","-"))</f>
        <v/>
      </c>
      <c r="K260" s="14" t="n">
        <v>1060</v>
      </c>
      <c r="L260" s="14" t="n"/>
      <c r="M260" s="13" t="inlineStr">
        <is>
          <t>de vordering op de klant stijgt</t>
        </is>
      </c>
      <c r="N260" s="13" t="inlineStr">
        <is>
          <t>nee</t>
        </is>
      </c>
    </row>
    <row r="261">
      <c r="A261" s="12" t="n">
        <v>260</v>
      </c>
      <c r="B261" s="16" t="n">
        <v>46260</v>
      </c>
      <c r="C261" s="7" t="inlineStr">
        <is>
          <t>TJ</t>
        </is>
      </c>
      <c r="D261" s="13" t="inlineStr">
        <is>
          <t>K3</t>
        </is>
      </c>
      <c r="E261" s="13" t="inlineStr">
        <is>
          <t>Q3V3</t>
        </is>
      </c>
      <c r="F261" s="13" t="inlineStr">
        <is>
          <t>2026-014</t>
        </is>
      </c>
      <c r="G261" s="13" t="n">
        <v>700000</v>
      </c>
      <c r="H261" s="13">
        <f>INDEX('MAR 2e graad'!$B$2:$B$58,MATCH(G261,'MAR 2e graad'!$A$2:$A$58,0))</f>
        <v/>
      </c>
      <c r="I261" s="13">
        <f>INDEX('MAR 2e graad'!$C$2:$C$58,MATCH(G261,'MAR 2e graad'!$A$2:$A$58,0))</f>
        <v/>
      </c>
      <c r="J261" s="13">
        <f>IF(OR(I261="A",I261="K"),IF(K261&gt;0,"+","-"),IF(L261&gt;0,"+","-"))</f>
        <v/>
      </c>
      <c r="K261" s="14" t="n"/>
      <c r="L261" s="14" t="n">
        <v>1000</v>
      </c>
      <c r="M261" s="13" t="inlineStr">
        <is>
          <t>de omzet (diensten) stijgt</t>
        </is>
      </c>
      <c r="N261" s="13" t="inlineStr">
        <is>
          <t>nee</t>
        </is>
      </c>
    </row>
    <row r="262">
      <c r="A262" s="12" t="n">
        <v>261</v>
      </c>
      <c r="B262" s="16" t="n">
        <v>46260</v>
      </c>
      <c r="C262" s="7" t="inlineStr">
        <is>
          <t>TJ</t>
        </is>
      </c>
      <c r="D262" s="13" t="inlineStr">
        <is>
          <t>K3</t>
        </is>
      </c>
      <c r="E262" s="13" t="inlineStr">
        <is>
          <t>Q3V3</t>
        </is>
      </c>
      <c r="F262" s="13" t="inlineStr">
        <is>
          <t>2026-014</t>
        </is>
      </c>
      <c r="G262" s="13" t="n">
        <v>451100</v>
      </c>
      <c r="H262" s="13">
        <f>INDEX('MAR 2e graad'!$B$2:$B$58,MATCH(G262,'MAR 2e graad'!$A$2:$A$58,0))</f>
        <v/>
      </c>
      <c r="I262" s="13">
        <f>INDEX('MAR 2e graad'!$C$2:$C$58,MATCH(G262,'MAR 2e graad'!$A$2:$A$58,0))</f>
        <v/>
      </c>
      <c r="J262" s="13">
        <f>IF(OR(I262="A",I262="K"),IF(K262&gt;0,"+","-"),IF(L262&gt;0,"+","-"))</f>
        <v/>
      </c>
      <c r="K262" s="14" t="n"/>
      <c r="L262" s="14" t="n">
        <v>60</v>
      </c>
      <c r="M262" s="13" t="inlineStr">
        <is>
          <t>de schuld aan de overheid (verschuldigde btw) stijgt</t>
        </is>
      </c>
      <c r="N262" s="13" t="inlineStr">
        <is>
          <t>nee</t>
        </is>
      </c>
    </row>
    <row r="263">
      <c r="A263" s="12" t="n">
        <v>262</v>
      </c>
      <c r="B263" s="16" t="n">
        <v>46269</v>
      </c>
      <c r="C263" s="7" t="inlineStr">
        <is>
          <t>TJ</t>
        </is>
      </c>
      <c r="D263" s="13" t="inlineStr">
        <is>
          <t>K3</t>
        </is>
      </c>
      <c r="E263" s="13" t="inlineStr">
        <is>
          <t>U2026-13/1</t>
        </is>
      </c>
      <c r="F263" s="13" t="inlineStr">
        <is>
          <t>uittreksel U2026-13/1</t>
        </is>
      </c>
      <c r="G263" s="13" t="n">
        <v>550000</v>
      </c>
      <c r="H263" s="13">
        <f>INDEX('MAR 2e graad'!$B$2:$B$58,MATCH(G263,'MAR 2e graad'!$A$2:$A$58,0))</f>
        <v/>
      </c>
      <c r="I263" s="13">
        <f>INDEX('MAR 2e graad'!$C$2:$C$58,MATCH(G263,'MAR 2e graad'!$A$2:$A$58,0))</f>
        <v/>
      </c>
      <c r="J263" s="13">
        <f>IF(OR(I263="A",I263="K"),IF(K263&gt;0,"+","-"),IF(L263&gt;0,"+","-"))</f>
        <v/>
      </c>
      <c r="K263" s="14" t="n">
        <v>363</v>
      </c>
      <c r="L263" s="14" t="n"/>
      <c r="M263" s="13" t="inlineStr">
        <is>
          <t>de bank stijgt</t>
        </is>
      </c>
      <c r="N263" s="13" t="inlineStr">
        <is>
          <t>nee</t>
        </is>
      </c>
    </row>
    <row r="264">
      <c r="A264" s="12" t="n">
        <v>263</v>
      </c>
      <c r="B264" s="16" t="n">
        <v>46269</v>
      </c>
      <c r="C264" s="7" t="inlineStr">
        <is>
          <t>TJ</t>
        </is>
      </c>
      <c r="D264" s="13" t="inlineStr">
        <is>
          <t>K3</t>
        </is>
      </c>
      <c r="E264" s="13" t="inlineStr">
        <is>
          <t>U2026-13/1</t>
        </is>
      </c>
      <c r="F264" s="13" t="inlineStr">
        <is>
          <t>uittreksel U2026-13/1</t>
        </is>
      </c>
      <c r="G264" s="13" t="n">
        <v>440000</v>
      </c>
      <c r="H264" s="13">
        <f>INDEX('MAR 2e graad'!$B$2:$B$58,MATCH(G264,'MAR 2e graad'!$A$2:$A$58,0))</f>
        <v/>
      </c>
      <c r="I264" s="13">
        <f>INDEX('MAR 2e graad'!$C$2:$C$58,MATCH(G264,'MAR 2e graad'!$A$2:$A$58,0))</f>
        <v/>
      </c>
      <c r="J264" s="13">
        <f>IF(OR(I264="A",I264="K"),IF(K264&gt;0,"+","-"),IF(L264&gt;0,"+","-"))</f>
        <v/>
      </c>
      <c r="K264" s="14" t="n"/>
      <c r="L264" s="14" t="n">
        <v>363</v>
      </c>
      <c r="M264" s="13" t="inlineStr">
        <is>
          <t>de vordering op de leverancier (creditnota) daalt</t>
        </is>
      </c>
      <c r="N264" s="13" t="inlineStr">
        <is>
          <t>nee</t>
        </is>
      </c>
    </row>
    <row r="265">
      <c r="A265" s="12" t="n">
        <v>264</v>
      </c>
      <c r="B265" s="16" t="n">
        <v>46269</v>
      </c>
      <c r="C265" s="7" t="inlineStr">
        <is>
          <t>TJ</t>
        </is>
      </c>
      <c r="D265" s="13" t="inlineStr">
        <is>
          <t>K3</t>
        </is>
      </c>
      <c r="E265" s="13" t="inlineStr">
        <is>
          <t>U2026-13/2</t>
        </is>
      </c>
      <c r="F265" s="13" t="inlineStr">
        <is>
          <t>uittreksel U2026-13/2</t>
        </is>
      </c>
      <c r="G265" s="13" t="n">
        <v>550000</v>
      </c>
      <c r="H265" s="13">
        <f>INDEX('MAR 2e graad'!$B$2:$B$58,MATCH(G265,'MAR 2e graad'!$A$2:$A$58,0))</f>
        <v/>
      </c>
      <c r="I265" s="13">
        <f>INDEX('MAR 2e graad'!$C$2:$C$58,MATCH(G265,'MAR 2e graad'!$A$2:$A$58,0))</f>
        <v/>
      </c>
      <c r="J265" s="13">
        <f>IF(OR(I265="A",I265="K"),IF(K265&gt;0,"+","-"),IF(L265&gt;0,"+","-"))</f>
        <v/>
      </c>
      <c r="K265" s="14" t="n">
        <v>1060</v>
      </c>
      <c r="L265" s="14" t="n"/>
      <c r="M265" s="13" t="inlineStr">
        <is>
          <t>de bank stijgt</t>
        </is>
      </c>
      <c r="N265" s="13" t="inlineStr">
        <is>
          <t>nee</t>
        </is>
      </c>
    </row>
    <row r="266">
      <c r="A266" s="12" t="n">
        <v>265</v>
      </c>
      <c r="B266" s="16" t="n">
        <v>46269</v>
      </c>
      <c r="C266" s="7" t="inlineStr">
        <is>
          <t>TJ</t>
        </is>
      </c>
      <c r="D266" s="13" t="inlineStr">
        <is>
          <t>K3</t>
        </is>
      </c>
      <c r="E266" s="13" t="inlineStr">
        <is>
          <t>U2026-13/2</t>
        </is>
      </c>
      <c r="F266" s="13" t="inlineStr">
        <is>
          <t>uittreksel U2026-13/2</t>
        </is>
      </c>
      <c r="G266" s="13" t="n">
        <v>400000</v>
      </c>
      <c r="H266" s="13">
        <f>INDEX('MAR 2e graad'!$B$2:$B$58,MATCH(G266,'MAR 2e graad'!$A$2:$A$58,0))</f>
        <v/>
      </c>
      <c r="I266" s="13">
        <f>INDEX('MAR 2e graad'!$C$2:$C$58,MATCH(G266,'MAR 2e graad'!$A$2:$A$58,0))</f>
        <v/>
      </c>
      <c r="J266" s="13">
        <f>IF(OR(I266="A",I266="K"),IF(K266&gt;0,"+","-"),IF(L266&gt;0,"+","-"))</f>
        <v/>
      </c>
      <c r="K266" s="14" t="n"/>
      <c r="L266" s="14" t="n">
        <v>1060</v>
      </c>
      <c r="M266" s="13" t="inlineStr">
        <is>
          <t>de vordering op de klant daalt</t>
        </is>
      </c>
      <c r="N266" s="13" t="inlineStr">
        <is>
          <t>nee</t>
        </is>
      </c>
    </row>
    <row r="267">
      <c r="A267" s="12" t="n">
        <v>266</v>
      </c>
      <c r="B267" s="16" t="n">
        <v>46296</v>
      </c>
      <c r="C267" s="8" t="inlineStr">
        <is>
          <t>REMEDIERING</t>
        </is>
      </c>
      <c r="D267" s="13" t="inlineStr">
        <is>
          <t>K4</t>
        </is>
      </c>
      <c r="E267" s="13" t="inlineStr">
        <is>
          <t>Q4A1</t>
        </is>
      </c>
      <c r="F267" s="13" t="inlineStr">
        <is>
          <t>2026-1003</t>
        </is>
      </c>
      <c r="G267" s="13" t="n">
        <v>604000</v>
      </c>
      <c r="H267" s="13">
        <f>INDEX('MAR 2e graad'!$B$2:$B$58,MATCH(G267,'MAR 2e graad'!$A$2:$A$58,0))</f>
        <v/>
      </c>
      <c r="I267" s="13">
        <f>INDEX('MAR 2e graad'!$C$2:$C$58,MATCH(G267,'MAR 2e graad'!$A$2:$A$58,0))</f>
        <v/>
      </c>
      <c r="J267" s="13">
        <f>IF(OR(I267="A",I267="K"),IF(K267&gt;0,"+","-"),IF(L267&gt;0,"+","-"))</f>
        <v/>
      </c>
      <c r="K267" s="14" t="n">
        <v>2400</v>
      </c>
      <c r="L267" s="14" t="n"/>
      <c r="M267" s="13" t="inlineStr">
        <is>
          <t>de kosten voor handelsgoederen stijgen</t>
        </is>
      </c>
      <c r="N267" s="13" t="inlineStr">
        <is>
          <t>nee</t>
        </is>
      </c>
    </row>
    <row r="268">
      <c r="A268" s="12" t="n">
        <v>267</v>
      </c>
      <c r="B268" s="16" t="n">
        <v>46296</v>
      </c>
      <c r="C268" s="8" t="inlineStr">
        <is>
          <t>REMEDIERING</t>
        </is>
      </c>
      <c r="D268" s="13" t="inlineStr">
        <is>
          <t>K4</t>
        </is>
      </c>
      <c r="E268" s="13" t="inlineStr">
        <is>
          <t>Q4A1</t>
        </is>
      </c>
      <c r="F268" s="13" t="inlineStr">
        <is>
          <t>2026-1003</t>
        </is>
      </c>
      <c r="G268" s="13" t="n">
        <v>604000</v>
      </c>
      <c r="H268" s="13">
        <f>INDEX('MAR 2e graad'!$B$2:$B$58,MATCH(G268,'MAR 2e graad'!$A$2:$A$58,0))</f>
        <v/>
      </c>
      <c r="I268" s="13">
        <f>INDEX('MAR 2e graad'!$C$2:$C$58,MATCH(G268,'MAR 2e graad'!$A$2:$A$58,0))</f>
        <v/>
      </c>
      <c r="J268" s="13">
        <f>IF(OR(I268="A",I268="K"),IF(K268&gt;0,"+","-"),IF(L268&gt;0,"+","-"))</f>
        <v/>
      </c>
      <c r="K268" s="14" t="n">
        <v>4200</v>
      </c>
      <c r="L268" s="14" t="n"/>
      <c r="M268" s="13" t="inlineStr">
        <is>
          <t>de kosten voor handelsgoederen stijgen</t>
        </is>
      </c>
      <c r="N268" s="13" t="inlineStr">
        <is>
          <t>nee</t>
        </is>
      </c>
    </row>
    <row r="269">
      <c r="A269" s="12" t="n">
        <v>268</v>
      </c>
      <c r="B269" s="16" t="n">
        <v>46296</v>
      </c>
      <c r="C269" s="8" t="inlineStr">
        <is>
          <t>REMEDIERING</t>
        </is>
      </c>
      <c r="D269" s="13" t="inlineStr">
        <is>
          <t>K4</t>
        </is>
      </c>
      <c r="E269" s="13" t="inlineStr">
        <is>
          <t>Q4A1</t>
        </is>
      </c>
      <c r="F269" s="13" t="inlineStr">
        <is>
          <t>2026-1003</t>
        </is>
      </c>
      <c r="G269" s="13" t="n">
        <v>411100</v>
      </c>
      <c r="H269" s="13">
        <f>INDEX('MAR 2e graad'!$B$2:$B$58,MATCH(G269,'MAR 2e graad'!$A$2:$A$58,0))</f>
        <v/>
      </c>
      <c r="I269" s="13">
        <f>INDEX('MAR 2e graad'!$C$2:$C$58,MATCH(G269,'MAR 2e graad'!$A$2:$A$58,0))</f>
        <v/>
      </c>
      <c r="J269" s="13">
        <f>IF(OR(I269="A",I269="K"),IF(K269&gt;0,"+","-"),IF(L269&gt;0,"+","-"))</f>
        <v/>
      </c>
      <c r="K269" s="14" t="n">
        <v>1386</v>
      </c>
      <c r="L269" s="14" t="n"/>
      <c r="M269" s="13" t="inlineStr">
        <is>
          <t>de vordering op de overheid (aftrekbare btw) stijgt</t>
        </is>
      </c>
      <c r="N269" s="13" t="inlineStr">
        <is>
          <t>nee</t>
        </is>
      </c>
    </row>
    <row r="270">
      <c r="A270" s="12" t="n">
        <v>269</v>
      </c>
      <c r="B270" s="16" t="n">
        <v>46296</v>
      </c>
      <c r="C270" s="8" t="inlineStr">
        <is>
          <t>REMEDIERING</t>
        </is>
      </c>
      <c r="D270" s="13" t="inlineStr">
        <is>
          <t>K4</t>
        </is>
      </c>
      <c r="E270" s="13" t="inlineStr">
        <is>
          <t>Q4A1</t>
        </is>
      </c>
      <c r="F270" s="13" t="inlineStr">
        <is>
          <t>2026-1003</t>
        </is>
      </c>
      <c r="G270" s="13" t="n">
        <v>440000</v>
      </c>
      <c r="H270" s="13">
        <f>INDEX('MAR 2e graad'!$B$2:$B$58,MATCH(G270,'MAR 2e graad'!$A$2:$A$58,0))</f>
        <v/>
      </c>
      <c r="I270" s="13">
        <f>INDEX('MAR 2e graad'!$C$2:$C$58,MATCH(G270,'MAR 2e graad'!$A$2:$A$58,0))</f>
        <v/>
      </c>
      <c r="J270" s="13">
        <f>IF(OR(I270="A",I270="K"),IF(K270&gt;0,"+","-"),IF(L270&gt;0,"+","-"))</f>
        <v/>
      </c>
      <c r="K270" s="14" t="n"/>
      <c r="L270" s="14" t="n">
        <v>7986</v>
      </c>
      <c r="M270" s="13" t="inlineStr">
        <is>
          <t>de schuld aan de leverancier stijgt</t>
        </is>
      </c>
      <c r="N270" s="13" t="inlineStr">
        <is>
          <t>nee</t>
        </is>
      </c>
    </row>
    <row r="271">
      <c r="A271" s="12" t="n">
        <v>270</v>
      </c>
      <c r="B271" s="16" t="n">
        <v>46302</v>
      </c>
      <c r="C271" s="8" t="inlineStr">
        <is>
          <t>REMEDIERING</t>
        </is>
      </c>
      <c r="D271" s="13" t="inlineStr">
        <is>
          <t>K4</t>
        </is>
      </c>
      <c r="E271" s="13" t="inlineStr">
        <is>
          <t>Q4A2</t>
        </is>
      </c>
      <c r="F271" s="13" t="inlineStr">
        <is>
          <t>KT-0981</t>
        </is>
      </c>
      <c r="G271" s="13" t="n">
        <v>240200</v>
      </c>
      <c r="H271" s="13">
        <f>INDEX('MAR 2e graad'!$B$2:$B$58,MATCH(G271,'MAR 2e graad'!$A$2:$A$58,0))</f>
        <v/>
      </c>
      <c r="I271" s="13">
        <f>INDEX('MAR 2e graad'!$C$2:$C$58,MATCH(G271,'MAR 2e graad'!$A$2:$A$58,0))</f>
        <v/>
      </c>
      <c r="J271" s="13">
        <f>IF(OR(I271="A",I271="K"),IF(K271&gt;0,"+","-"),IF(L271&gt;0,"+","-"))</f>
        <v/>
      </c>
      <c r="K271" s="14" t="n">
        <v>900</v>
      </c>
      <c r="L271" s="14" t="n"/>
      <c r="M271" s="13" t="inlineStr">
        <is>
          <t>het vast actief stijgt</t>
        </is>
      </c>
      <c r="N271" s="13" t="inlineStr">
        <is>
          <t>nee</t>
        </is>
      </c>
    </row>
    <row r="272">
      <c r="A272" s="12" t="n">
        <v>271</v>
      </c>
      <c r="B272" s="16" t="n">
        <v>46302</v>
      </c>
      <c r="C272" s="8" t="inlineStr">
        <is>
          <t>REMEDIERING</t>
        </is>
      </c>
      <c r="D272" s="13" t="inlineStr">
        <is>
          <t>K4</t>
        </is>
      </c>
      <c r="E272" s="13" t="inlineStr">
        <is>
          <t>Q4A2</t>
        </is>
      </c>
      <c r="F272" s="13" t="inlineStr">
        <is>
          <t>KT-0981</t>
        </is>
      </c>
      <c r="G272" s="13" t="n">
        <v>411100</v>
      </c>
      <c r="H272" s="13">
        <f>INDEX('MAR 2e graad'!$B$2:$B$58,MATCH(G272,'MAR 2e graad'!$A$2:$A$58,0))</f>
        <v/>
      </c>
      <c r="I272" s="13">
        <f>INDEX('MAR 2e graad'!$C$2:$C$58,MATCH(G272,'MAR 2e graad'!$A$2:$A$58,0))</f>
        <v/>
      </c>
      <c r="J272" s="13">
        <f>IF(OR(I272="A",I272="K"),IF(K272&gt;0,"+","-"),IF(L272&gt;0,"+","-"))</f>
        <v/>
      </c>
      <c r="K272" s="14" t="n">
        <v>189</v>
      </c>
      <c r="L272" s="14" t="n"/>
      <c r="M272" s="13" t="inlineStr">
        <is>
          <t>de vordering op de overheid (aftrekbare btw) stijgt</t>
        </is>
      </c>
      <c r="N272" s="13" t="inlineStr">
        <is>
          <t>nee</t>
        </is>
      </c>
    </row>
    <row r="273">
      <c r="A273" s="12" t="n">
        <v>272</v>
      </c>
      <c r="B273" s="16" t="n">
        <v>46302</v>
      </c>
      <c r="C273" s="8" t="inlineStr">
        <is>
          <t>REMEDIERING</t>
        </is>
      </c>
      <c r="D273" s="13" t="inlineStr">
        <is>
          <t>K4</t>
        </is>
      </c>
      <c r="E273" s="13" t="inlineStr">
        <is>
          <t>Q4A2</t>
        </is>
      </c>
      <c r="F273" s="13" t="inlineStr">
        <is>
          <t>KT-0981</t>
        </is>
      </c>
      <c r="G273" s="13" t="n">
        <v>440000</v>
      </c>
      <c r="H273" s="13">
        <f>INDEX('MAR 2e graad'!$B$2:$B$58,MATCH(G273,'MAR 2e graad'!$A$2:$A$58,0))</f>
        <v/>
      </c>
      <c r="I273" s="13">
        <f>INDEX('MAR 2e graad'!$C$2:$C$58,MATCH(G273,'MAR 2e graad'!$A$2:$A$58,0))</f>
        <v/>
      </c>
      <c r="J273" s="13">
        <f>IF(OR(I273="A",I273="K"),IF(K273&gt;0,"+","-"),IF(L273&gt;0,"+","-"))</f>
        <v/>
      </c>
      <c r="K273" s="14" t="n"/>
      <c r="L273" s="14" t="n">
        <v>1089</v>
      </c>
      <c r="M273" s="13" t="inlineStr">
        <is>
          <t>de schuld aan de leverancier stijgt</t>
        </is>
      </c>
      <c r="N273" s="13" t="inlineStr">
        <is>
          <t>nee</t>
        </is>
      </c>
    </row>
    <row r="274">
      <c r="A274" s="12" t="n">
        <v>273</v>
      </c>
      <c r="B274" s="16" t="n">
        <v>46304</v>
      </c>
      <c r="C274" s="8" t="inlineStr">
        <is>
          <t>REMEDIERING</t>
        </is>
      </c>
      <c r="D274" s="13" t="inlineStr">
        <is>
          <t>K4</t>
        </is>
      </c>
      <c r="E274" s="13" t="inlineStr">
        <is>
          <t>Q4V1</t>
        </is>
      </c>
      <c r="F274" s="13" t="inlineStr">
        <is>
          <t>2026-015</t>
        </is>
      </c>
      <c r="G274" s="13" t="n">
        <v>400000</v>
      </c>
      <c r="H274" s="13">
        <f>INDEX('MAR 2e graad'!$B$2:$B$58,MATCH(G274,'MAR 2e graad'!$A$2:$A$58,0))</f>
        <v/>
      </c>
      <c r="I274" s="13">
        <f>INDEX('MAR 2e graad'!$C$2:$C$58,MATCH(G274,'MAR 2e graad'!$A$2:$A$58,0))</f>
        <v/>
      </c>
      <c r="J274" s="13">
        <f>IF(OR(I274="A",I274="K"),IF(K274&gt;0,"+","-"),IF(L274&gt;0,"+","-"))</f>
        <v/>
      </c>
      <c r="K274" s="14" t="n">
        <v>5203</v>
      </c>
      <c r="L274" s="14" t="n"/>
      <c r="M274" s="13" t="inlineStr">
        <is>
          <t>de vordering op de klant stijgt</t>
        </is>
      </c>
      <c r="N274" s="13" t="inlineStr">
        <is>
          <t>nee</t>
        </is>
      </c>
    </row>
    <row r="275">
      <c r="A275" s="12" t="n">
        <v>274</v>
      </c>
      <c r="B275" s="16" t="n">
        <v>46304</v>
      </c>
      <c r="C275" s="8" t="inlineStr">
        <is>
          <t>REMEDIERING</t>
        </is>
      </c>
      <c r="D275" s="13" t="inlineStr">
        <is>
          <t>K4</t>
        </is>
      </c>
      <c r="E275" s="13" t="inlineStr">
        <is>
          <t>Q4V1</t>
        </is>
      </c>
      <c r="F275" s="13" t="inlineStr">
        <is>
          <t>2026-015</t>
        </is>
      </c>
      <c r="G275" s="13" t="n">
        <v>704000</v>
      </c>
      <c r="H275" s="13">
        <f>INDEX('MAR 2e graad'!$B$2:$B$58,MATCH(G275,'MAR 2e graad'!$A$2:$A$58,0))</f>
        <v/>
      </c>
      <c r="I275" s="13">
        <f>INDEX('MAR 2e graad'!$C$2:$C$58,MATCH(G275,'MAR 2e graad'!$A$2:$A$58,0))</f>
        <v/>
      </c>
      <c r="J275" s="13">
        <f>IF(OR(I275="A",I275="K"),IF(K275&gt;0,"+","-"),IF(L275&gt;0,"+","-"))</f>
        <v/>
      </c>
      <c r="K275" s="14" t="n"/>
      <c r="L275" s="14" t="n">
        <v>3600</v>
      </c>
      <c r="M275" s="13" t="inlineStr">
        <is>
          <t>de omzet stijgt</t>
        </is>
      </c>
      <c r="N275" s="13" t="inlineStr">
        <is>
          <t>nee</t>
        </is>
      </c>
    </row>
    <row r="276">
      <c r="A276" s="12" t="n">
        <v>275</v>
      </c>
      <c r="B276" s="16" t="n">
        <v>46304</v>
      </c>
      <c r="C276" s="8" t="inlineStr">
        <is>
          <t>REMEDIERING</t>
        </is>
      </c>
      <c r="D276" s="13" t="inlineStr">
        <is>
          <t>K4</t>
        </is>
      </c>
      <c r="E276" s="13" t="inlineStr">
        <is>
          <t>Q4V1</t>
        </is>
      </c>
      <c r="F276" s="13" t="inlineStr">
        <is>
          <t>2026-015</t>
        </is>
      </c>
      <c r="G276" s="13" t="n">
        <v>704000</v>
      </c>
      <c r="H276" s="13">
        <f>INDEX('MAR 2e graad'!$B$2:$B$58,MATCH(G276,'MAR 2e graad'!$A$2:$A$58,0))</f>
        <v/>
      </c>
      <c r="I276" s="13">
        <f>INDEX('MAR 2e graad'!$C$2:$C$58,MATCH(G276,'MAR 2e graad'!$A$2:$A$58,0))</f>
        <v/>
      </c>
      <c r="J276" s="13">
        <f>IF(OR(I276="A",I276="K"),IF(K276&gt;0,"+","-"),IF(L276&gt;0,"+","-"))</f>
        <v/>
      </c>
      <c r="K276" s="14" t="n"/>
      <c r="L276" s="14" t="n">
        <v>700</v>
      </c>
      <c r="M276" s="13" t="inlineStr">
        <is>
          <t>de omzet stijgt</t>
        </is>
      </c>
      <c r="N276" s="13" t="inlineStr">
        <is>
          <t>nee</t>
        </is>
      </c>
    </row>
    <row r="277">
      <c r="A277" s="12" t="n">
        <v>276</v>
      </c>
      <c r="B277" s="16" t="n">
        <v>46304</v>
      </c>
      <c r="C277" s="8" t="inlineStr">
        <is>
          <t>REMEDIERING</t>
        </is>
      </c>
      <c r="D277" s="13" t="inlineStr">
        <is>
          <t>K4</t>
        </is>
      </c>
      <c r="E277" s="13" t="inlineStr">
        <is>
          <t>Q4V1</t>
        </is>
      </c>
      <c r="F277" s="13" t="inlineStr">
        <is>
          <t>2026-015</t>
        </is>
      </c>
      <c r="G277" s="13" t="n">
        <v>451100</v>
      </c>
      <c r="H277" s="13">
        <f>INDEX('MAR 2e graad'!$B$2:$B$58,MATCH(G277,'MAR 2e graad'!$A$2:$A$58,0))</f>
        <v/>
      </c>
      <c r="I277" s="13">
        <f>INDEX('MAR 2e graad'!$C$2:$C$58,MATCH(G277,'MAR 2e graad'!$A$2:$A$58,0))</f>
        <v/>
      </c>
      <c r="J277" s="13">
        <f>IF(OR(I277="A",I277="K"),IF(K277&gt;0,"+","-"),IF(L277&gt;0,"+","-"))</f>
        <v/>
      </c>
      <c r="K277" s="14" t="n"/>
      <c r="L277" s="14" t="n">
        <v>903</v>
      </c>
      <c r="M277" s="13" t="inlineStr">
        <is>
          <t>de schuld aan de overheid (verschuldigde btw) stijgt</t>
        </is>
      </c>
      <c r="N277" s="13" t="inlineStr">
        <is>
          <t>nee</t>
        </is>
      </c>
    </row>
    <row r="278">
      <c r="A278" s="12" t="n">
        <v>277</v>
      </c>
      <c r="B278" s="16" t="n">
        <v>46305</v>
      </c>
      <c r="C278" s="8" t="inlineStr">
        <is>
          <t>REMEDIERING</t>
        </is>
      </c>
      <c r="D278" s="13" t="inlineStr">
        <is>
          <t>K4</t>
        </is>
      </c>
      <c r="E278" s="13" t="inlineStr">
        <is>
          <t>Q4CA1</t>
        </is>
      </c>
      <c r="F278" s="13" t="inlineStr">
        <is>
          <t>CN-2026-061</t>
        </is>
      </c>
      <c r="G278" s="13" t="n">
        <v>604010</v>
      </c>
      <c r="H278" s="13">
        <f>INDEX('MAR 2e graad'!$B$2:$B$58,MATCH(G278,'MAR 2e graad'!$A$2:$A$58,0))</f>
        <v/>
      </c>
      <c r="I278" s="13">
        <f>INDEX('MAR 2e graad'!$C$2:$C$58,MATCH(G278,'MAR 2e graad'!$A$2:$A$58,0))</f>
        <v/>
      </c>
      <c r="J278" s="13">
        <f>IF(OR(I278="A",I278="K"),IF(K278&gt;0,"+","-"),IF(L278&gt;0,"+","-"))</f>
        <v/>
      </c>
      <c r="K278" s="14" t="n"/>
      <c r="L278" s="14" t="n">
        <v>1400</v>
      </c>
      <c r="M278" s="13" t="inlineStr">
        <is>
          <t>de kosten voor handelsgoederen dalen (retour)</t>
        </is>
      </c>
      <c r="N278" s="13" t="inlineStr">
        <is>
          <t>nee</t>
        </is>
      </c>
    </row>
    <row r="279">
      <c r="A279" s="12" t="n">
        <v>278</v>
      </c>
      <c r="B279" s="16" t="n">
        <v>46305</v>
      </c>
      <c r="C279" s="8" t="inlineStr">
        <is>
          <t>REMEDIERING</t>
        </is>
      </c>
      <c r="D279" s="13" t="inlineStr">
        <is>
          <t>K4</t>
        </is>
      </c>
      <c r="E279" s="13" t="inlineStr">
        <is>
          <t>Q4CA1</t>
        </is>
      </c>
      <c r="F279" s="13" t="inlineStr">
        <is>
          <t>CN-2026-061</t>
        </is>
      </c>
      <c r="G279" s="13" t="n">
        <v>451200</v>
      </c>
      <c r="H279" s="13">
        <f>INDEX('MAR 2e graad'!$B$2:$B$58,MATCH(G279,'MAR 2e graad'!$A$2:$A$58,0))</f>
        <v/>
      </c>
      <c r="I279" s="13">
        <f>INDEX('MAR 2e graad'!$C$2:$C$58,MATCH(G279,'MAR 2e graad'!$A$2:$A$58,0))</f>
        <v/>
      </c>
      <c r="J279" s="13">
        <f>IF(OR(I279="A",I279="K"),IF(K279&gt;0,"+","-"),IF(L279&gt;0,"+","-"))</f>
        <v/>
      </c>
      <c r="K279" s="14" t="n"/>
      <c r="L279" s="14" t="n">
        <v>294</v>
      </c>
      <c r="M279" s="13" t="inlineStr">
        <is>
          <t>de schuld aan de overheid stijgt (btw op inkomende creditnota)</t>
        </is>
      </c>
      <c r="N279" s="13" t="inlineStr">
        <is>
          <t>nee</t>
        </is>
      </c>
    </row>
    <row r="280">
      <c r="A280" s="12" t="n">
        <v>279</v>
      </c>
      <c r="B280" s="16" t="n">
        <v>46305</v>
      </c>
      <c r="C280" s="8" t="inlineStr">
        <is>
          <t>REMEDIERING</t>
        </is>
      </c>
      <c r="D280" s="13" t="inlineStr">
        <is>
          <t>K4</t>
        </is>
      </c>
      <c r="E280" s="13" t="inlineStr">
        <is>
          <t>Q4CA1</t>
        </is>
      </c>
      <c r="F280" s="13" t="inlineStr">
        <is>
          <t>CN-2026-061</t>
        </is>
      </c>
      <c r="G280" s="13" t="n">
        <v>440000</v>
      </c>
      <c r="H280" s="13">
        <f>INDEX('MAR 2e graad'!$B$2:$B$58,MATCH(G280,'MAR 2e graad'!$A$2:$A$58,0))</f>
        <v/>
      </c>
      <c r="I280" s="13">
        <f>INDEX('MAR 2e graad'!$C$2:$C$58,MATCH(G280,'MAR 2e graad'!$A$2:$A$58,0))</f>
        <v/>
      </c>
      <c r="J280" s="13">
        <f>IF(OR(I280="A",I280="K"),IF(K280&gt;0,"+","-"),IF(L280&gt;0,"+","-"))</f>
        <v/>
      </c>
      <c r="K280" s="14" t="n">
        <v>1694</v>
      </c>
      <c r="L280" s="14" t="n"/>
      <c r="M280" s="13" t="inlineStr">
        <is>
          <t>de schuld aan de leverancier daalt</t>
        </is>
      </c>
      <c r="N280" s="13" t="inlineStr">
        <is>
          <t>nee</t>
        </is>
      </c>
    </row>
    <row r="281">
      <c r="A281" s="12" t="n">
        <v>280</v>
      </c>
      <c r="B281" s="16" t="n">
        <v>46309</v>
      </c>
      <c r="C281" s="8" t="inlineStr">
        <is>
          <t>REMEDIERING</t>
        </is>
      </c>
      <c r="D281" s="13" t="inlineStr">
        <is>
          <t>K4</t>
        </is>
      </c>
      <c r="E281" s="13" t="inlineStr">
        <is>
          <t>Q4CV1</t>
        </is>
      </c>
      <c r="F281" s="13" t="inlineStr">
        <is>
          <t>CN-2026-008</t>
        </is>
      </c>
      <c r="G281" s="13" t="n">
        <v>400000</v>
      </c>
      <c r="H281" s="13">
        <f>INDEX('MAR 2e graad'!$B$2:$B$58,MATCH(G281,'MAR 2e graad'!$A$2:$A$58,0))</f>
        <v/>
      </c>
      <c r="I281" s="13">
        <f>INDEX('MAR 2e graad'!$C$2:$C$58,MATCH(G281,'MAR 2e graad'!$A$2:$A$58,0))</f>
        <v/>
      </c>
      <c r="J281" s="13">
        <f>IF(OR(I281="A",I281="K"),IF(K281&gt;0,"+","-"),IF(L281&gt;0,"+","-"))</f>
        <v/>
      </c>
      <c r="K281" s="14" t="n"/>
      <c r="L281" s="14" t="n">
        <v>726</v>
      </c>
      <c r="M281" s="13" t="inlineStr">
        <is>
          <t>de vordering op de klant daalt</t>
        </is>
      </c>
      <c r="N281" s="13" t="inlineStr">
        <is>
          <t>nee</t>
        </is>
      </c>
    </row>
    <row r="282">
      <c r="A282" s="12" t="n">
        <v>281</v>
      </c>
      <c r="B282" s="16" t="n">
        <v>46309</v>
      </c>
      <c r="C282" s="8" t="inlineStr">
        <is>
          <t>REMEDIERING</t>
        </is>
      </c>
      <c r="D282" s="13" t="inlineStr">
        <is>
          <t>K4</t>
        </is>
      </c>
      <c r="E282" s="13" t="inlineStr">
        <is>
          <t>Q4CV1</t>
        </is>
      </c>
      <c r="F282" s="13" t="inlineStr">
        <is>
          <t>CN-2026-008</t>
        </is>
      </c>
      <c r="G282" s="13" t="n">
        <v>704010</v>
      </c>
      <c r="H282" s="13">
        <f>INDEX('MAR 2e graad'!$B$2:$B$58,MATCH(G282,'MAR 2e graad'!$A$2:$A$58,0))</f>
        <v/>
      </c>
      <c r="I282" s="13">
        <f>INDEX('MAR 2e graad'!$C$2:$C$58,MATCH(G282,'MAR 2e graad'!$A$2:$A$58,0))</f>
        <v/>
      </c>
      <c r="J282" s="13">
        <f>IF(OR(I282="A",I282="K"),IF(K282&gt;0,"+","-"),IF(L282&gt;0,"+","-"))</f>
        <v/>
      </c>
      <c r="K282" s="14" t="n">
        <v>600</v>
      </c>
      <c r="L282" s="14" t="n"/>
      <c r="M282" s="13" t="inlineStr">
        <is>
          <t>de omzet daalt (retour)</t>
        </is>
      </c>
      <c r="N282" s="13" t="inlineStr">
        <is>
          <t>nee</t>
        </is>
      </c>
    </row>
    <row r="283">
      <c r="A283" s="12" t="n">
        <v>282</v>
      </c>
      <c r="B283" s="16" t="n">
        <v>46309</v>
      </c>
      <c r="C283" s="8" t="inlineStr">
        <is>
          <t>REMEDIERING</t>
        </is>
      </c>
      <c r="D283" s="13" t="inlineStr">
        <is>
          <t>K4</t>
        </is>
      </c>
      <c r="E283" s="13" t="inlineStr">
        <is>
          <t>Q4CV1</t>
        </is>
      </c>
      <c r="F283" s="13" t="inlineStr">
        <is>
          <t>CN-2026-008</t>
        </is>
      </c>
      <c r="G283" s="13" t="n">
        <v>411200</v>
      </c>
      <c r="H283" s="13">
        <f>INDEX('MAR 2e graad'!$B$2:$B$58,MATCH(G283,'MAR 2e graad'!$A$2:$A$58,0))</f>
        <v/>
      </c>
      <c r="I283" s="13">
        <f>INDEX('MAR 2e graad'!$C$2:$C$58,MATCH(G283,'MAR 2e graad'!$A$2:$A$58,0))</f>
        <v/>
      </c>
      <c r="J283" s="13">
        <f>IF(OR(I283="A",I283="K"),IF(K283&gt;0,"+","-"),IF(L283&gt;0,"+","-"))</f>
        <v/>
      </c>
      <c r="K283" s="14" t="n">
        <v>126</v>
      </c>
      <c r="L283" s="14" t="n"/>
      <c r="M283" s="13" t="inlineStr">
        <is>
          <t>de vordering op de overheid stijgt (btw op uitgaande creditnota)</t>
        </is>
      </c>
      <c r="N283" s="13" t="inlineStr">
        <is>
          <t>nee</t>
        </is>
      </c>
    </row>
    <row r="284">
      <c r="A284" s="12" t="n">
        <v>283</v>
      </c>
      <c r="B284" s="16" t="n">
        <v>46315</v>
      </c>
      <c r="C284" s="8" t="inlineStr">
        <is>
          <t>REMEDIERING</t>
        </is>
      </c>
      <c r="D284" s="13" t="inlineStr">
        <is>
          <t>K4</t>
        </is>
      </c>
      <c r="E284" s="13" t="inlineStr">
        <is>
          <t>U2026-14/1</t>
        </is>
      </c>
      <c r="F284" s="13" t="inlineStr">
        <is>
          <t>uittreksel U2026-14/1</t>
        </is>
      </c>
      <c r="G284" s="13" t="n">
        <v>440000</v>
      </c>
      <c r="H284" s="13">
        <f>INDEX('MAR 2e graad'!$B$2:$B$58,MATCH(G284,'MAR 2e graad'!$A$2:$A$58,0))</f>
        <v/>
      </c>
      <c r="I284" s="13">
        <f>INDEX('MAR 2e graad'!$C$2:$C$58,MATCH(G284,'MAR 2e graad'!$A$2:$A$58,0))</f>
        <v/>
      </c>
      <c r="J284" s="13">
        <f>IF(OR(I284="A",I284="K"),IF(K284&gt;0,"+","-"),IF(L284&gt;0,"+","-"))</f>
        <v/>
      </c>
      <c r="K284" s="14" t="n">
        <v>6292</v>
      </c>
      <c r="L284" s="14" t="n"/>
      <c r="M284" s="13" t="inlineStr">
        <is>
          <t>de schuld aan de leverancier daalt</t>
        </is>
      </c>
      <c r="N284" s="13" t="inlineStr">
        <is>
          <t>nee</t>
        </is>
      </c>
    </row>
    <row r="285">
      <c r="A285" s="12" t="n">
        <v>284</v>
      </c>
      <c r="B285" s="16" t="n">
        <v>46315</v>
      </c>
      <c r="C285" s="8" t="inlineStr">
        <is>
          <t>REMEDIERING</t>
        </is>
      </c>
      <c r="D285" s="13" t="inlineStr">
        <is>
          <t>K4</t>
        </is>
      </c>
      <c r="E285" s="13" t="inlineStr">
        <is>
          <t>U2026-14/1</t>
        </is>
      </c>
      <c r="F285" s="13" t="inlineStr">
        <is>
          <t>uittreksel U2026-14/1</t>
        </is>
      </c>
      <c r="G285" s="13" t="n">
        <v>550000</v>
      </c>
      <c r="H285" s="13">
        <f>INDEX('MAR 2e graad'!$B$2:$B$58,MATCH(G285,'MAR 2e graad'!$A$2:$A$58,0))</f>
        <v/>
      </c>
      <c r="I285" s="13">
        <f>INDEX('MAR 2e graad'!$C$2:$C$58,MATCH(G285,'MAR 2e graad'!$A$2:$A$58,0))</f>
        <v/>
      </c>
      <c r="J285" s="13">
        <f>IF(OR(I285="A",I285="K"),IF(K285&gt;0,"+","-"),IF(L285&gt;0,"+","-"))</f>
        <v/>
      </c>
      <c r="K285" s="14" t="n"/>
      <c r="L285" s="14" t="n">
        <v>6292</v>
      </c>
      <c r="M285" s="13" t="inlineStr">
        <is>
          <t>de bank daalt</t>
        </is>
      </c>
      <c r="N285" s="13" t="inlineStr">
        <is>
          <t>nee</t>
        </is>
      </c>
    </row>
    <row r="286">
      <c r="A286" s="12" t="n">
        <v>285</v>
      </c>
      <c r="B286" s="16" t="n">
        <v>46315</v>
      </c>
      <c r="C286" s="8" t="inlineStr">
        <is>
          <t>REMEDIERING</t>
        </is>
      </c>
      <c r="D286" s="13" t="inlineStr">
        <is>
          <t>K4</t>
        </is>
      </c>
      <c r="E286" s="13" t="inlineStr">
        <is>
          <t>U2026-14/2</t>
        </is>
      </c>
      <c r="F286" s="13" t="inlineStr">
        <is>
          <t>uittreksel U2026-14/2</t>
        </is>
      </c>
      <c r="G286" s="13" t="n">
        <v>440000</v>
      </c>
      <c r="H286" s="13">
        <f>INDEX('MAR 2e graad'!$B$2:$B$58,MATCH(G286,'MAR 2e graad'!$A$2:$A$58,0))</f>
        <v/>
      </c>
      <c r="I286" s="13">
        <f>INDEX('MAR 2e graad'!$C$2:$C$58,MATCH(G286,'MAR 2e graad'!$A$2:$A$58,0))</f>
        <v/>
      </c>
      <c r="J286" s="13">
        <f>IF(OR(I286="A",I286="K"),IF(K286&gt;0,"+","-"),IF(L286&gt;0,"+","-"))</f>
        <v/>
      </c>
      <c r="K286" s="14" t="n">
        <v>1089</v>
      </c>
      <c r="L286" s="14" t="n"/>
      <c r="M286" s="13" t="inlineStr">
        <is>
          <t>de schuld aan de leverancier daalt</t>
        </is>
      </c>
      <c r="N286" s="13" t="inlineStr">
        <is>
          <t>nee</t>
        </is>
      </c>
    </row>
    <row r="287">
      <c r="A287" s="12" t="n">
        <v>286</v>
      </c>
      <c r="B287" s="16" t="n">
        <v>46315</v>
      </c>
      <c r="C287" s="8" t="inlineStr">
        <is>
          <t>REMEDIERING</t>
        </is>
      </c>
      <c r="D287" s="13" t="inlineStr">
        <is>
          <t>K4</t>
        </is>
      </c>
      <c r="E287" s="13" t="inlineStr">
        <is>
          <t>U2026-14/2</t>
        </is>
      </c>
      <c r="F287" s="13" t="inlineStr">
        <is>
          <t>uittreksel U2026-14/2</t>
        </is>
      </c>
      <c r="G287" s="13" t="n">
        <v>550000</v>
      </c>
      <c r="H287" s="13">
        <f>INDEX('MAR 2e graad'!$B$2:$B$58,MATCH(G287,'MAR 2e graad'!$A$2:$A$58,0))</f>
        <v/>
      </c>
      <c r="I287" s="13">
        <f>INDEX('MAR 2e graad'!$C$2:$C$58,MATCH(G287,'MAR 2e graad'!$A$2:$A$58,0))</f>
        <v/>
      </c>
      <c r="J287" s="13">
        <f>IF(OR(I287="A",I287="K"),IF(K287&gt;0,"+","-"),IF(L287&gt;0,"+","-"))</f>
        <v/>
      </c>
      <c r="K287" s="14" t="n"/>
      <c r="L287" s="14" t="n">
        <v>1089</v>
      </c>
      <c r="M287" s="13" t="inlineStr">
        <is>
          <t>de bank daalt</t>
        </is>
      </c>
      <c r="N287" s="13" t="inlineStr">
        <is>
          <t>nee</t>
        </is>
      </c>
    </row>
    <row r="288">
      <c r="A288" s="12" t="n">
        <v>287</v>
      </c>
      <c r="B288" s="16" t="n">
        <v>46315</v>
      </c>
      <c r="C288" s="8" t="inlineStr">
        <is>
          <t>REMEDIERING</t>
        </is>
      </c>
      <c r="D288" s="13" t="inlineStr">
        <is>
          <t>K4</t>
        </is>
      </c>
      <c r="E288" s="13" t="inlineStr">
        <is>
          <t>U2026-14/3</t>
        </is>
      </c>
      <c r="F288" s="13" t="inlineStr">
        <is>
          <t>uittreksel U2026-14/3</t>
        </is>
      </c>
      <c r="G288" s="13" t="n">
        <v>550000</v>
      </c>
      <c r="H288" s="13">
        <f>INDEX('MAR 2e graad'!$B$2:$B$58,MATCH(G288,'MAR 2e graad'!$A$2:$A$58,0))</f>
        <v/>
      </c>
      <c r="I288" s="13">
        <f>INDEX('MAR 2e graad'!$C$2:$C$58,MATCH(G288,'MAR 2e graad'!$A$2:$A$58,0))</f>
        <v/>
      </c>
      <c r="J288" s="13">
        <f>IF(OR(I288="A",I288="K"),IF(K288&gt;0,"+","-"),IF(L288&gt;0,"+","-"))</f>
        <v/>
      </c>
      <c r="K288" s="14" t="n">
        <v>4477</v>
      </c>
      <c r="L288" s="14" t="n"/>
      <c r="M288" s="13" t="inlineStr">
        <is>
          <t>de bank stijgt</t>
        </is>
      </c>
      <c r="N288" s="13" t="inlineStr">
        <is>
          <t>nee</t>
        </is>
      </c>
    </row>
    <row r="289">
      <c r="A289" s="12" t="n">
        <v>288</v>
      </c>
      <c r="B289" s="16" t="n">
        <v>46315</v>
      </c>
      <c r="C289" s="8" t="inlineStr">
        <is>
          <t>REMEDIERING</t>
        </is>
      </c>
      <c r="D289" s="13" t="inlineStr">
        <is>
          <t>K4</t>
        </is>
      </c>
      <c r="E289" s="13" t="inlineStr">
        <is>
          <t>U2026-14/3</t>
        </is>
      </c>
      <c r="F289" s="13" t="inlineStr">
        <is>
          <t>uittreksel U2026-14/3</t>
        </is>
      </c>
      <c r="G289" s="13" t="n">
        <v>400000</v>
      </c>
      <c r="H289" s="13">
        <f>INDEX('MAR 2e graad'!$B$2:$B$58,MATCH(G289,'MAR 2e graad'!$A$2:$A$58,0))</f>
        <v/>
      </c>
      <c r="I289" s="13">
        <f>INDEX('MAR 2e graad'!$C$2:$C$58,MATCH(G289,'MAR 2e graad'!$A$2:$A$58,0))</f>
        <v/>
      </c>
      <c r="J289" s="13">
        <f>IF(OR(I289="A",I289="K"),IF(K289&gt;0,"+","-"),IF(L289&gt;0,"+","-"))</f>
        <v/>
      </c>
      <c r="K289" s="14" t="n"/>
      <c r="L289" s="14" t="n">
        <v>4477</v>
      </c>
      <c r="M289" s="13" t="inlineStr">
        <is>
          <t>de vordering op de klant daalt</t>
        </is>
      </c>
      <c r="N289" s="13" t="inlineStr">
        <is>
          <t>nee</t>
        </is>
      </c>
    </row>
    <row r="290">
      <c r="A290" s="12" t="n">
        <v>289</v>
      </c>
      <c r="B290" s="16" t="n">
        <v>46318</v>
      </c>
      <c r="C290" s="8" t="inlineStr">
        <is>
          <t>REMEDIERING</t>
        </is>
      </c>
      <c r="D290" s="13" t="inlineStr">
        <is>
          <t>K4</t>
        </is>
      </c>
      <c r="E290" s="13" t="inlineStr">
        <is>
          <t>Q4V2</t>
        </is>
      </c>
      <c r="F290" s="13" t="inlineStr">
        <is>
          <t>2026-016</t>
        </is>
      </c>
      <c r="G290" s="13" t="n">
        <v>400000</v>
      </c>
      <c r="H290" s="13">
        <f>INDEX('MAR 2e graad'!$B$2:$B$58,MATCH(G290,'MAR 2e graad'!$A$2:$A$58,0))</f>
        <v/>
      </c>
      <c r="I290" s="13">
        <f>INDEX('MAR 2e graad'!$C$2:$C$58,MATCH(G290,'MAR 2e graad'!$A$2:$A$58,0))</f>
        <v/>
      </c>
      <c r="J290" s="13">
        <f>IF(OR(I290="A",I290="K"),IF(K290&gt;0,"+","-"),IF(L290&gt;0,"+","-"))</f>
        <v/>
      </c>
      <c r="K290" s="14" t="n">
        <v>4840</v>
      </c>
      <c r="L290" s="14" t="n"/>
      <c r="M290" s="13" t="inlineStr">
        <is>
          <t>de vordering op de klant stijgt</t>
        </is>
      </c>
      <c r="N290" s="13" t="inlineStr">
        <is>
          <t>nee</t>
        </is>
      </c>
    </row>
    <row r="291">
      <c r="A291" s="12" t="n">
        <v>290</v>
      </c>
      <c r="B291" s="16" t="n">
        <v>46318</v>
      </c>
      <c r="C291" s="8" t="inlineStr">
        <is>
          <t>REMEDIERING</t>
        </is>
      </c>
      <c r="D291" s="13" t="inlineStr">
        <is>
          <t>K4</t>
        </is>
      </c>
      <c r="E291" s="13" t="inlineStr">
        <is>
          <t>Q4V2</t>
        </is>
      </c>
      <c r="F291" s="13" t="inlineStr">
        <is>
          <t>2026-016</t>
        </is>
      </c>
      <c r="G291" s="13" t="n">
        <v>704000</v>
      </c>
      <c r="H291" s="13">
        <f>INDEX('MAR 2e graad'!$B$2:$B$58,MATCH(G291,'MAR 2e graad'!$A$2:$A$58,0))</f>
        <v/>
      </c>
      <c r="I291" s="13">
        <f>INDEX('MAR 2e graad'!$C$2:$C$58,MATCH(G291,'MAR 2e graad'!$A$2:$A$58,0))</f>
        <v/>
      </c>
      <c r="J291" s="13">
        <f>IF(OR(I291="A",I291="K"),IF(K291&gt;0,"+","-"),IF(L291&gt;0,"+","-"))</f>
        <v/>
      </c>
      <c r="K291" s="14" t="n"/>
      <c r="L291" s="14" t="n">
        <v>4000</v>
      </c>
      <c r="M291" s="13" t="inlineStr">
        <is>
          <t>de omzet stijgt</t>
        </is>
      </c>
      <c r="N291" s="13" t="inlineStr">
        <is>
          <t>nee</t>
        </is>
      </c>
    </row>
    <row r="292">
      <c r="A292" s="12" t="n">
        <v>291</v>
      </c>
      <c r="B292" s="16" t="n">
        <v>46318</v>
      </c>
      <c r="C292" s="8" t="inlineStr">
        <is>
          <t>REMEDIERING</t>
        </is>
      </c>
      <c r="D292" s="13" t="inlineStr">
        <is>
          <t>K4</t>
        </is>
      </c>
      <c r="E292" s="13" t="inlineStr">
        <is>
          <t>Q4V2</t>
        </is>
      </c>
      <c r="F292" s="13" t="inlineStr">
        <is>
          <t>2026-016</t>
        </is>
      </c>
      <c r="G292" s="13" t="n">
        <v>451100</v>
      </c>
      <c r="H292" s="13">
        <f>INDEX('MAR 2e graad'!$B$2:$B$58,MATCH(G292,'MAR 2e graad'!$A$2:$A$58,0))</f>
        <v/>
      </c>
      <c r="I292" s="13">
        <f>INDEX('MAR 2e graad'!$C$2:$C$58,MATCH(G292,'MAR 2e graad'!$A$2:$A$58,0))</f>
        <v/>
      </c>
      <c r="J292" s="13">
        <f>IF(OR(I292="A",I292="K"),IF(K292&gt;0,"+","-"),IF(L292&gt;0,"+","-"))</f>
        <v/>
      </c>
      <c r="K292" s="14" t="n"/>
      <c r="L292" s="14" t="n">
        <v>840</v>
      </c>
      <c r="M292" s="13" t="inlineStr">
        <is>
          <t>de schuld aan de overheid (verschuldigde btw) stijgt</t>
        </is>
      </c>
      <c r="N292" s="13" t="inlineStr">
        <is>
          <t>nee</t>
        </is>
      </c>
    </row>
    <row r="293">
      <c r="A293" s="12" t="n">
        <v>292</v>
      </c>
      <c r="B293" s="16" t="n">
        <v>46329</v>
      </c>
      <c r="C293" s="8" t="inlineStr">
        <is>
          <t>REMEDIERING</t>
        </is>
      </c>
      <c r="D293" s="13" t="inlineStr">
        <is>
          <t>K4</t>
        </is>
      </c>
      <c r="E293" s="13" t="inlineStr">
        <is>
          <t>Q4A3</t>
        </is>
      </c>
      <c r="F293" s="13" t="inlineStr">
        <is>
          <t>NL-26-11-2207</t>
        </is>
      </c>
      <c r="G293" s="13" t="n">
        <v>616300</v>
      </c>
      <c r="H293" s="13">
        <f>INDEX('MAR 2e graad'!$B$2:$B$58,MATCH(G293,'MAR 2e graad'!$A$2:$A$58,0))</f>
        <v/>
      </c>
      <c r="I293" s="13">
        <f>INDEX('MAR 2e graad'!$C$2:$C$58,MATCH(G293,'MAR 2e graad'!$A$2:$A$58,0))</f>
        <v/>
      </c>
      <c r="J293" s="13">
        <f>IF(OR(I293="A",I293="K"),IF(K293&gt;0,"+","-"),IF(L293&gt;0,"+","-"))</f>
        <v/>
      </c>
      <c r="K293" s="14" t="n">
        <v>300</v>
      </c>
      <c r="L293" s="14" t="n"/>
      <c r="M293" s="13" t="inlineStr">
        <is>
          <t>de kosten voor diensten en diverse goederen stijgen</t>
        </is>
      </c>
      <c r="N293" s="13" t="inlineStr">
        <is>
          <t>nee</t>
        </is>
      </c>
    </row>
    <row r="294">
      <c r="A294" s="12" t="n">
        <v>293</v>
      </c>
      <c r="B294" s="16" t="n">
        <v>46329</v>
      </c>
      <c r="C294" s="8" t="inlineStr">
        <is>
          <t>REMEDIERING</t>
        </is>
      </c>
      <c r="D294" s="13" t="inlineStr">
        <is>
          <t>K4</t>
        </is>
      </c>
      <c r="E294" s="13" t="inlineStr">
        <is>
          <t>Q4A3</t>
        </is>
      </c>
      <c r="F294" s="13" t="inlineStr">
        <is>
          <t>NL-26-11-2207</t>
        </is>
      </c>
      <c r="G294" s="13" t="n">
        <v>411100</v>
      </c>
      <c r="H294" s="13">
        <f>INDEX('MAR 2e graad'!$B$2:$B$58,MATCH(G294,'MAR 2e graad'!$A$2:$A$58,0))</f>
        <v/>
      </c>
      <c r="I294" s="13">
        <f>INDEX('MAR 2e graad'!$C$2:$C$58,MATCH(G294,'MAR 2e graad'!$A$2:$A$58,0))</f>
        <v/>
      </c>
      <c r="J294" s="13">
        <f>IF(OR(I294="A",I294="K"),IF(K294&gt;0,"+","-"),IF(L294&gt;0,"+","-"))</f>
        <v/>
      </c>
      <c r="K294" s="14" t="n">
        <v>63</v>
      </c>
      <c r="L294" s="14" t="n"/>
      <c r="M294" s="13" t="inlineStr">
        <is>
          <t>de vordering op de overheid (aftrekbare btw) stijgt</t>
        </is>
      </c>
      <c r="N294" s="13" t="inlineStr">
        <is>
          <t>nee</t>
        </is>
      </c>
    </row>
    <row r="295">
      <c r="A295" s="12" t="n">
        <v>294</v>
      </c>
      <c r="B295" s="16" t="n">
        <v>46329</v>
      </c>
      <c r="C295" s="8" t="inlineStr">
        <is>
          <t>REMEDIERING</t>
        </is>
      </c>
      <c r="D295" s="13" t="inlineStr">
        <is>
          <t>K4</t>
        </is>
      </c>
      <c r="E295" s="13" t="inlineStr">
        <is>
          <t>Q4A3</t>
        </is>
      </c>
      <c r="F295" s="13" t="inlineStr">
        <is>
          <t>NL-26-11-2207</t>
        </is>
      </c>
      <c r="G295" s="13" t="n">
        <v>440000</v>
      </c>
      <c r="H295" s="13">
        <f>INDEX('MAR 2e graad'!$B$2:$B$58,MATCH(G295,'MAR 2e graad'!$A$2:$A$58,0))</f>
        <v/>
      </c>
      <c r="I295" s="13">
        <f>INDEX('MAR 2e graad'!$C$2:$C$58,MATCH(G295,'MAR 2e graad'!$A$2:$A$58,0))</f>
        <v/>
      </c>
      <c r="J295" s="13">
        <f>IF(OR(I295="A",I295="K"),IF(K295&gt;0,"+","-"),IF(L295&gt;0,"+","-"))</f>
        <v/>
      </c>
      <c r="K295" s="14" t="n"/>
      <c r="L295" s="14" t="n">
        <v>363</v>
      </c>
      <c r="M295" s="13" t="inlineStr">
        <is>
          <t>de schuld aan de leverancier stijgt</t>
        </is>
      </c>
      <c r="N295" s="13" t="inlineStr">
        <is>
          <t>nee</t>
        </is>
      </c>
    </row>
    <row r="296">
      <c r="A296" s="12" t="n">
        <v>295</v>
      </c>
      <c r="B296" s="16" t="n">
        <v>46332</v>
      </c>
      <c r="C296" s="8" t="inlineStr">
        <is>
          <t>REMEDIERING</t>
        </is>
      </c>
      <c r="D296" s="13" t="inlineStr">
        <is>
          <t>K4</t>
        </is>
      </c>
      <c r="E296" s="13" t="inlineStr">
        <is>
          <t>U2026-15/1</t>
        </is>
      </c>
      <c r="F296" s="13" t="inlineStr">
        <is>
          <t>uittreksel U2026-15/1</t>
        </is>
      </c>
      <c r="G296" s="13" t="n">
        <v>550000</v>
      </c>
      <c r="H296" s="13">
        <f>INDEX('MAR 2e graad'!$B$2:$B$58,MATCH(G296,'MAR 2e graad'!$A$2:$A$58,0))</f>
        <v/>
      </c>
      <c r="I296" s="13">
        <f>INDEX('MAR 2e graad'!$C$2:$C$58,MATCH(G296,'MAR 2e graad'!$A$2:$A$58,0))</f>
        <v/>
      </c>
      <c r="J296" s="13">
        <f>IF(OR(I296="A",I296="K"),IF(K296&gt;0,"+","-"),IF(L296&gt;0,"+","-"))</f>
        <v/>
      </c>
      <c r="K296" s="14" t="n">
        <v>4840</v>
      </c>
      <c r="L296" s="14" t="n"/>
      <c r="M296" s="13" t="inlineStr">
        <is>
          <t>de bank stijgt</t>
        </is>
      </c>
      <c r="N296" s="13" t="inlineStr">
        <is>
          <t>nee</t>
        </is>
      </c>
    </row>
    <row r="297">
      <c r="A297" s="12" t="n">
        <v>296</v>
      </c>
      <c r="B297" s="16" t="n">
        <v>46332</v>
      </c>
      <c r="C297" s="8" t="inlineStr">
        <is>
          <t>REMEDIERING</t>
        </is>
      </c>
      <c r="D297" s="13" t="inlineStr">
        <is>
          <t>K4</t>
        </is>
      </c>
      <c r="E297" s="13" t="inlineStr">
        <is>
          <t>U2026-15/1</t>
        </is>
      </c>
      <c r="F297" s="13" t="inlineStr">
        <is>
          <t>uittreksel U2026-15/1</t>
        </is>
      </c>
      <c r="G297" s="13" t="n">
        <v>400000</v>
      </c>
      <c r="H297" s="13">
        <f>INDEX('MAR 2e graad'!$B$2:$B$58,MATCH(G297,'MAR 2e graad'!$A$2:$A$58,0))</f>
        <v/>
      </c>
      <c r="I297" s="13">
        <f>INDEX('MAR 2e graad'!$C$2:$C$58,MATCH(G297,'MAR 2e graad'!$A$2:$A$58,0))</f>
        <v/>
      </c>
      <c r="J297" s="13">
        <f>IF(OR(I297="A",I297="K"),IF(K297&gt;0,"+","-"),IF(L297&gt;0,"+","-"))</f>
        <v/>
      </c>
      <c r="K297" s="14" t="n"/>
      <c r="L297" s="14" t="n">
        <v>4840</v>
      </c>
      <c r="M297" s="13" t="inlineStr">
        <is>
          <t>de vordering op de klant daalt</t>
        </is>
      </c>
      <c r="N297" s="13" t="inlineStr">
        <is>
          <t>nee</t>
        </is>
      </c>
    </row>
    <row r="298">
      <c r="A298" s="12" t="n">
        <v>297</v>
      </c>
      <c r="B298" s="16" t="n">
        <v>46332</v>
      </c>
      <c r="C298" s="8" t="inlineStr">
        <is>
          <t>REMEDIERING</t>
        </is>
      </c>
      <c r="D298" s="13" t="inlineStr">
        <is>
          <t>K4</t>
        </is>
      </c>
      <c r="E298" s="13" t="inlineStr">
        <is>
          <t>U2026-15/2</t>
        </is>
      </c>
      <c r="F298" s="13" t="inlineStr">
        <is>
          <t>uittreksel U2026-15/2</t>
        </is>
      </c>
      <c r="G298" s="13" t="n">
        <v>440000</v>
      </c>
      <c r="H298" s="13">
        <f>INDEX('MAR 2e graad'!$B$2:$B$58,MATCH(G298,'MAR 2e graad'!$A$2:$A$58,0))</f>
        <v/>
      </c>
      <c r="I298" s="13">
        <f>INDEX('MAR 2e graad'!$C$2:$C$58,MATCH(G298,'MAR 2e graad'!$A$2:$A$58,0))</f>
        <v/>
      </c>
      <c r="J298" s="13">
        <f>IF(OR(I298="A",I298="K"),IF(K298&gt;0,"+","-"),IF(L298&gt;0,"+","-"))</f>
        <v/>
      </c>
      <c r="K298" s="14" t="n">
        <v>363</v>
      </c>
      <c r="L298" s="14" t="n"/>
      <c r="M298" s="13" t="inlineStr">
        <is>
          <t>de schuld aan de leverancier daalt</t>
        </is>
      </c>
      <c r="N298" s="13" t="inlineStr">
        <is>
          <t>nee</t>
        </is>
      </c>
    </row>
    <row r="299">
      <c r="A299" s="12" t="n">
        <v>298</v>
      </c>
      <c r="B299" s="16" t="n">
        <v>46332</v>
      </c>
      <c r="C299" s="8" t="inlineStr">
        <is>
          <t>REMEDIERING</t>
        </is>
      </c>
      <c r="D299" s="13" t="inlineStr">
        <is>
          <t>K4</t>
        </is>
      </c>
      <c r="E299" s="13" t="inlineStr">
        <is>
          <t>U2026-15/2</t>
        </is>
      </c>
      <c r="F299" s="13" t="inlineStr">
        <is>
          <t>uittreksel U2026-15/2</t>
        </is>
      </c>
      <c r="G299" s="13" t="n">
        <v>550000</v>
      </c>
      <c r="H299" s="13">
        <f>INDEX('MAR 2e graad'!$B$2:$B$58,MATCH(G299,'MAR 2e graad'!$A$2:$A$58,0))</f>
        <v/>
      </c>
      <c r="I299" s="13">
        <f>INDEX('MAR 2e graad'!$C$2:$C$58,MATCH(G299,'MAR 2e graad'!$A$2:$A$58,0))</f>
        <v/>
      </c>
      <c r="J299" s="13">
        <f>IF(OR(I299="A",I299="K"),IF(K299&gt;0,"+","-"),IF(L299&gt;0,"+","-"))</f>
        <v/>
      </c>
      <c r="K299" s="14" t="n"/>
      <c r="L299" s="14" t="n">
        <v>363</v>
      </c>
      <c r="M299" s="13" t="inlineStr">
        <is>
          <t>de bank daalt</t>
        </is>
      </c>
      <c r="N299" s="13" t="inlineStr">
        <is>
          <t>nee</t>
        </is>
      </c>
    </row>
    <row r="300">
      <c r="A300" s="12" t="n">
        <v>299</v>
      </c>
      <c r="B300" s="16" t="n">
        <v>46344</v>
      </c>
      <c r="C300" s="8" t="inlineStr">
        <is>
          <t>REMEDIERING</t>
        </is>
      </c>
      <c r="D300" s="13" t="inlineStr">
        <is>
          <t>K4</t>
        </is>
      </c>
      <c r="E300" s="13" t="inlineStr">
        <is>
          <t>Q4V3</t>
        </is>
      </c>
      <c r="F300" s="13" t="inlineStr">
        <is>
          <t>2026-017</t>
        </is>
      </c>
      <c r="G300" s="13" t="n">
        <v>400000</v>
      </c>
      <c r="H300" s="13">
        <f>INDEX('MAR 2e graad'!$B$2:$B$58,MATCH(G300,'MAR 2e graad'!$A$2:$A$58,0))</f>
        <v/>
      </c>
      <c r="I300" s="13">
        <f>INDEX('MAR 2e graad'!$C$2:$C$58,MATCH(G300,'MAR 2e graad'!$A$2:$A$58,0))</f>
        <v/>
      </c>
      <c r="J300" s="13">
        <f>IF(OR(I300="A",I300="K"),IF(K300&gt;0,"+","-"),IF(L300&gt;0,"+","-"))</f>
        <v/>
      </c>
      <c r="K300" s="14" t="n">
        <v>1272</v>
      </c>
      <c r="L300" s="14" t="n"/>
      <c r="M300" s="13" t="inlineStr">
        <is>
          <t>de vordering op de klant stijgt</t>
        </is>
      </c>
      <c r="N300" s="13" t="inlineStr">
        <is>
          <t>nee</t>
        </is>
      </c>
    </row>
    <row r="301">
      <c r="A301" s="12" t="n">
        <v>300</v>
      </c>
      <c r="B301" s="16" t="n">
        <v>46344</v>
      </c>
      <c r="C301" s="8" t="inlineStr">
        <is>
          <t>REMEDIERING</t>
        </is>
      </c>
      <c r="D301" s="13" t="inlineStr">
        <is>
          <t>K4</t>
        </is>
      </c>
      <c r="E301" s="13" t="inlineStr">
        <is>
          <t>Q4V3</t>
        </is>
      </c>
      <c r="F301" s="13" t="inlineStr">
        <is>
          <t>2026-017</t>
        </is>
      </c>
      <c r="G301" s="13" t="n">
        <v>700000</v>
      </c>
      <c r="H301" s="13">
        <f>INDEX('MAR 2e graad'!$B$2:$B$58,MATCH(G301,'MAR 2e graad'!$A$2:$A$58,0))</f>
        <v/>
      </c>
      <c r="I301" s="13">
        <f>INDEX('MAR 2e graad'!$C$2:$C$58,MATCH(G301,'MAR 2e graad'!$A$2:$A$58,0))</f>
        <v/>
      </c>
      <c r="J301" s="13">
        <f>IF(OR(I301="A",I301="K"),IF(K301&gt;0,"+","-"),IF(L301&gt;0,"+","-"))</f>
        <v/>
      </c>
      <c r="K301" s="14" t="n"/>
      <c r="L301" s="14" t="n">
        <v>1200</v>
      </c>
      <c r="M301" s="13" t="inlineStr">
        <is>
          <t>de omzet (diensten) stijgt</t>
        </is>
      </c>
      <c r="N301" s="13" t="inlineStr">
        <is>
          <t>nee</t>
        </is>
      </c>
    </row>
    <row r="302">
      <c r="A302" s="12" t="n">
        <v>301</v>
      </c>
      <c r="B302" s="16" t="n">
        <v>46344</v>
      </c>
      <c r="C302" s="8" t="inlineStr">
        <is>
          <t>REMEDIERING</t>
        </is>
      </c>
      <c r="D302" s="13" t="inlineStr">
        <is>
          <t>K4</t>
        </is>
      </c>
      <c r="E302" s="13" t="inlineStr">
        <is>
          <t>Q4V3</t>
        </is>
      </c>
      <c r="F302" s="13" t="inlineStr">
        <is>
          <t>2026-017</t>
        </is>
      </c>
      <c r="G302" s="13" t="n">
        <v>451100</v>
      </c>
      <c r="H302" s="13">
        <f>INDEX('MAR 2e graad'!$B$2:$B$58,MATCH(G302,'MAR 2e graad'!$A$2:$A$58,0))</f>
        <v/>
      </c>
      <c r="I302" s="13">
        <f>INDEX('MAR 2e graad'!$C$2:$C$58,MATCH(G302,'MAR 2e graad'!$A$2:$A$58,0))</f>
        <v/>
      </c>
      <c r="J302" s="13">
        <f>IF(OR(I302="A",I302="K"),IF(K302&gt;0,"+","-"),IF(L302&gt;0,"+","-"))</f>
        <v/>
      </c>
      <c r="K302" s="14" t="n"/>
      <c r="L302" s="14" t="n">
        <v>72</v>
      </c>
      <c r="M302" s="13" t="inlineStr">
        <is>
          <t>de schuld aan de overheid (verschuldigde btw) stijgt</t>
        </is>
      </c>
      <c r="N302" s="13" t="inlineStr">
        <is>
          <t>nee</t>
        </is>
      </c>
    </row>
    <row r="303">
      <c r="A303" s="12" t="n">
        <v>302</v>
      </c>
      <c r="B303" s="16" t="n">
        <v>46346</v>
      </c>
      <c r="C303" s="8" t="inlineStr">
        <is>
          <t>REMEDIERING</t>
        </is>
      </c>
      <c r="D303" s="13" t="inlineStr">
        <is>
          <t>K4</t>
        </is>
      </c>
      <c r="E303" s="13" t="inlineStr">
        <is>
          <t>Q4CV2</t>
        </is>
      </c>
      <c r="F303" s="13" t="inlineStr">
        <is>
          <t>CN-2026-009</t>
        </is>
      </c>
      <c r="G303" s="13" t="n">
        <v>400000</v>
      </c>
      <c r="H303" s="13">
        <f>INDEX('MAR 2e graad'!$B$2:$B$58,MATCH(G303,'MAR 2e graad'!$A$2:$A$58,0))</f>
        <v/>
      </c>
      <c r="I303" s="13">
        <f>INDEX('MAR 2e graad'!$C$2:$C$58,MATCH(G303,'MAR 2e graad'!$A$2:$A$58,0))</f>
        <v/>
      </c>
      <c r="J303" s="13">
        <f>IF(OR(I303="A",I303="K"),IF(K303&gt;0,"+","-"),IF(L303&gt;0,"+","-"))</f>
        <v/>
      </c>
      <c r="K303" s="14" t="n"/>
      <c r="L303" s="14" t="n">
        <v>2420</v>
      </c>
      <c r="M303" s="13" t="inlineStr">
        <is>
          <t>de vordering op de klant daalt</t>
        </is>
      </c>
      <c r="N303" s="13" t="inlineStr">
        <is>
          <t>nee</t>
        </is>
      </c>
    </row>
    <row r="304">
      <c r="A304" s="12" t="n">
        <v>303</v>
      </c>
      <c r="B304" s="16" t="n">
        <v>46346</v>
      </c>
      <c r="C304" s="8" t="inlineStr">
        <is>
          <t>REMEDIERING</t>
        </is>
      </c>
      <c r="D304" s="13" t="inlineStr">
        <is>
          <t>K4</t>
        </is>
      </c>
      <c r="E304" s="13" t="inlineStr">
        <is>
          <t>Q4CV2</t>
        </is>
      </c>
      <c r="F304" s="13" t="inlineStr">
        <is>
          <t>CN-2026-009</t>
        </is>
      </c>
      <c r="G304" s="13" t="n">
        <v>704010</v>
      </c>
      <c r="H304" s="13">
        <f>INDEX('MAR 2e graad'!$B$2:$B$58,MATCH(G304,'MAR 2e graad'!$A$2:$A$58,0))</f>
        <v/>
      </c>
      <c r="I304" s="13">
        <f>INDEX('MAR 2e graad'!$C$2:$C$58,MATCH(G304,'MAR 2e graad'!$A$2:$A$58,0))</f>
        <v/>
      </c>
      <c r="J304" s="13">
        <f>IF(OR(I304="A",I304="K"),IF(K304&gt;0,"+","-"),IF(L304&gt;0,"+","-"))</f>
        <v/>
      </c>
      <c r="K304" s="14" t="n">
        <v>2000</v>
      </c>
      <c r="L304" s="14" t="n"/>
      <c r="M304" s="13" t="inlineStr">
        <is>
          <t>de omzet daalt (retour)</t>
        </is>
      </c>
      <c r="N304" s="13" t="inlineStr">
        <is>
          <t>nee</t>
        </is>
      </c>
    </row>
    <row r="305">
      <c r="A305" s="12" t="n">
        <v>304</v>
      </c>
      <c r="B305" s="16" t="n">
        <v>46346</v>
      </c>
      <c r="C305" s="8" t="inlineStr">
        <is>
          <t>REMEDIERING</t>
        </is>
      </c>
      <c r="D305" s="13" t="inlineStr">
        <is>
          <t>K4</t>
        </is>
      </c>
      <c r="E305" s="13" t="inlineStr">
        <is>
          <t>Q4CV2</t>
        </is>
      </c>
      <c r="F305" s="13" t="inlineStr">
        <is>
          <t>CN-2026-009</t>
        </is>
      </c>
      <c r="G305" s="13" t="n">
        <v>411200</v>
      </c>
      <c r="H305" s="13">
        <f>INDEX('MAR 2e graad'!$B$2:$B$58,MATCH(G305,'MAR 2e graad'!$A$2:$A$58,0))</f>
        <v/>
      </c>
      <c r="I305" s="13">
        <f>INDEX('MAR 2e graad'!$C$2:$C$58,MATCH(G305,'MAR 2e graad'!$A$2:$A$58,0))</f>
        <v/>
      </c>
      <c r="J305" s="13">
        <f>IF(OR(I305="A",I305="K"),IF(K305&gt;0,"+","-"),IF(L305&gt;0,"+","-"))</f>
        <v/>
      </c>
      <c r="K305" s="14" t="n">
        <v>420</v>
      </c>
      <c r="L305" s="14" t="n"/>
      <c r="M305" s="13" t="inlineStr">
        <is>
          <t>de vordering op de overheid stijgt (btw op uitgaande creditnota)</t>
        </is>
      </c>
      <c r="N305" s="13" t="inlineStr">
        <is>
          <t>nee</t>
        </is>
      </c>
    </row>
    <row r="306">
      <c r="A306" s="12" t="n">
        <v>305</v>
      </c>
      <c r="B306" s="16" t="n">
        <v>46360</v>
      </c>
      <c r="C306" s="8" t="inlineStr">
        <is>
          <t>REMEDIERING</t>
        </is>
      </c>
      <c r="D306" s="13" t="inlineStr">
        <is>
          <t>K4</t>
        </is>
      </c>
      <c r="E306" s="13" t="inlineStr">
        <is>
          <t>U2026-16/1</t>
        </is>
      </c>
      <c r="F306" s="13" t="inlineStr">
        <is>
          <t>uittreksel U2026-16/1</t>
        </is>
      </c>
      <c r="G306" s="13" t="n">
        <v>550000</v>
      </c>
      <c r="H306" s="13">
        <f>INDEX('MAR 2e graad'!$B$2:$B$58,MATCH(G306,'MAR 2e graad'!$A$2:$A$58,0))</f>
        <v/>
      </c>
      <c r="I306" s="13">
        <f>INDEX('MAR 2e graad'!$C$2:$C$58,MATCH(G306,'MAR 2e graad'!$A$2:$A$58,0))</f>
        <v/>
      </c>
      <c r="J306" s="13">
        <f>IF(OR(I306="A",I306="K"),IF(K306&gt;0,"+","-"),IF(L306&gt;0,"+","-"))</f>
        <v/>
      </c>
      <c r="K306" s="14" t="n">
        <v>1272</v>
      </c>
      <c r="L306" s="14" t="n"/>
      <c r="M306" s="13" t="inlineStr">
        <is>
          <t>de bank stijgt</t>
        </is>
      </c>
      <c r="N306" s="13" t="inlineStr">
        <is>
          <t>nee</t>
        </is>
      </c>
    </row>
    <row r="307">
      <c r="A307" s="12" t="n">
        <v>306</v>
      </c>
      <c r="B307" s="16" t="n">
        <v>46360</v>
      </c>
      <c r="C307" s="8" t="inlineStr">
        <is>
          <t>REMEDIERING</t>
        </is>
      </c>
      <c r="D307" s="13" t="inlineStr">
        <is>
          <t>K4</t>
        </is>
      </c>
      <c r="E307" s="13" t="inlineStr">
        <is>
          <t>U2026-16/1</t>
        </is>
      </c>
      <c r="F307" s="13" t="inlineStr">
        <is>
          <t>uittreksel U2026-16/1</t>
        </is>
      </c>
      <c r="G307" s="13" t="n">
        <v>400000</v>
      </c>
      <c r="H307" s="13">
        <f>INDEX('MAR 2e graad'!$B$2:$B$58,MATCH(G307,'MAR 2e graad'!$A$2:$A$58,0))</f>
        <v/>
      </c>
      <c r="I307" s="13">
        <f>INDEX('MAR 2e graad'!$C$2:$C$58,MATCH(G307,'MAR 2e graad'!$A$2:$A$58,0))</f>
        <v/>
      </c>
      <c r="J307" s="13">
        <f>IF(OR(I307="A",I307="K"),IF(K307&gt;0,"+","-"),IF(L307&gt;0,"+","-"))</f>
        <v/>
      </c>
      <c r="K307" s="14" t="n"/>
      <c r="L307" s="14" t="n">
        <v>1272</v>
      </c>
      <c r="M307" s="13" t="inlineStr">
        <is>
          <t>de vordering op de klant daalt</t>
        </is>
      </c>
      <c r="N307" s="13" t="inlineStr">
        <is>
          <t>nee</t>
        </is>
      </c>
    </row>
    <row r="308">
      <c r="A308" s="12" t="n">
        <v>307</v>
      </c>
      <c r="B308" s="16" t="n">
        <v>46360</v>
      </c>
      <c r="C308" s="8" t="inlineStr">
        <is>
          <t>REMEDIERING</t>
        </is>
      </c>
      <c r="D308" s="13" t="inlineStr">
        <is>
          <t>K4</t>
        </is>
      </c>
      <c r="E308" s="13" t="inlineStr">
        <is>
          <t>U2026-16/2</t>
        </is>
      </c>
      <c r="F308" s="13" t="inlineStr">
        <is>
          <t>uittreksel U2026-16/2</t>
        </is>
      </c>
      <c r="G308" s="13" t="n">
        <v>400000</v>
      </c>
      <c r="H308" s="13">
        <f>INDEX('MAR 2e graad'!$B$2:$B$58,MATCH(G308,'MAR 2e graad'!$A$2:$A$58,0))</f>
        <v/>
      </c>
      <c r="I308" s="13">
        <f>INDEX('MAR 2e graad'!$C$2:$C$58,MATCH(G308,'MAR 2e graad'!$A$2:$A$58,0))</f>
        <v/>
      </c>
      <c r="J308" s="13">
        <f>IF(OR(I308="A",I308="K"),IF(K308&gt;0,"+","-"),IF(L308&gt;0,"+","-"))</f>
        <v/>
      </c>
      <c r="K308" s="14" t="n">
        <v>2420</v>
      </c>
      <c r="L308" s="14" t="n"/>
      <c r="M308" s="13" t="inlineStr">
        <is>
          <t>de schuld aan de klant (creditnota) daalt</t>
        </is>
      </c>
      <c r="N308" s="13" t="inlineStr">
        <is>
          <t>nee</t>
        </is>
      </c>
    </row>
    <row r="309">
      <c r="A309" s="12" t="n">
        <v>308</v>
      </c>
      <c r="B309" s="16" t="n">
        <v>46360</v>
      </c>
      <c r="C309" s="8" t="inlineStr">
        <is>
          <t>REMEDIERING</t>
        </is>
      </c>
      <c r="D309" s="13" t="inlineStr">
        <is>
          <t>K4</t>
        </is>
      </c>
      <c r="E309" s="13" t="inlineStr">
        <is>
          <t>U2026-16/2</t>
        </is>
      </c>
      <c r="F309" s="13" t="inlineStr">
        <is>
          <t>uittreksel U2026-16/2</t>
        </is>
      </c>
      <c r="G309" s="13" t="n">
        <v>550000</v>
      </c>
      <c r="H309" s="13">
        <f>INDEX('MAR 2e graad'!$B$2:$B$58,MATCH(G309,'MAR 2e graad'!$A$2:$A$58,0))</f>
        <v/>
      </c>
      <c r="I309" s="13">
        <f>INDEX('MAR 2e graad'!$C$2:$C$58,MATCH(G309,'MAR 2e graad'!$A$2:$A$58,0))</f>
        <v/>
      </c>
      <c r="J309" s="13">
        <f>IF(OR(I309="A",I309="K"),IF(K309&gt;0,"+","-"),IF(L309&gt;0,"+","-"))</f>
        <v/>
      </c>
      <c r="K309" s="14" t="n"/>
      <c r="L309" s="14" t="n">
        <v>2420</v>
      </c>
      <c r="M309" s="13" t="inlineStr">
        <is>
          <t>de bank daalt</t>
        </is>
      </c>
      <c r="N309" s="13" t="inlineStr">
        <is>
          <t>nee</t>
        </is>
      </c>
    </row>
    <row r="310">
      <c r="A310" s="12" t="n">
        <v>309</v>
      </c>
      <c r="B310" s="16" t="n">
        <v>46368</v>
      </c>
      <c r="C310" s="8" t="inlineStr">
        <is>
          <t>REMEDIERING</t>
        </is>
      </c>
      <c r="D310" s="13" t="inlineStr">
        <is>
          <t>K4</t>
        </is>
      </c>
      <c r="E310" s="13" t="inlineStr">
        <is>
          <t>Q4D1</t>
        </is>
      </c>
      <c r="F310" s="13" t="inlineStr">
        <is>
          <t>DO-2026-06</t>
        </is>
      </c>
      <c r="G310" s="13" t="n">
        <v>400000</v>
      </c>
      <c r="H310" s="13">
        <f>INDEX('MAR 2e graad'!$B$2:$B$58,MATCH(G310,'MAR 2e graad'!$A$2:$A$58,0))</f>
        <v/>
      </c>
      <c r="I310" s="13">
        <f>INDEX('MAR 2e graad'!$C$2:$C$58,MATCH(G310,'MAR 2e graad'!$A$2:$A$58,0))</f>
        <v/>
      </c>
      <c r="J310" s="13">
        <f>IF(OR(I310="A",I310="K"),IF(K310&gt;0,"+","-"),IF(L310&gt;0,"+","-"))</f>
        <v/>
      </c>
      <c r="K310" s="14" t="n">
        <v>3661</v>
      </c>
      <c r="L310" s="14" t="n"/>
      <c r="M310" s="13" t="inlineStr">
        <is>
          <t>de vordering op de klanten (dagontvangsten) stijgt</t>
        </is>
      </c>
      <c r="N310" s="13" t="inlineStr">
        <is>
          <t>nee</t>
        </is>
      </c>
    </row>
    <row r="311">
      <c r="A311" s="12" t="n">
        <v>310</v>
      </c>
      <c r="B311" s="16" t="n">
        <v>46368</v>
      </c>
      <c r="C311" s="8" t="inlineStr">
        <is>
          <t>REMEDIERING</t>
        </is>
      </c>
      <c r="D311" s="13" t="inlineStr">
        <is>
          <t>K4</t>
        </is>
      </c>
      <c r="E311" s="13" t="inlineStr">
        <is>
          <t>Q4D1</t>
        </is>
      </c>
      <c r="F311" s="13" t="inlineStr">
        <is>
          <t>DO-2026-06</t>
        </is>
      </c>
      <c r="G311" s="13" t="n">
        <v>704000</v>
      </c>
      <c r="H311" s="13">
        <f>INDEX('MAR 2e graad'!$B$2:$B$58,MATCH(G311,'MAR 2e graad'!$A$2:$A$58,0))</f>
        <v/>
      </c>
      <c r="I311" s="13">
        <f>INDEX('MAR 2e graad'!$C$2:$C$58,MATCH(G311,'MAR 2e graad'!$A$2:$A$58,0))</f>
        <v/>
      </c>
      <c r="J311" s="13">
        <f>IF(OR(I311="A",I311="K"),IF(K311&gt;0,"+","-"),IF(L311&gt;0,"+","-"))</f>
        <v/>
      </c>
      <c r="K311" s="14" t="n"/>
      <c r="L311" s="14" t="n">
        <v>2000</v>
      </c>
      <c r="M311" s="13" t="inlineStr">
        <is>
          <t>de omzet stijgt</t>
        </is>
      </c>
      <c r="N311" s="13" t="inlineStr">
        <is>
          <t>nee</t>
        </is>
      </c>
    </row>
    <row r="312">
      <c r="A312" s="12" t="n">
        <v>311</v>
      </c>
      <c r="B312" s="16" t="n">
        <v>46368</v>
      </c>
      <c r="C312" s="8" t="inlineStr">
        <is>
          <t>REMEDIERING</t>
        </is>
      </c>
      <c r="D312" s="13" t="inlineStr">
        <is>
          <t>K4</t>
        </is>
      </c>
      <c r="E312" s="13" t="inlineStr">
        <is>
          <t>Q4D1</t>
        </is>
      </c>
      <c r="F312" s="13" t="inlineStr">
        <is>
          <t>DO-2026-06</t>
        </is>
      </c>
      <c r="G312" s="13" t="n">
        <v>704000</v>
      </c>
      <c r="H312" s="13">
        <f>INDEX('MAR 2e graad'!$B$2:$B$58,MATCH(G312,'MAR 2e graad'!$A$2:$A$58,0))</f>
        <v/>
      </c>
      <c r="I312" s="13">
        <f>INDEX('MAR 2e graad'!$C$2:$C$58,MATCH(G312,'MAR 2e graad'!$A$2:$A$58,0))</f>
        <v/>
      </c>
      <c r="J312" s="13">
        <f>IF(OR(I312="A",I312="K"),IF(K312&gt;0,"+","-"),IF(L312&gt;0,"+","-"))</f>
        <v/>
      </c>
      <c r="K312" s="14" t="n"/>
      <c r="L312" s="14" t="n">
        <v>300</v>
      </c>
      <c r="M312" s="13" t="inlineStr">
        <is>
          <t>de omzet stijgt</t>
        </is>
      </c>
      <c r="N312" s="13" t="inlineStr">
        <is>
          <t>nee</t>
        </is>
      </c>
    </row>
    <row r="313">
      <c r="A313" s="12" t="n">
        <v>312</v>
      </c>
      <c r="B313" s="16" t="n">
        <v>46368</v>
      </c>
      <c r="C313" s="8" t="inlineStr">
        <is>
          <t>REMEDIERING</t>
        </is>
      </c>
      <c r="D313" s="13" t="inlineStr">
        <is>
          <t>K4</t>
        </is>
      </c>
      <c r="E313" s="13" t="inlineStr">
        <is>
          <t>Q4D1</t>
        </is>
      </c>
      <c r="F313" s="13" t="inlineStr">
        <is>
          <t>DO-2026-06</t>
        </is>
      </c>
      <c r="G313" s="13" t="n">
        <v>704000</v>
      </c>
      <c r="H313" s="13">
        <f>INDEX('MAR 2e graad'!$B$2:$B$58,MATCH(G313,'MAR 2e graad'!$A$2:$A$58,0))</f>
        <v/>
      </c>
      <c r="I313" s="13">
        <f>INDEX('MAR 2e graad'!$C$2:$C$58,MATCH(G313,'MAR 2e graad'!$A$2:$A$58,0))</f>
        <v/>
      </c>
      <c r="J313" s="13">
        <f>IF(OR(I313="A",I313="K"),IF(K313&gt;0,"+","-"),IF(L313&gt;0,"+","-"))</f>
        <v/>
      </c>
      <c r="K313" s="14" t="n"/>
      <c r="L313" s="14" t="n">
        <v>200</v>
      </c>
      <c r="M313" s="13" t="inlineStr">
        <is>
          <t>de omzet stijgt</t>
        </is>
      </c>
      <c r="N313" s="13" t="inlineStr">
        <is>
          <t>nee</t>
        </is>
      </c>
    </row>
    <row r="314">
      <c r="A314" s="12" t="n">
        <v>313</v>
      </c>
      <c r="B314" s="16" t="n">
        <v>46368</v>
      </c>
      <c r="C314" s="8" t="inlineStr">
        <is>
          <t>REMEDIERING</t>
        </is>
      </c>
      <c r="D314" s="13" t="inlineStr">
        <is>
          <t>K4</t>
        </is>
      </c>
      <c r="E314" s="13" t="inlineStr">
        <is>
          <t>Q4D1</t>
        </is>
      </c>
      <c r="F314" s="13" t="inlineStr">
        <is>
          <t>DO-2026-06</t>
        </is>
      </c>
      <c r="G314" s="13" t="n">
        <v>700000</v>
      </c>
      <c r="H314" s="13">
        <f>INDEX('MAR 2e graad'!$B$2:$B$58,MATCH(G314,'MAR 2e graad'!$A$2:$A$58,0))</f>
        <v/>
      </c>
      <c r="I314" s="13">
        <f>INDEX('MAR 2e graad'!$C$2:$C$58,MATCH(G314,'MAR 2e graad'!$A$2:$A$58,0))</f>
        <v/>
      </c>
      <c r="J314" s="13">
        <f>IF(OR(I314="A",I314="K"),IF(K314&gt;0,"+","-"),IF(L314&gt;0,"+","-"))</f>
        <v/>
      </c>
      <c r="K314" s="14" t="n"/>
      <c r="L314" s="14" t="n">
        <v>600</v>
      </c>
      <c r="M314" s="13" t="inlineStr">
        <is>
          <t>de omzet (diensten) stijgt</t>
        </is>
      </c>
      <c r="N314" s="13" t="inlineStr">
        <is>
          <t>nee</t>
        </is>
      </c>
    </row>
    <row r="315">
      <c r="A315" s="12" t="n">
        <v>314</v>
      </c>
      <c r="B315" s="16" t="n">
        <v>46368</v>
      </c>
      <c r="C315" s="8" t="inlineStr">
        <is>
          <t>REMEDIERING</t>
        </is>
      </c>
      <c r="D315" s="13" t="inlineStr">
        <is>
          <t>K4</t>
        </is>
      </c>
      <c r="E315" s="13" t="inlineStr">
        <is>
          <t>Q4D1</t>
        </is>
      </c>
      <c r="F315" s="13" t="inlineStr">
        <is>
          <t>DO-2026-06</t>
        </is>
      </c>
      <c r="G315" s="13" t="n">
        <v>451100</v>
      </c>
      <c r="H315" s="13">
        <f>INDEX('MAR 2e graad'!$B$2:$B$58,MATCH(G315,'MAR 2e graad'!$A$2:$A$58,0))</f>
        <v/>
      </c>
      <c r="I315" s="13">
        <f>INDEX('MAR 2e graad'!$C$2:$C$58,MATCH(G315,'MAR 2e graad'!$A$2:$A$58,0))</f>
        <v/>
      </c>
      <c r="J315" s="13">
        <f>IF(OR(I315="A",I315="K"),IF(K315&gt;0,"+","-"),IF(L315&gt;0,"+","-"))</f>
        <v/>
      </c>
      <c r="K315" s="14" t="n"/>
      <c r="L315" s="14" t="n">
        <v>561</v>
      </c>
      <c r="M315" s="13" t="inlineStr">
        <is>
          <t>de schuld aan de overheid (verschuldigde btw) stijgt</t>
        </is>
      </c>
      <c r="N315" s="13" t="inlineStr">
        <is>
          <t>nee</t>
        </is>
      </c>
    </row>
    <row r="316">
      <c r="A316" s="12" t="n">
        <v>315</v>
      </c>
      <c r="B316" s="16" t="n">
        <v>46368</v>
      </c>
      <c r="C316" s="8" t="inlineStr">
        <is>
          <t>REMEDIERING</t>
        </is>
      </c>
      <c r="D316" s="13" t="inlineStr">
        <is>
          <t>K4</t>
        </is>
      </c>
      <c r="E316" s="13" t="inlineStr">
        <is>
          <t>Q4D1K</t>
        </is>
      </c>
      <c r="F316" s="13" t="inlineStr">
        <is>
          <t>Kasboek DO-2026-06</t>
        </is>
      </c>
      <c r="G316" s="13" t="n">
        <v>570000</v>
      </c>
      <c r="H316" s="13">
        <f>INDEX('MAR 2e graad'!$B$2:$B$58,MATCH(G316,'MAR 2e graad'!$A$2:$A$58,0))</f>
        <v/>
      </c>
      <c r="I316" s="13">
        <f>INDEX('MAR 2e graad'!$C$2:$C$58,MATCH(G316,'MAR 2e graad'!$A$2:$A$58,0))</f>
        <v/>
      </c>
      <c r="J316" s="13">
        <f>IF(OR(I316="A",I316="K"),IF(K316&gt;0,"+","-"),IF(L316&gt;0,"+","-"))</f>
        <v/>
      </c>
      <c r="K316" s="14" t="n">
        <v>661</v>
      </c>
      <c r="L316" s="14" t="n"/>
      <c r="M316" s="13" t="inlineStr">
        <is>
          <t>de kas stijgt</t>
        </is>
      </c>
      <c r="N316" s="13" t="inlineStr">
        <is>
          <t>nee</t>
        </is>
      </c>
    </row>
    <row r="317">
      <c r="A317" s="12" t="n">
        <v>316</v>
      </c>
      <c r="B317" s="16" t="n">
        <v>46368</v>
      </c>
      <c r="C317" s="8" t="inlineStr">
        <is>
          <t>REMEDIERING</t>
        </is>
      </c>
      <c r="D317" s="13" t="inlineStr">
        <is>
          <t>K4</t>
        </is>
      </c>
      <c r="E317" s="13" t="inlineStr">
        <is>
          <t>Q4D1K</t>
        </is>
      </c>
      <c r="F317" s="13" t="inlineStr">
        <is>
          <t>Kasboek DO-2026-06</t>
        </is>
      </c>
      <c r="G317" s="13" t="n">
        <v>400000</v>
      </c>
      <c r="H317" s="13">
        <f>INDEX('MAR 2e graad'!$B$2:$B$58,MATCH(G317,'MAR 2e graad'!$A$2:$A$58,0))</f>
        <v/>
      </c>
      <c r="I317" s="13">
        <f>INDEX('MAR 2e graad'!$C$2:$C$58,MATCH(G317,'MAR 2e graad'!$A$2:$A$58,0))</f>
        <v/>
      </c>
      <c r="J317" s="13">
        <f>IF(OR(I317="A",I317="K"),IF(K317&gt;0,"+","-"),IF(L317&gt;0,"+","-"))</f>
        <v/>
      </c>
      <c r="K317" s="14" t="n"/>
      <c r="L317" s="14" t="n">
        <v>661</v>
      </c>
      <c r="M317" s="13" t="inlineStr">
        <is>
          <t>de vordering op de klanten (contant betaald) daalt</t>
        </is>
      </c>
      <c r="N317" s="13" t="inlineStr">
        <is>
          <t>nee</t>
        </is>
      </c>
    </row>
    <row r="318">
      <c r="A318" s="12" t="n">
        <v>317</v>
      </c>
      <c r="B318" s="16" t="n">
        <v>46372</v>
      </c>
      <c r="C318" s="8" t="inlineStr">
        <is>
          <t>REMEDIERING</t>
        </is>
      </c>
      <c r="D318" s="13" t="inlineStr">
        <is>
          <t>K4</t>
        </is>
      </c>
      <c r="E318" s="13" t="inlineStr">
        <is>
          <t>U2026-17/1</t>
        </is>
      </c>
      <c r="F318" s="13" t="inlineStr">
        <is>
          <t>uittreksel U2026-17/1</t>
        </is>
      </c>
      <c r="G318" s="13" t="n">
        <v>550000</v>
      </c>
      <c r="H318" s="13">
        <f>INDEX('MAR 2e graad'!$B$2:$B$58,MATCH(G318,'MAR 2e graad'!$A$2:$A$58,0))</f>
        <v/>
      </c>
      <c r="I318" s="13">
        <f>INDEX('MAR 2e graad'!$C$2:$C$58,MATCH(G318,'MAR 2e graad'!$A$2:$A$58,0))</f>
        <v/>
      </c>
      <c r="J318" s="13">
        <f>IF(OR(I318="A",I318="K"),IF(K318&gt;0,"+","-"),IF(L318&gt;0,"+","-"))</f>
        <v/>
      </c>
      <c r="K318" s="14" t="n">
        <v>3000</v>
      </c>
      <c r="L318" s="14" t="n"/>
      <c r="M318" s="13" t="inlineStr">
        <is>
          <t>de bank stijgt</t>
        </is>
      </c>
      <c r="N318" s="13" t="inlineStr">
        <is>
          <t>nee</t>
        </is>
      </c>
    </row>
    <row r="319">
      <c r="A319" s="12" t="n">
        <v>318</v>
      </c>
      <c r="B319" s="16" t="n">
        <v>46372</v>
      </c>
      <c r="C319" s="8" t="inlineStr">
        <is>
          <t>REMEDIERING</t>
        </is>
      </c>
      <c r="D319" s="13" t="inlineStr">
        <is>
          <t>K4</t>
        </is>
      </c>
      <c r="E319" s="13" t="inlineStr">
        <is>
          <t>U2026-17/1</t>
        </is>
      </c>
      <c r="F319" s="13" t="inlineStr">
        <is>
          <t>uittreksel U2026-17/1</t>
        </is>
      </c>
      <c r="G319" s="13" t="n">
        <v>400000</v>
      </c>
      <c r="H319" s="13">
        <f>INDEX('MAR 2e graad'!$B$2:$B$58,MATCH(G319,'MAR 2e graad'!$A$2:$A$58,0))</f>
        <v/>
      </c>
      <c r="I319" s="13">
        <f>INDEX('MAR 2e graad'!$C$2:$C$58,MATCH(G319,'MAR 2e graad'!$A$2:$A$58,0))</f>
        <v/>
      </c>
      <c r="J319" s="13">
        <f>IF(OR(I319="A",I319="K"),IF(K319&gt;0,"+","-"),IF(L319&gt;0,"+","-"))</f>
        <v/>
      </c>
      <c r="K319" s="14" t="n"/>
      <c r="L319" s="14" t="n">
        <v>3000</v>
      </c>
      <c r="M319" s="13" t="inlineStr">
        <is>
          <t>de vordering (bancontact) daalt</t>
        </is>
      </c>
      <c r="N319" s="13" t="inlineStr">
        <is>
          <t>nee</t>
        </is>
      </c>
    </row>
    <row r="320">
      <c r="A320" s="12" t="n">
        <v>319</v>
      </c>
      <c r="B320" s="16" t="n">
        <v>46384</v>
      </c>
      <c r="C320" s="9" t="inlineStr">
        <is>
          <t>BOEKHOUDER</t>
        </is>
      </c>
      <c r="D320" s="13" t="inlineStr">
        <is>
          <t>K4</t>
        </is>
      </c>
      <c r="E320" s="13" t="inlineStr">
        <is>
          <t>B1</t>
        </is>
      </c>
      <c r="F320" s="13" t="inlineStr">
        <is>
          <t>2026-1288</t>
        </is>
      </c>
      <c r="G320" s="13" t="n">
        <v>604000</v>
      </c>
      <c r="H320" s="13">
        <f>INDEX('MAR 2e graad'!$B$2:$B$58,MATCH(G320,'MAR 2e graad'!$A$2:$A$58,0))</f>
        <v/>
      </c>
      <c r="I320" s="13">
        <f>INDEX('MAR 2e graad'!$C$2:$C$58,MATCH(G320,'MAR 2e graad'!$A$2:$A$58,0))</f>
        <v/>
      </c>
      <c r="J320" s="13">
        <f>IF(OR(I320="A",I320="K"),IF(K320&gt;0,"+","-"),IF(L320&gt;0,"+","-"))</f>
        <v/>
      </c>
      <c r="K320" s="14" t="n">
        <v>2400</v>
      </c>
      <c r="L320" s="14" t="n"/>
      <c r="M320" s="13" t="inlineStr">
        <is>
          <t>de kosten voor handelsgoederen stijgen</t>
        </is>
      </c>
      <c r="N320" s="13" t="inlineStr">
        <is>
          <t>nee</t>
        </is>
      </c>
    </row>
    <row r="321">
      <c r="A321" s="12" t="n">
        <v>320</v>
      </c>
      <c r="B321" s="16" t="n">
        <v>46384</v>
      </c>
      <c r="C321" s="9" t="inlineStr">
        <is>
          <t>BOEKHOUDER</t>
        </is>
      </c>
      <c r="D321" s="13" t="inlineStr">
        <is>
          <t>K4</t>
        </is>
      </c>
      <c r="E321" s="13" t="inlineStr">
        <is>
          <t>B1</t>
        </is>
      </c>
      <c r="F321" s="13" t="inlineStr">
        <is>
          <t>2026-1288</t>
        </is>
      </c>
      <c r="G321" s="13" t="n">
        <v>604000</v>
      </c>
      <c r="H321" s="13">
        <f>INDEX('MAR 2e graad'!$B$2:$B$58,MATCH(G321,'MAR 2e graad'!$A$2:$A$58,0))</f>
        <v/>
      </c>
      <c r="I321" s="13">
        <f>INDEX('MAR 2e graad'!$C$2:$C$58,MATCH(G321,'MAR 2e graad'!$A$2:$A$58,0))</f>
        <v/>
      </c>
      <c r="J321" s="13">
        <f>IF(OR(I321="A",I321="K"),IF(K321&gt;0,"+","-"),IF(L321&gt;0,"+","-"))</f>
        <v/>
      </c>
      <c r="K321" s="14" t="n">
        <v>3600</v>
      </c>
      <c r="L321" s="14" t="n"/>
      <c r="M321" s="13" t="inlineStr">
        <is>
          <t>de kosten voor handelsgoederen stijgen</t>
        </is>
      </c>
      <c r="N321" s="13" t="inlineStr">
        <is>
          <t>nee</t>
        </is>
      </c>
    </row>
    <row r="322">
      <c r="A322" s="12" t="n">
        <v>321</v>
      </c>
      <c r="B322" s="16" t="n">
        <v>46384</v>
      </c>
      <c r="C322" s="9" t="inlineStr">
        <is>
          <t>BOEKHOUDER</t>
        </is>
      </c>
      <c r="D322" s="13" t="inlineStr">
        <is>
          <t>K4</t>
        </is>
      </c>
      <c r="E322" s="13" t="inlineStr">
        <is>
          <t>B1</t>
        </is>
      </c>
      <c r="F322" s="13" t="inlineStr">
        <is>
          <t>2026-1288</t>
        </is>
      </c>
      <c r="G322" s="13" t="n">
        <v>411100</v>
      </c>
      <c r="H322" s="13">
        <f>INDEX('MAR 2e graad'!$B$2:$B$58,MATCH(G322,'MAR 2e graad'!$A$2:$A$58,0))</f>
        <v/>
      </c>
      <c r="I322" s="13">
        <f>INDEX('MAR 2e graad'!$C$2:$C$58,MATCH(G322,'MAR 2e graad'!$A$2:$A$58,0))</f>
        <v/>
      </c>
      <c r="J322" s="13">
        <f>IF(OR(I322="A",I322="K"),IF(K322&gt;0,"+","-"),IF(L322&gt;0,"+","-"))</f>
        <v/>
      </c>
      <c r="K322" s="14" t="n">
        <v>1260</v>
      </c>
      <c r="L322" s="14" t="n"/>
      <c r="M322" s="13" t="inlineStr">
        <is>
          <t>de vordering op de overheid (aftrekbare btw) stijgt</t>
        </is>
      </c>
      <c r="N322" s="13" t="inlineStr">
        <is>
          <t>nee</t>
        </is>
      </c>
    </row>
    <row r="323">
      <c r="A323" s="12" t="n">
        <v>322</v>
      </c>
      <c r="B323" s="16" t="n">
        <v>46384</v>
      </c>
      <c r="C323" s="9" t="inlineStr">
        <is>
          <t>BOEKHOUDER</t>
        </is>
      </c>
      <c r="D323" s="13" t="inlineStr">
        <is>
          <t>K4</t>
        </is>
      </c>
      <c r="E323" s="13" t="inlineStr">
        <is>
          <t>B1</t>
        </is>
      </c>
      <c r="F323" s="13" t="inlineStr">
        <is>
          <t>2026-1288</t>
        </is>
      </c>
      <c r="G323" s="13" t="n">
        <v>440000</v>
      </c>
      <c r="H323" s="13">
        <f>INDEX('MAR 2e graad'!$B$2:$B$58,MATCH(G323,'MAR 2e graad'!$A$2:$A$58,0))</f>
        <v/>
      </c>
      <c r="I323" s="13">
        <f>INDEX('MAR 2e graad'!$C$2:$C$58,MATCH(G323,'MAR 2e graad'!$A$2:$A$58,0))</f>
        <v/>
      </c>
      <c r="J323" s="13">
        <f>IF(OR(I323="A",I323="K"),IF(K323&gt;0,"+","-"),IF(L323&gt;0,"+","-"))</f>
        <v/>
      </c>
      <c r="K323" s="14" t="n"/>
      <c r="L323" s="14" t="n">
        <v>7260</v>
      </c>
      <c r="M323" s="13" t="inlineStr">
        <is>
          <t>de schuld aan de leverancier stijgt</t>
        </is>
      </c>
      <c r="N323" s="13" t="inlineStr">
        <is>
          <t>nee</t>
        </is>
      </c>
    </row>
    <row r="324">
      <c r="A324" s="12" t="n">
        <v>323</v>
      </c>
      <c r="B324" s="16" t="n">
        <v>46385</v>
      </c>
      <c r="C324" s="9" t="inlineStr">
        <is>
          <t>BOEKHOUDER</t>
        </is>
      </c>
      <c r="D324" s="13" t="inlineStr">
        <is>
          <t>K4</t>
        </is>
      </c>
      <c r="E324" s="13" t="inlineStr">
        <is>
          <t>B2</t>
        </is>
      </c>
      <c r="F324" s="13" t="inlineStr">
        <is>
          <t>2026-018</t>
        </is>
      </c>
      <c r="G324" s="13" t="n">
        <v>400000</v>
      </c>
      <c r="H324" s="13">
        <f>INDEX('MAR 2e graad'!$B$2:$B$58,MATCH(G324,'MAR 2e graad'!$A$2:$A$58,0))</f>
        <v/>
      </c>
      <c r="I324" s="13">
        <f>INDEX('MAR 2e graad'!$C$2:$C$58,MATCH(G324,'MAR 2e graad'!$A$2:$A$58,0))</f>
        <v/>
      </c>
      <c r="J324" s="13">
        <f>IF(OR(I324="A",I324="K"),IF(K324&gt;0,"+","-"),IF(L324&gt;0,"+","-"))</f>
        <v/>
      </c>
      <c r="K324" s="14" t="n">
        <v>9196</v>
      </c>
      <c r="L324" s="14" t="n"/>
      <c r="M324" s="13" t="inlineStr">
        <is>
          <t>de vordering op de klant stijgt</t>
        </is>
      </c>
      <c r="N324" s="13" t="inlineStr">
        <is>
          <t>nee</t>
        </is>
      </c>
    </row>
    <row r="325">
      <c r="A325" s="12" t="n">
        <v>324</v>
      </c>
      <c r="B325" s="16" t="n">
        <v>46385</v>
      </c>
      <c r="C325" s="9" t="inlineStr">
        <is>
          <t>BOEKHOUDER</t>
        </is>
      </c>
      <c r="D325" s="13" t="inlineStr">
        <is>
          <t>K4</t>
        </is>
      </c>
      <c r="E325" s="13" t="inlineStr">
        <is>
          <t>B2</t>
        </is>
      </c>
      <c r="F325" s="13" t="inlineStr">
        <is>
          <t>2026-018</t>
        </is>
      </c>
      <c r="G325" s="13" t="n">
        <v>704000</v>
      </c>
      <c r="H325" s="13">
        <f>INDEX('MAR 2e graad'!$B$2:$B$58,MATCH(G325,'MAR 2e graad'!$A$2:$A$58,0))</f>
        <v/>
      </c>
      <c r="I325" s="13">
        <f>INDEX('MAR 2e graad'!$C$2:$C$58,MATCH(G325,'MAR 2e graad'!$A$2:$A$58,0))</f>
        <v/>
      </c>
      <c r="J325" s="13">
        <f>IF(OR(I325="A",I325="K"),IF(K325&gt;0,"+","-"),IF(L325&gt;0,"+","-"))</f>
        <v/>
      </c>
      <c r="K325" s="14" t="n"/>
      <c r="L325" s="14" t="n">
        <v>2400</v>
      </c>
      <c r="M325" s="13" t="inlineStr">
        <is>
          <t>de omzet stijgt</t>
        </is>
      </c>
      <c r="N325" s="13" t="inlineStr">
        <is>
          <t>nee</t>
        </is>
      </c>
    </row>
    <row r="326">
      <c r="A326" s="12" t="n">
        <v>325</v>
      </c>
      <c r="B326" s="16" t="n">
        <v>46385</v>
      </c>
      <c r="C326" s="9" t="inlineStr">
        <is>
          <t>BOEKHOUDER</t>
        </is>
      </c>
      <c r="D326" s="13" t="inlineStr">
        <is>
          <t>K4</t>
        </is>
      </c>
      <c r="E326" s="13" t="inlineStr">
        <is>
          <t>B2</t>
        </is>
      </c>
      <c r="F326" s="13" t="inlineStr">
        <is>
          <t>2026-018</t>
        </is>
      </c>
      <c r="G326" s="13" t="n">
        <v>704000</v>
      </c>
      <c r="H326" s="13">
        <f>INDEX('MAR 2e graad'!$B$2:$B$58,MATCH(G326,'MAR 2e graad'!$A$2:$A$58,0))</f>
        <v/>
      </c>
      <c r="I326" s="13">
        <f>INDEX('MAR 2e graad'!$C$2:$C$58,MATCH(G326,'MAR 2e graad'!$A$2:$A$58,0))</f>
        <v/>
      </c>
      <c r="J326" s="13">
        <f>IF(OR(I326="A",I326="K"),IF(K326&gt;0,"+","-"),IF(L326&gt;0,"+","-"))</f>
        <v/>
      </c>
      <c r="K326" s="14" t="n"/>
      <c r="L326" s="14" t="n">
        <v>5200</v>
      </c>
      <c r="M326" s="13" t="inlineStr">
        <is>
          <t>de omzet stijgt</t>
        </is>
      </c>
      <c r="N326" s="13" t="inlineStr">
        <is>
          <t>nee</t>
        </is>
      </c>
    </row>
    <row r="327">
      <c r="A327" s="12" t="n">
        <v>326</v>
      </c>
      <c r="B327" s="16" t="n">
        <v>46385</v>
      </c>
      <c r="C327" s="9" t="inlineStr">
        <is>
          <t>BOEKHOUDER</t>
        </is>
      </c>
      <c r="D327" s="13" t="inlineStr">
        <is>
          <t>K4</t>
        </is>
      </c>
      <c r="E327" s="13" t="inlineStr">
        <is>
          <t>B2</t>
        </is>
      </c>
      <c r="F327" s="13" t="inlineStr">
        <is>
          <t>2026-018</t>
        </is>
      </c>
      <c r="G327" s="13" t="n">
        <v>451100</v>
      </c>
      <c r="H327" s="13">
        <f>INDEX('MAR 2e graad'!$B$2:$B$58,MATCH(G327,'MAR 2e graad'!$A$2:$A$58,0))</f>
        <v/>
      </c>
      <c r="I327" s="13">
        <f>INDEX('MAR 2e graad'!$C$2:$C$58,MATCH(G327,'MAR 2e graad'!$A$2:$A$58,0))</f>
        <v/>
      </c>
      <c r="J327" s="13">
        <f>IF(OR(I327="A",I327="K"),IF(K327&gt;0,"+","-"),IF(L327&gt;0,"+","-"))</f>
        <v/>
      </c>
      <c r="K327" s="14" t="n"/>
      <c r="L327" s="14" t="n">
        <v>1596</v>
      </c>
      <c r="M327" s="13" t="inlineStr">
        <is>
          <t>de schuld aan de overheid (verschuldigde btw) stijgt</t>
        </is>
      </c>
      <c r="N327" s="13" t="inlineStr">
        <is>
          <t>nee</t>
        </is>
      </c>
    </row>
    <row r="328">
      <c r="A328" s="12" t="n">
        <v>327</v>
      </c>
      <c r="B328" s="16" t="n">
        <v>46387</v>
      </c>
      <c r="C328" s="9" t="inlineStr">
        <is>
          <t>BOEKHOUDER</t>
        </is>
      </c>
      <c r="D328" s="13" t="inlineStr">
        <is>
          <t>K4</t>
        </is>
      </c>
      <c r="E328" s="13" t="inlineStr">
        <is>
          <t>AF1-1</t>
        </is>
      </c>
      <c r="F328" s="13" t="inlineStr">
        <is>
          <t>AF1-1</t>
        </is>
      </c>
      <c r="G328" s="13" t="n">
        <v>451100</v>
      </c>
      <c r="H328" s="13">
        <f>INDEX('MAR 2e graad'!$B$2:$B$58,MATCH(G328,'MAR 2e graad'!$A$2:$A$58,0))</f>
        <v/>
      </c>
      <c r="I328" s="13">
        <f>INDEX('MAR 2e graad'!$C$2:$C$58,MATCH(G328,'MAR 2e graad'!$A$2:$A$58,0))</f>
        <v/>
      </c>
      <c r="J328" s="13">
        <f>IF(OR(I328="A",I328="K"),IF(K328&gt;0,"+","-"),IF(L328&gt;0,"+","-"))</f>
        <v/>
      </c>
      <c r="K328" s="14" t="n">
        <v>15162</v>
      </c>
      <c r="L328" s="14" t="n"/>
      <c r="M328" s="13" t="inlineStr">
        <is>
          <t>de verschuldigde btw wordt op 0 gezet</t>
        </is>
      </c>
      <c r="N328" s="13" t="inlineStr">
        <is>
          <t>ja</t>
        </is>
      </c>
    </row>
    <row r="329">
      <c r="A329" s="12" t="n">
        <v>328</v>
      </c>
      <c r="B329" s="16" t="n">
        <v>46387</v>
      </c>
      <c r="C329" s="9" t="inlineStr">
        <is>
          <t>BOEKHOUDER</t>
        </is>
      </c>
      <c r="D329" s="13" t="inlineStr">
        <is>
          <t>K4</t>
        </is>
      </c>
      <c r="E329" s="13" t="inlineStr">
        <is>
          <t>AF1-1</t>
        </is>
      </c>
      <c r="F329" s="13" t="inlineStr">
        <is>
          <t>AF1-1</t>
        </is>
      </c>
      <c r="G329" s="13" t="n">
        <v>451200</v>
      </c>
      <c r="H329" s="13">
        <f>INDEX('MAR 2e graad'!$B$2:$B$58,MATCH(G329,'MAR 2e graad'!$A$2:$A$58,0))</f>
        <v/>
      </c>
      <c r="I329" s="13">
        <f>INDEX('MAR 2e graad'!$C$2:$C$58,MATCH(G329,'MAR 2e graad'!$A$2:$A$58,0))</f>
        <v/>
      </c>
      <c r="J329" s="13">
        <f>IF(OR(I329="A",I329="K"),IF(K329&gt;0,"+","-"),IF(L329&gt;0,"+","-"))</f>
        <v/>
      </c>
      <c r="K329" s="14" t="n">
        <v>966</v>
      </c>
      <c r="L329" s="14" t="n"/>
      <c r="M329" s="13" t="inlineStr">
        <is>
          <t>de verschuldigde btw op inkomende creditnota’s wordt op 0 gezet</t>
        </is>
      </c>
      <c r="N329" s="13" t="inlineStr">
        <is>
          <t>ja</t>
        </is>
      </c>
    </row>
    <row r="330">
      <c r="A330" s="12" t="n">
        <v>329</v>
      </c>
      <c r="B330" s="16" t="n">
        <v>46387</v>
      </c>
      <c r="C330" s="9" t="inlineStr">
        <is>
          <t>BOEKHOUDER</t>
        </is>
      </c>
      <c r="D330" s="13" t="inlineStr">
        <is>
          <t>K4</t>
        </is>
      </c>
      <c r="E330" s="13" t="inlineStr">
        <is>
          <t>AF1-1</t>
        </is>
      </c>
      <c r="F330" s="13" t="inlineStr">
        <is>
          <t>AF1-1</t>
        </is>
      </c>
      <c r="G330" s="13" t="n">
        <v>411100</v>
      </c>
      <c r="H330" s="13">
        <f>INDEX('MAR 2e graad'!$B$2:$B$58,MATCH(G330,'MAR 2e graad'!$A$2:$A$58,0))</f>
        <v/>
      </c>
      <c r="I330" s="13">
        <f>INDEX('MAR 2e graad'!$C$2:$C$58,MATCH(G330,'MAR 2e graad'!$A$2:$A$58,0))</f>
        <v/>
      </c>
      <c r="J330" s="13">
        <f>IF(OR(I330="A",I330="K"),IF(K330&gt;0,"+","-"),IF(L330&gt;0,"+","-"))</f>
        <v/>
      </c>
      <c r="K330" s="14" t="n"/>
      <c r="L330" s="14" t="n">
        <v>12894</v>
      </c>
      <c r="M330" s="13" t="inlineStr">
        <is>
          <t>de aftrekbare btw wordt op 0 gezet</t>
        </is>
      </c>
      <c r="N330" s="13" t="inlineStr">
        <is>
          <t>ja</t>
        </is>
      </c>
    </row>
    <row r="331">
      <c r="A331" s="12" t="n">
        <v>330</v>
      </c>
      <c r="B331" s="16" t="n">
        <v>46387</v>
      </c>
      <c r="C331" s="9" t="inlineStr">
        <is>
          <t>BOEKHOUDER</t>
        </is>
      </c>
      <c r="D331" s="13" t="inlineStr">
        <is>
          <t>K4</t>
        </is>
      </c>
      <c r="E331" s="13" t="inlineStr">
        <is>
          <t>AF1-1</t>
        </is>
      </c>
      <c r="F331" s="13" t="inlineStr">
        <is>
          <t>AF1-1</t>
        </is>
      </c>
      <c r="G331" s="13" t="n">
        <v>411200</v>
      </c>
      <c r="H331" s="13">
        <f>INDEX('MAR 2e graad'!$B$2:$B$58,MATCH(G331,'MAR 2e graad'!$A$2:$A$58,0))</f>
        <v/>
      </c>
      <c r="I331" s="13">
        <f>INDEX('MAR 2e graad'!$C$2:$C$58,MATCH(G331,'MAR 2e graad'!$A$2:$A$58,0))</f>
        <v/>
      </c>
      <c r="J331" s="13">
        <f>IF(OR(I331="A",I331="K"),IF(K331&gt;0,"+","-"),IF(L331&gt;0,"+","-"))</f>
        <v/>
      </c>
      <c r="K331" s="14" t="n"/>
      <c r="L331" s="14" t="n">
        <v>1806</v>
      </c>
      <c r="M331" s="13" t="inlineStr">
        <is>
          <t>de aftrekbare btw op uitgaande creditnota’s wordt op 0 gezet</t>
        </is>
      </c>
      <c r="N331" s="13" t="inlineStr">
        <is>
          <t>ja</t>
        </is>
      </c>
    </row>
    <row r="332">
      <c r="A332" s="12" t="n">
        <v>331</v>
      </c>
      <c r="B332" s="16" t="n">
        <v>46387</v>
      </c>
      <c r="C332" s="9" t="inlineStr">
        <is>
          <t>BOEKHOUDER</t>
        </is>
      </c>
      <c r="D332" s="13" t="inlineStr">
        <is>
          <t>K4</t>
        </is>
      </c>
      <c r="E332" s="13" t="inlineStr">
        <is>
          <t>AF1-1</t>
        </is>
      </c>
      <c r="F332" s="13" t="inlineStr">
        <is>
          <t>AF1-1</t>
        </is>
      </c>
      <c r="G332" s="13" t="n">
        <v>451000</v>
      </c>
      <c r="H332" s="13">
        <f>INDEX('MAR 2e graad'!$B$2:$B$58,MATCH(G332,'MAR 2e graad'!$A$2:$A$58,0))</f>
        <v/>
      </c>
      <c r="I332" s="13">
        <f>INDEX('MAR 2e graad'!$C$2:$C$58,MATCH(G332,'MAR 2e graad'!$A$2:$A$58,0))</f>
        <v/>
      </c>
      <c r="J332" s="13">
        <f>IF(OR(I332="A",I332="K"),IF(K332&gt;0,"+","-"),IF(L332&gt;0,"+","-"))</f>
        <v/>
      </c>
      <c r="K332" s="14" t="n"/>
      <c r="L332" s="14" t="n">
        <v>1428</v>
      </c>
      <c r="M332" s="13" t="inlineStr">
        <is>
          <t>de te betalen btw stijgt</t>
        </is>
      </c>
      <c r="N332" s="13" t="inlineStr">
        <is>
          <t>ja</t>
        </is>
      </c>
    </row>
    <row r="333">
      <c r="A333" s="12" t="n">
        <v>332</v>
      </c>
      <c r="B333" s="16" t="n">
        <v>46387</v>
      </c>
      <c r="C333" s="9" t="inlineStr">
        <is>
          <t>BOEKHOUDER</t>
        </is>
      </c>
      <c r="D333" s="13" t="inlineStr">
        <is>
          <t>K4</t>
        </is>
      </c>
      <c r="E333" s="13" t="inlineStr">
        <is>
          <t>AF1-2</t>
        </is>
      </c>
      <c r="F333" s="13" t="inlineStr">
        <is>
          <t>AF1-2</t>
        </is>
      </c>
      <c r="G333" s="13" t="n">
        <v>340000</v>
      </c>
      <c r="H333" s="13">
        <f>INDEX('MAR 2e graad'!$B$2:$B$58,MATCH(G333,'MAR 2e graad'!$A$2:$A$58,0))</f>
        <v/>
      </c>
      <c r="I333" s="13">
        <f>INDEX('MAR 2e graad'!$C$2:$C$58,MATCH(G333,'MAR 2e graad'!$A$2:$A$58,0))</f>
        <v/>
      </c>
      <c r="J333" s="13">
        <f>IF(OR(I333="A",I333="K"),IF(K333&gt;0,"+","-"),IF(L333&gt;0,"+","-"))</f>
        <v/>
      </c>
      <c r="K333" s="14" t="n">
        <v>8720</v>
      </c>
      <c r="L333" s="14" t="n"/>
      <c r="M333" s="13" t="inlineStr">
        <is>
          <t>de voorraad stijgt</t>
        </is>
      </c>
      <c r="N333" s="13" t="inlineStr">
        <is>
          <t>ja</t>
        </is>
      </c>
    </row>
    <row r="334">
      <c r="A334" s="12" t="n">
        <v>333</v>
      </c>
      <c r="B334" s="16" t="n">
        <v>46387</v>
      </c>
      <c r="C334" s="9" t="inlineStr">
        <is>
          <t>BOEKHOUDER</t>
        </is>
      </c>
      <c r="D334" s="13" t="inlineStr">
        <is>
          <t>K4</t>
        </is>
      </c>
      <c r="E334" s="13" t="inlineStr">
        <is>
          <t>AF1-2</t>
        </is>
      </c>
      <c r="F334" s="13" t="inlineStr">
        <is>
          <t>AF1-2</t>
        </is>
      </c>
      <c r="G334" s="13" t="n">
        <v>609400</v>
      </c>
      <c r="H334" s="13">
        <f>INDEX('MAR 2e graad'!$B$2:$B$58,MATCH(G334,'MAR 2e graad'!$A$2:$A$58,0))</f>
        <v/>
      </c>
      <c r="I334" s="13">
        <f>INDEX('MAR 2e graad'!$C$2:$C$58,MATCH(G334,'MAR 2e graad'!$A$2:$A$58,0))</f>
        <v/>
      </c>
      <c r="J334" s="13">
        <f>IF(OR(I334="A",I334="K"),IF(K334&gt;0,"+","-"),IF(L334&gt;0,"+","-"))</f>
        <v/>
      </c>
      <c r="K334" s="14" t="n"/>
      <c r="L334" s="14" t="n">
        <v>8720</v>
      </c>
      <c r="M334" s="13" t="inlineStr">
        <is>
          <t>de kosten (voorraadwijziging) dalen</t>
        </is>
      </c>
      <c r="N334" s="13" t="inlineStr">
        <is>
          <t>ja</t>
        </is>
      </c>
    </row>
    <row r="335">
      <c r="A335" s="12" t="n">
        <v>334</v>
      </c>
      <c r="B335" s="16" t="n">
        <v>46387</v>
      </c>
      <c r="C335" s="9" t="inlineStr">
        <is>
          <t>BOEKHOUDER</t>
        </is>
      </c>
      <c r="D335" s="13" t="inlineStr">
        <is>
          <t>K4</t>
        </is>
      </c>
      <c r="E335" s="13" t="inlineStr">
        <is>
          <t>AF1-3</t>
        </is>
      </c>
      <c r="F335" s="13" t="inlineStr">
        <is>
          <t>AF1-3</t>
        </is>
      </c>
      <c r="G335" s="13" t="n">
        <v>630300</v>
      </c>
      <c r="H335" s="13">
        <f>INDEX('MAR 2e graad'!$B$2:$B$58,MATCH(G335,'MAR 2e graad'!$A$2:$A$58,0))</f>
        <v/>
      </c>
      <c r="I335" s="13">
        <f>INDEX('MAR 2e graad'!$C$2:$C$58,MATCH(G335,'MAR 2e graad'!$A$2:$A$58,0))</f>
        <v/>
      </c>
      <c r="J335" s="13">
        <f>IF(OR(I335="A",I335="K"),IF(K335&gt;0,"+","-"),IF(L335&gt;0,"+","-"))</f>
        <v/>
      </c>
      <c r="K335" s="14" t="n">
        <v>1200</v>
      </c>
      <c r="L335" s="14" t="n"/>
      <c r="M335" s="13" t="inlineStr">
        <is>
          <t>de kosten (afschrijving bakfiets) stijgen</t>
        </is>
      </c>
      <c r="N335" s="13" t="inlineStr">
        <is>
          <t>ja</t>
        </is>
      </c>
    </row>
    <row r="336">
      <c r="A336" s="12" t="n">
        <v>335</v>
      </c>
      <c r="B336" s="16" t="n">
        <v>46387</v>
      </c>
      <c r="C336" s="9" t="inlineStr">
        <is>
          <t>BOEKHOUDER</t>
        </is>
      </c>
      <c r="D336" s="13" t="inlineStr">
        <is>
          <t>K4</t>
        </is>
      </c>
      <c r="E336" s="13" t="inlineStr">
        <is>
          <t>AF1-3</t>
        </is>
      </c>
      <c r="F336" s="13" t="inlineStr">
        <is>
          <t>AF1-3</t>
        </is>
      </c>
      <c r="G336" s="13" t="n">
        <v>241009</v>
      </c>
      <c r="H336" s="13">
        <f>INDEX('MAR 2e graad'!$B$2:$B$58,MATCH(G336,'MAR 2e graad'!$A$2:$A$58,0))</f>
        <v/>
      </c>
      <c r="I336" s="13">
        <f>INDEX('MAR 2e graad'!$C$2:$C$58,MATCH(G336,'MAR 2e graad'!$A$2:$A$58,0))</f>
        <v/>
      </c>
      <c r="J336" s="13">
        <f>IF(OR(I336="A",I336="K"),IF(K336&gt;0,"+","-"),IF(L336&gt;0,"+","-"))</f>
        <v/>
      </c>
      <c r="K336" s="14" t="n"/>
      <c r="L336" s="14" t="n">
        <v>1200</v>
      </c>
      <c r="M336" s="13" t="inlineStr">
        <is>
          <t>de waarde van bakfiets daalt</t>
        </is>
      </c>
      <c r="N336" s="13" t="inlineStr">
        <is>
          <t>ja</t>
        </is>
      </c>
    </row>
    <row r="337">
      <c r="A337" s="12" t="n">
        <v>336</v>
      </c>
      <c r="B337" s="16" t="n">
        <v>46387</v>
      </c>
      <c r="C337" s="9" t="inlineStr">
        <is>
          <t>BOEKHOUDER</t>
        </is>
      </c>
      <c r="D337" s="13" t="inlineStr">
        <is>
          <t>K4</t>
        </is>
      </c>
      <c r="E337" s="13" t="inlineStr">
        <is>
          <t>AF1-3</t>
        </is>
      </c>
      <c r="F337" s="13" t="inlineStr">
        <is>
          <t>AF1-3</t>
        </is>
      </c>
      <c r="G337" s="13" t="n">
        <v>630200</v>
      </c>
      <c r="H337" s="13">
        <f>INDEX('MAR 2e graad'!$B$2:$B$58,MATCH(G337,'MAR 2e graad'!$A$2:$A$58,0))</f>
        <v/>
      </c>
      <c r="I337" s="13">
        <f>INDEX('MAR 2e graad'!$C$2:$C$58,MATCH(G337,'MAR 2e graad'!$A$2:$A$58,0))</f>
        <v/>
      </c>
      <c r="J337" s="13">
        <f>IF(OR(I337="A",I337="K"),IF(K337&gt;0,"+","-"),IF(L337&gt;0,"+","-"))</f>
        <v/>
      </c>
      <c r="K337" s="14" t="n">
        <v>300</v>
      </c>
      <c r="L337" s="14" t="n"/>
      <c r="M337" s="13" t="inlineStr">
        <is>
          <t>de kosten (afschrijving werkbank) stijgen</t>
        </is>
      </c>
      <c r="N337" s="13" t="inlineStr">
        <is>
          <t>ja</t>
        </is>
      </c>
    </row>
    <row r="338">
      <c r="A338" s="12" t="n">
        <v>337</v>
      </c>
      <c r="B338" s="16" t="n">
        <v>46387</v>
      </c>
      <c r="C338" s="9" t="inlineStr">
        <is>
          <t>BOEKHOUDER</t>
        </is>
      </c>
      <c r="D338" s="13" t="inlineStr">
        <is>
          <t>K4</t>
        </is>
      </c>
      <c r="E338" s="13" t="inlineStr">
        <is>
          <t>AF1-3</t>
        </is>
      </c>
      <c r="F338" s="13" t="inlineStr">
        <is>
          <t>AF1-3</t>
        </is>
      </c>
      <c r="G338" s="13" t="n">
        <v>230009</v>
      </c>
      <c r="H338" s="13">
        <f>INDEX('MAR 2e graad'!$B$2:$B$58,MATCH(G338,'MAR 2e graad'!$A$2:$A$58,0))</f>
        <v/>
      </c>
      <c r="I338" s="13">
        <f>INDEX('MAR 2e graad'!$C$2:$C$58,MATCH(G338,'MAR 2e graad'!$A$2:$A$58,0))</f>
        <v/>
      </c>
      <c r="J338" s="13">
        <f>IF(OR(I338="A",I338="K"),IF(K338&gt;0,"+","-"),IF(L338&gt;0,"+","-"))</f>
        <v/>
      </c>
      <c r="K338" s="14" t="n"/>
      <c r="L338" s="14" t="n">
        <v>300</v>
      </c>
      <c r="M338" s="13" t="inlineStr">
        <is>
          <t>de waarde van werkbank daalt</t>
        </is>
      </c>
      <c r="N338" s="13" t="inlineStr">
        <is>
          <t>ja</t>
        </is>
      </c>
    </row>
    <row r="339">
      <c r="A339" s="12" t="n">
        <v>338</v>
      </c>
      <c r="B339" s="16" t="n">
        <v>46387</v>
      </c>
      <c r="C339" s="9" t="inlineStr">
        <is>
          <t>BOEKHOUDER</t>
        </is>
      </c>
      <c r="D339" s="13" t="inlineStr">
        <is>
          <t>K4</t>
        </is>
      </c>
      <c r="E339" s="13" t="inlineStr">
        <is>
          <t>AF1-3</t>
        </is>
      </c>
      <c r="F339" s="13" t="inlineStr">
        <is>
          <t>AF1-3</t>
        </is>
      </c>
      <c r="G339" s="13" t="n">
        <v>630300</v>
      </c>
      <c r="H339" s="13">
        <f>INDEX('MAR 2e graad'!$B$2:$B$58,MATCH(G339,'MAR 2e graad'!$A$2:$A$58,0))</f>
        <v/>
      </c>
      <c r="I339" s="13">
        <f>INDEX('MAR 2e graad'!$C$2:$C$58,MATCH(G339,'MAR 2e graad'!$A$2:$A$58,0))</f>
        <v/>
      </c>
      <c r="J339" s="13">
        <f>IF(OR(I339="A",I339="K"),IF(K339&gt;0,"+","-"),IF(L339&gt;0,"+","-"))</f>
        <v/>
      </c>
      <c r="K339" s="14" t="n">
        <v>400</v>
      </c>
      <c r="L339" s="14" t="n"/>
      <c r="M339" s="13" t="inlineStr">
        <is>
          <t>de kosten (afschrijving kassasysteem) stijgen</t>
        </is>
      </c>
      <c r="N339" s="13" t="inlineStr">
        <is>
          <t>ja</t>
        </is>
      </c>
    </row>
    <row r="340">
      <c r="A340" s="12" t="n">
        <v>339</v>
      </c>
      <c r="B340" s="16" t="n">
        <v>46387</v>
      </c>
      <c r="C340" s="9" t="inlineStr">
        <is>
          <t>BOEKHOUDER</t>
        </is>
      </c>
      <c r="D340" s="13" t="inlineStr">
        <is>
          <t>K4</t>
        </is>
      </c>
      <c r="E340" s="13" t="inlineStr">
        <is>
          <t>AF1-3</t>
        </is>
      </c>
      <c r="F340" s="13" t="inlineStr">
        <is>
          <t>AF1-3</t>
        </is>
      </c>
      <c r="G340" s="13" t="n">
        <v>240209</v>
      </c>
      <c r="H340" s="13">
        <f>INDEX('MAR 2e graad'!$B$2:$B$58,MATCH(G340,'MAR 2e graad'!$A$2:$A$58,0))</f>
        <v/>
      </c>
      <c r="I340" s="13">
        <f>INDEX('MAR 2e graad'!$C$2:$C$58,MATCH(G340,'MAR 2e graad'!$A$2:$A$58,0))</f>
        <v/>
      </c>
      <c r="J340" s="13">
        <f>IF(OR(I340="A",I340="K"),IF(K340&gt;0,"+","-"),IF(L340&gt;0,"+","-"))</f>
        <v/>
      </c>
      <c r="K340" s="14" t="n"/>
      <c r="L340" s="14" t="n">
        <v>400</v>
      </c>
      <c r="M340" s="13" t="inlineStr">
        <is>
          <t>de waarde van kassasysteem daalt</t>
        </is>
      </c>
      <c r="N340" s="13" t="inlineStr">
        <is>
          <t>ja</t>
        </is>
      </c>
    </row>
    <row r="341">
      <c r="A341" s="12" t="n">
        <v>340</v>
      </c>
      <c r="B341" s="16" t="n">
        <v>46387</v>
      </c>
      <c r="C341" s="9" t="inlineStr">
        <is>
          <t>BOEKHOUDER</t>
        </is>
      </c>
      <c r="D341" s="13" t="inlineStr">
        <is>
          <t>K4</t>
        </is>
      </c>
      <c r="E341" s="13" t="inlineStr">
        <is>
          <t>AF1-3</t>
        </is>
      </c>
      <c r="F341" s="13" t="inlineStr">
        <is>
          <t>AF1-3</t>
        </is>
      </c>
      <c r="G341" s="13" t="n">
        <v>630200</v>
      </c>
      <c r="H341" s="13">
        <f>INDEX('MAR 2e graad'!$B$2:$B$58,MATCH(G341,'MAR 2e graad'!$A$2:$A$58,0))</f>
        <v/>
      </c>
      <c r="I341" s="13">
        <f>INDEX('MAR 2e graad'!$C$2:$C$58,MATCH(G341,'MAR 2e graad'!$A$2:$A$58,0))</f>
        <v/>
      </c>
      <c r="J341" s="13">
        <f>IF(OR(I341="A",I341="K"),IF(K341&gt;0,"+","-"),IF(L341&gt;0,"+","-"))</f>
        <v/>
      </c>
      <c r="K341" s="14" t="n">
        <v>100</v>
      </c>
      <c r="L341" s="14" t="n"/>
      <c r="M341" s="13" t="inlineStr">
        <is>
          <t>de kosten (afschrijving montagestandaard) stijgen</t>
        </is>
      </c>
      <c r="N341" s="13" t="inlineStr">
        <is>
          <t>ja</t>
        </is>
      </c>
    </row>
    <row r="342">
      <c r="A342" s="12" t="n">
        <v>341</v>
      </c>
      <c r="B342" s="16" t="n">
        <v>46387</v>
      </c>
      <c r="C342" s="9" t="inlineStr">
        <is>
          <t>BOEKHOUDER</t>
        </is>
      </c>
      <c r="D342" s="13" t="inlineStr">
        <is>
          <t>K4</t>
        </is>
      </c>
      <c r="E342" s="13" t="inlineStr">
        <is>
          <t>AF1-3</t>
        </is>
      </c>
      <c r="F342" s="13" t="inlineStr">
        <is>
          <t>AF1-3</t>
        </is>
      </c>
      <c r="G342" s="13" t="n">
        <v>232009</v>
      </c>
      <c r="H342" s="13">
        <f>INDEX('MAR 2e graad'!$B$2:$B$58,MATCH(G342,'MAR 2e graad'!$A$2:$A$58,0))</f>
        <v/>
      </c>
      <c r="I342" s="13">
        <f>INDEX('MAR 2e graad'!$C$2:$C$58,MATCH(G342,'MAR 2e graad'!$A$2:$A$58,0))</f>
        <v/>
      </c>
      <c r="J342" s="13">
        <f>IF(OR(I342="A",I342="K"),IF(K342&gt;0,"+","-"),IF(L342&gt;0,"+","-"))</f>
        <v/>
      </c>
      <c r="K342" s="14" t="n"/>
      <c r="L342" s="14" t="n">
        <v>100</v>
      </c>
      <c r="M342" s="13" t="inlineStr">
        <is>
          <t>de waarde van montagestandaard daalt</t>
        </is>
      </c>
      <c r="N342" s="13" t="inlineStr">
        <is>
          <t>ja</t>
        </is>
      </c>
    </row>
    <row r="343">
      <c r="A343" s="12" t="n">
        <v>342</v>
      </c>
      <c r="B343" s="16" t="n">
        <v>46387</v>
      </c>
      <c r="C343" s="9" t="inlineStr">
        <is>
          <t>BOEKHOUDER</t>
        </is>
      </c>
      <c r="D343" s="13" t="inlineStr">
        <is>
          <t>K4</t>
        </is>
      </c>
      <c r="E343" s="13" t="inlineStr">
        <is>
          <t>AF1-3</t>
        </is>
      </c>
      <c r="F343" s="13" t="inlineStr">
        <is>
          <t>AF1-3</t>
        </is>
      </c>
      <c r="G343" s="13" t="n">
        <v>630300</v>
      </c>
      <c r="H343" s="13">
        <f>INDEX('MAR 2e graad'!$B$2:$B$58,MATCH(G343,'MAR 2e graad'!$A$2:$A$58,0))</f>
        <v/>
      </c>
      <c r="I343" s="13">
        <f>INDEX('MAR 2e graad'!$C$2:$C$58,MATCH(G343,'MAR 2e graad'!$A$2:$A$58,0))</f>
        <v/>
      </c>
      <c r="J343" s="13">
        <f>IF(OR(I343="A",I343="K"),IF(K343&gt;0,"+","-"),IF(L343&gt;0,"+","-"))</f>
        <v/>
      </c>
      <c r="K343" s="14" t="n">
        <v>300</v>
      </c>
      <c r="L343" s="14" t="n"/>
      <c r="M343" s="13" t="inlineStr">
        <is>
          <t>de kosten (afschrijving laptop) stijgen</t>
        </is>
      </c>
      <c r="N343" s="13" t="inlineStr">
        <is>
          <t>ja</t>
        </is>
      </c>
    </row>
    <row r="344">
      <c r="A344" s="12" t="n">
        <v>343</v>
      </c>
      <c r="B344" s="16" t="n">
        <v>46387</v>
      </c>
      <c r="C344" s="9" t="inlineStr">
        <is>
          <t>BOEKHOUDER</t>
        </is>
      </c>
      <c r="D344" s="13" t="inlineStr">
        <is>
          <t>K4</t>
        </is>
      </c>
      <c r="E344" s="13" t="inlineStr">
        <is>
          <t>AF1-3</t>
        </is>
      </c>
      <c r="F344" s="13" t="inlineStr">
        <is>
          <t>AF1-3</t>
        </is>
      </c>
      <c r="G344" s="13" t="n">
        <v>240209</v>
      </c>
      <c r="H344" s="13">
        <f>INDEX('MAR 2e graad'!$B$2:$B$58,MATCH(G344,'MAR 2e graad'!$A$2:$A$58,0))</f>
        <v/>
      </c>
      <c r="I344" s="13">
        <f>INDEX('MAR 2e graad'!$C$2:$C$58,MATCH(G344,'MAR 2e graad'!$A$2:$A$58,0))</f>
        <v/>
      </c>
      <c r="J344" s="13">
        <f>IF(OR(I344="A",I344="K"),IF(K344&gt;0,"+","-"),IF(L344&gt;0,"+","-"))</f>
        <v/>
      </c>
      <c r="K344" s="14" t="n"/>
      <c r="L344" s="14" t="n">
        <v>300</v>
      </c>
      <c r="M344" s="13" t="inlineStr">
        <is>
          <t>de waarde van laptop daalt</t>
        </is>
      </c>
      <c r="N344" s="13" t="inlineStr">
        <is>
          <t>ja</t>
        </is>
      </c>
    </row>
    <row r="345">
      <c r="A345" s="12" t="n">
        <v>344</v>
      </c>
      <c r="B345" s="16" t="n">
        <v>46387</v>
      </c>
      <c r="C345" s="9" t="inlineStr">
        <is>
          <t>BOEKHOUDER</t>
        </is>
      </c>
      <c r="D345" s="13" t="inlineStr">
        <is>
          <t>K4</t>
        </is>
      </c>
      <c r="E345" s="13" t="inlineStr">
        <is>
          <t>AF1-4</t>
        </is>
      </c>
      <c r="F345" s="13" t="inlineStr">
        <is>
          <t>AF1-4</t>
        </is>
      </c>
      <c r="G345" s="13" t="n">
        <v>693000</v>
      </c>
      <c r="H345" s="13">
        <f>INDEX('MAR 2e graad'!$B$2:$B$58,MATCH(G345,'MAR 2e graad'!$A$2:$A$58,0))</f>
        <v/>
      </c>
      <c r="I345" s="13">
        <f>INDEX('MAR 2e graad'!$C$2:$C$58,MATCH(G345,'MAR 2e graad'!$A$2:$A$58,0))</f>
        <v/>
      </c>
      <c r="J345" s="13">
        <f>IF(OR(I345="A",I345="K"),IF(K345&gt;0,"+","-"),IF(L345&gt;0,"+","-"))</f>
        <v/>
      </c>
      <c r="K345" s="14" t="n">
        <v>21570</v>
      </c>
      <c r="L345" s="14" t="n"/>
      <c r="M345" s="13" t="inlineStr">
        <is>
          <t>de winst wordt overgedragen</t>
        </is>
      </c>
      <c r="N345" s="13" t="inlineStr">
        <is>
          <t>ja</t>
        </is>
      </c>
    </row>
    <row r="346">
      <c r="A346" s="12" t="n">
        <v>345</v>
      </c>
      <c r="B346" s="16" t="n">
        <v>46387</v>
      </c>
      <c r="C346" s="9" t="inlineStr">
        <is>
          <t>BOEKHOUDER</t>
        </is>
      </c>
      <c r="D346" s="13" t="inlineStr">
        <is>
          <t>K4</t>
        </is>
      </c>
      <c r="E346" s="13" t="inlineStr">
        <is>
          <t>AF1-4</t>
        </is>
      </c>
      <c r="F346" s="13" t="inlineStr">
        <is>
          <t>AF1-4</t>
        </is>
      </c>
      <c r="G346" s="13" t="n">
        <v>140000</v>
      </c>
      <c r="H346" s="13">
        <f>INDEX('MAR 2e graad'!$B$2:$B$58,MATCH(G346,'MAR 2e graad'!$A$2:$A$58,0))</f>
        <v/>
      </c>
      <c r="I346" s="13">
        <f>INDEX('MAR 2e graad'!$C$2:$C$58,MATCH(G346,'MAR 2e graad'!$A$2:$A$58,0))</f>
        <v/>
      </c>
      <c r="J346" s="13">
        <f>IF(OR(I346="A",I346="K"),IF(K346&gt;0,"+","-"),IF(L346&gt;0,"+","-"))</f>
        <v/>
      </c>
      <c r="K346" s="14" t="n"/>
      <c r="L346" s="14" t="n">
        <v>21570</v>
      </c>
      <c r="M346" s="13" t="inlineStr">
        <is>
          <t>de overgedragen winst (eigen vermogen) stijgt</t>
        </is>
      </c>
      <c r="N346" s="13" t="inlineStr">
        <is>
          <t>ja</t>
        </is>
      </c>
    </row>
  </sheetData>
  <autoFilter ref="A1:N346"/>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J61"/>
  <sheetViews>
    <sheetView zoomScaleNormal="100" workbookViewId="0">
      <pane ySplit="1" topLeftCell="A38" activePane="bottomLeft" state="frozen"/>
      <selection pane="bottomLeft" activeCell="I54" sqref="I54"/>
    </sheetView>
  </sheetViews>
  <sheetFormatPr baseColWidth="8" defaultColWidth="8.6328125" defaultRowHeight="14.5"/>
  <cols>
    <col width="10" customWidth="1" min="1" max="1"/>
    <col width="44" customWidth="1" min="2" max="2"/>
    <col width="8" customWidth="1" min="3" max="3"/>
    <col width="14" customWidth="1" min="4" max="7"/>
    <col width="16" customWidth="1" min="8" max="9"/>
  </cols>
  <sheetData>
    <row r="1" ht="30" customHeight="1">
      <c r="A1" s="1" t="inlineStr">
        <is>
          <t>Rekening</t>
        </is>
      </c>
      <c r="B1" s="1" t="inlineStr">
        <is>
          <t>Naam</t>
        </is>
      </c>
      <c r="C1" s="1" t="inlineStr">
        <is>
          <t>A/P/K/O</t>
        </is>
      </c>
      <c r="D1" s="1" t="inlineStr">
        <is>
          <t>Openingsbalans</t>
        </is>
      </c>
      <c r="E1" s="1" t="inlineStr">
        <is>
          <t>Saldo einde K1</t>
        </is>
      </c>
      <c r="F1" s="1" t="inlineStr">
        <is>
          <t>Saldo einde K2</t>
        </is>
      </c>
      <c r="G1" s="1" t="inlineStr">
        <is>
          <t>Saldo einde K3</t>
        </is>
      </c>
      <c r="H1" s="1" t="inlineStr">
        <is>
          <t>Saldo einde K4 vóór afsluiting</t>
        </is>
      </c>
      <c r="I1" s="1" t="inlineStr">
        <is>
          <t>Na afsluiting 31/12</t>
        </is>
      </c>
      <c r="J1" s="18" t="inlineStr">
        <is>
          <t>Debetsaldo = positief, creditsaldo = negatief</t>
        </is>
      </c>
    </row>
    <row r="2">
      <c r="A2" s="13" t="n">
        <v>100000</v>
      </c>
      <c r="B2" s="13" t="inlineStr">
        <is>
          <t>Geplaatst kapitaal</t>
        </is>
      </c>
      <c r="C2" s="13" t="inlineStr">
        <is>
          <t>P</t>
        </is>
      </c>
      <c r="D2" s="14" t="n">
        <v>-20000</v>
      </c>
      <c r="E2" s="14">
        <f>$D2+SUMIFS('J1 Journaal'!$K:$K,'J1 Journaal'!$G:$G,$A2,'J1 Journaal'!$B:$B,"&lt;="&amp;DATE(2026,3,31),'J1 Journaal'!$N:$N,"nee")-SUMIFS('J1 Journaal'!$L:$L,'J1 Journaal'!$G:$G,$A2,'J1 Journaal'!$B:$B,"&lt;="&amp;DATE(2026,3,31),'J1 Journaal'!$N:$N,"nee")</f>
        <v/>
      </c>
      <c r="F2" s="14">
        <f>$D2+SUMIFS('J1 Journaal'!$K:$K,'J1 Journaal'!$G:$G,$A2,'J1 Journaal'!$B:$B,"&lt;="&amp;DATE(2026,6,30),'J1 Journaal'!$N:$N,"nee")-SUMIFS('J1 Journaal'!$L:$L,'J1 Journaal'!$G:$G,$A2,'J1 Journaal'!$B:$B,"&lt;="&amp;DATE(2026,6,30),'J1 Journaal'!$N:$N,"nee")</f>
        <v/>
      </c>
      <c r="G2" s="14">
        <f>$D2+SUMIFS('J1 Journaal'!$K:$K,'J1 Journaal'!$G:$G,$A2,'J1 Journaal'!$B:$B,"&lt;="&amp;DATE(2026,9,30),'J1 Journaal'!$N:$N,"nee")-SUMIFS('J1 Journaal'!$L:$L,'J1 Journaal'!$G:$G,$A2,'J1 Journaal'!$B:$B,"&lt;="&amp;DATE(2026,9,30),'J1 Journaal'!$N:$N,"nee")</f>
        <v/>
      </c>
      <c r="H2" s="14">
        <f>$D2+SUMIFS('J1 Journaal'!$K:$K,'J1 Journaal'!$G:$G,$A2,'J1 Journaal'!$B:$B,"&lt;="&amp;DATE(2026,12,31),'J1 Journaal'!$N:$N,"nee")-SUMIFS('J1 Journaal'!$L:$L,'J1 Journaal'!$G:$G,$A2,'J1 Journaal'!$B:$B,"&lt;="&amp;DATE(2026,12,31),'J1 Journaal'!$N:$N,"nee")</f>
        <v/>
      </c>
      <c r="I2" s="14">
        <f>$D2+SUMIFS('J1 Journaal'!$K:$K,'J1 Journaal'!$G:$G,$A2)-SUMIFS('J1 Journaal'!$L:$L,'J1 Journaal'!$G:$G,$A2)</f>
        <v/>
      </c>
    </row>
    <row r="3">
      <c r="A3" s="13" t="n">
        <v>140000</v>
      </c>
      <c r="B3" s="13" t="inlineStr">
        <is>
          <t>Overgedragen winst</t>
        </is>
      </c>
      <c r="C3" s="13" t="inlineStr">
        <is>
          <t>P</t>
        </is>
      </c>
      <c r="D3" s="14" t="n">
        <v>0</v>
      </c>
      <c r="E3" s="14">
        <f>$D3+SUMIFS('J1 Journaal'!$K:$K,'J1 Journaal'!$G:$G,$A3,'J1 Journaal'!$B:$B,"&lt;="&amp;DATE(2026,3,31),'J1 Journaal'!$N:$N,"nee")-SUMIFS('J1 Journaal'!$L:$L,'J1 Journaal'!$G:$G,$A3,'J1 Journaal'!$B:$B,"&lt;="&amp;DATE(2026,3,31),'J1 Journaal'!$N:$N,"nee")</f>
        <v/>
      </c>
      <c r="F3" s="14">
        <f>$D3+SUMIFS('J1 Journaal'!$K:$K,'J1 Journaal'!$G:$G,$A3,'J1 Journaal'!$B:$B,"&lt;="&amp;DATE(2026,6,30),'J1 Journaal'!$N:$N,"nee")-SUMIFS('J1 Journaal'!$L:$L,'J1 Journaal'!$G:$G,$A3,'J1 Journaal'!$B:$B,"&lt;="&amp;DATE(2026,6,30),'J1 Journaal'!$N:$N,"nee")</f>
        <v/>
      </c>
      <c r="G3" s="14">
        <f>$D3+SUMIFS('J1 Journaal'!$K:$K,'J1 Journaal'!$G:$G,$A3,'J1 Journaal'!$B:$B,"&lt;="&amp;DATE(2026,9,30),'J1 Journaal'!$N:$N,"nee")-SUMIFS('J1 Journaal'!$L:$L,'J1 Journaal'!$G:$G,$A3,'J1 Journaal'!$B:$B,"&lt;="&amp;DATE(2026,9,30),'J1 Journaal'!$N:$N,"nee")</f>
        <v/>
      </c>
      <c r="H3" s="14">
        <f>$D3+SUMIFS('J1 Journaal'!$K:$K,'J1 Journaal'!$G:$G,$A3,'J1 Journaal'!$B:$B,"&lt;="&amp;DATE(2026,12,31),'J1 Journaal'!$N:$N,"nee")-SUMIFS('J1 Journaal'!$L:$L,'J1 Journaal'!$G:$G,$A3,'J1 Journaal'!$B:$B,"&lt;="&amp;DATE(2026,12,31),'J1 Journaal'!$N:$N,"nee")</f>
        <v/>
      </c>
      <c r="I3" s="14">
        <f>$D3+SUMIFS('J1 Journaal'!$K:$K,'J1 Journaal'!$G:$G,$A3)-SUMIFS('J1 Journaal'!$L:$L,'J1 Journaal'!$G:$G,$A3)</f>
        <v/>
      </c>
    </row>
    <row r="4">
      <c r="A4" s="13" t="n">
        <v>141000</v>
      </c>
      <c r="B4" s="13" t="inlineStr">
        <is>
          <t>Overgedragen verlies (-)</t>
        </is>
      </c>
      <c r="C4" s="13" t="inlineStr">
        <is>
          <t>P</t>
        </is>
      </c>
      <c r="D4" s="14" t="n">
        <v>0</v>
      </c>
      <c r="E4" s="14">
        <f>$D4+SUMIFS('J1 Journaal'!$K:$K,'J1 Journaal'!$G:$G,$A4,'J1 Journaal'!$B:$B,"&lt;="&amp;DATE(2026,3,31),'J1 Journaal'!$N:$N,"nee")-SUMIFS('J1 Journaal'!$L:$L,'J1 Journaal'!$G:$G,$A4,'J1 Journaal'!$B:$B,"&lt;="&amp;DATE(2026,3,31),'J1 Journaal'!$N:$N,"nee")</f>
        <v/>
      </c>
      <c r="F4" s="14">
        <f>$D4+SUMIFS('J1 Journaal'!$K:$K,'J1 Journaal'!$G:$G,$A4,'J1 Journaal'!$B:$B,"&lt;="&amp;DATE(2026,6,30),'J1 Journaal'!$N:$N,"nee")-SUMIFS('J1 Journaal'!$L:$L,'J1 Journaal'!$G:$G,$A4,'J1 Journaal'!$B:$B,"&lt;="&amp;DATE(2026,6,30),'J1 Journaal'!$N:$N,"nee")</f>
        <v/>
      </c>
      <c r="G4" s="14">
        <f>$D4+SUMIFS('J1 Journaal'!$K:$K,'J1 Journaal'!$G:$G,$A4,'J1 Journaal'!$B:$B,"&lt;="&amp;DATE(2026,9,30),'J1 Journaal'!$N:$N,"nee")-SUMIFS('J1 Journaal'!$L:$L,'J1 Journaal'!$G:$G,$A4,'J1 Journaal'!$B:$B,"&lt;="&amp;DATE(2026,9,30),'J1 Journaal'!$N:$N,"nee")</f>
        <v/>
      </c>
      <c r="H4" s="14">
        <f>$D4+SUMIFS('J1 Journaal'!$K:$K,'J1 Journaal'!$G:$G,$A4,'J1 Journaal'!$B:$B,"&lt;="&amp;DATE(2026,12,31),'J1 Journaal'!$N:$N,"nee")-SUMIFS('J1 Journaal'!$L:$L,'J1 Journaal'!$G:$G,$A4,'J1 Journaal'!$B:$B,"&lt;="&amp;DATE(2026,12,31),'J1 Journaal'!$N:$N,"nee")</f>
        <v/>
      </c>
      <c r="I4" s="14">
        <f>$D4+SUMIFS('J1 Journaal'!$K:$K,'J1 Journaal'!$G:$G,$A4)-SUMIFS('J1 Journaal'!$L:$L,'J1 Journaal'!$G:$G,$A4)</f>
        <v/>
      </c>
    </row>
    <row r="5">
      <c r="A5" s="13" t="n">
        <v>173000</v>
      </c>
      <c r="B5" s="13" t="inlineStr">
        <is>
          <t>Schulden aan kredietinstellingen</t>
        </is>
      </c>
      <c r="C5" s="13" t="inlineStr">
        <is>
          <t>P</t>
        </is>
      </c>
      <c r="D5" s="14" t="n">
        <v>0</v>
      </c>
      <c r="E5" s="14">
        <f>$D5+SUMIFS('J1 Journaal'!$K:$K,'J1 Journaal'!$G:$G,$A5,'J1 Journaal'!$B:$B,"&lt;="&amp;DATE(2026,3,31),'J1 Journaal'!$N:$N,"nee")-SUMIFS('J1 Journaal'!$L:$L,'J1 Journaal'!$G:$G,$A5,'J1 Journaal'!$B:$B,"&lt;="&amp;DATE(2026,3,31),'J1 Journaal'!$N:$N,"nee")</f>
        <v/>
      </c>
      <c r="F5" s="14">
        <f>$D5+SUMIFS('J1 Journaal'!$K:$K,'J1 Journaal'!$G:$G,$A5,'J1 Journaal'!$B:$B,"&lt;="&amp;DATE(2026,6,30),'J1 Journaal'!$N:$N,"nee")-SUMIFS('J1 Journaal'!$L:$L,'J1 Journaal'!$G:$G,$A5,'J1 Journaal'!$B:$B,"&lt;="&amp;DATE(2026,6,30),'J1 Journaal'!$N:$N,"nee")</f>
        <v/>
      </c>
      <c r="G5" s="14">
        <f>$D5+SUMIFS('J1 Journaal'!$K:$K,'J1 Journaal'!$G:$G,$A5,'J1 Journaal'!$B:$B,"&lt;="&amp;DATE(2026,9,30),'J1 Journaal'!$N:$N,"nee")-SUMIFS('J1 Journaal'!$L:$L,'J1 Journaal'!$G:$G,$A5,'J1 Journaal'!$B:$B,"&lt;="&amp;DATE(2026,9,30),'J1 Journaal'!$N:$N,"nee")</f>
        <v/>
      </c>
      <c r="H5" s="14">
        <f>$D5+SUMIFS('J1 Journaal'!$K:$K,'J1 Journaal'!$G:$G,$A5,'J1 Journaal'!$B:$B,"&lt;="&amp;DATE(2026,12,31),'J1 Journaal'!$N:$N,"nee")-SUMIFS('J1 Journaal'!$L:$L,'J1 Journaal'!$G:$G,$A5,'J1 Journaal'!$B:$B,"&lt;="&amp;DATE(2026,12,31),'J1 Journaal'!$N:$N,"nee")</f>
        <v/>
      </c>
      <c r="I5" s="14">
        <f>$D5+SUMIFS('J1 Journaal'!$K:$K,'J1 Journaal'!$G:$G,$A5)-SUMIFS('J1 Journaal'!$L:$L,'J1 Journaal'!$G:$G,$A5)</f>
        <v/>
      </c>
    </row>
    <row r="6">
      <c r="A6" s="13" t="n">
        <v>221000</v>
      </c>
      <c r="B6" s="13" t="inlineStr">
        <is>
          <t>Gebouwen</t>
        </is>
      </c>
      <c r="C6" s="13" t="inlineStr">
        <is>
          <t>A</t>
        </is>
      </c>
      <c r="D6" s="14" t="n">
        <v>0</v>
      </c>
      <c r="E6" s="14">
        <f>$D6+SUMIFS('J1 Journaal'!$K:$K,'J1 Journaal'!$G:$G,$A6,'J1 Journaal'!$B:$B,"&lt;="&amp;DATE(2026,3,31),'J1 Journaal'!$N:$N,"nee")-SUMIFS('J1 Journaal'!$L:$L,'J1 Journaal'!$G:$G,$A6,'J1 Journaal'!$B:$B,"&lt;="&amp;DATE(2026,3,31),'J1 Journaal'!$N:$N,"nee")</f>
        <v/>
      </c>
      <c r="F6" s="14">
        <f>$D6+SUMIFS('J1 Journaal'!$K:$K,'J1 Journaal'!$G:$G,$A6,'J1 Journaal'!$B:$B,"&lt;="&amp;DATE(2026,6,30),'J1 Journaal'!$N:$N,"nee")-SUMIFS('J1 Journaal'!$L:$L,'J1 Journaal'!$G:$G,$A6,'J1 Journaal'!$B:$B,"&lt;="&amp;DATE(2026,6,30),'J1 Journaal'!$N:$N,"nee")</f>
        <v/>
      </c>
      <c r="G6" s="14">
        <f>$D6+SUMIFS('J1 Journaal'!$K:$K,'J1 Journaal'!$G:$G,$A6,'J1 Journaal'!$B:$B,"&lt;="&amp;DATE(2026,9,30),'J1 Journaal'!$N:$N,"nee")-SUMIFS('J1 Journaal'!$L:$L,'J1 Journaal'!$G:$G,$A6,'J1 Journaal'!$B:$B,"&lt;="&amp;DATE(2026,9,30),'J1 Journaal'!$N:$N,"nee")</f>
        <v/>
      </c>
      <c r="H6" s="14">
        <f>$D6+SUMIFS('J1 Journaal'!$K:$K,'J1 Journaal'!$G:$G,$A6,'J1 Journaal'!$B:$B,"&lt;="&amp;DATE(2026,12,31),'J1 Journaal'!$N:$N,"nee")-SUMIFS('J1 Journaal'!$L:$L,'J1 Journaal'!$G:$G,$A6,'J1 Journaal'!$B:$B,"&lt;="&amp;DATE(2026,12,31),'J1 Journaal'!$N:$N,"nee")</f>
        <v/>
      </c>
      <c r="I6" s="14">
        <f>$D6+SUMIFS('J1 Journaal'!$K:$K,'J1 Journaal'!$G:$G,$A6)-SUMIFS('J1 Journaal'!$L:$L,'J1 Journaal'!$G:$G,$A6)</f>
        <v/>
      </c>
    </row>
    <row r="7">
      <c r="A7" s="13" t="n">
        <v>221009</v>
      </c>
      <c r="B7" s="13" t="inlineStr">
        <is>
          <t>Afschrijvingen op gebouwen (-)</t>
        </is>
      </c>
      <c r="C7" s="13" t="inlineStr">
        <is>
          <t>A</t>
        </is>
      </c>
      <c r="D7" s="14" t="n">
        <v>0</v>
      </c>
      <c r="E7" s="14">
        <f>$D7+SUMIFS('J1 Journaal'!$K:$K,'J1 Journaal'!$G:$G,$A7,'J1 Journaal'!$B:$B,"&lt;="&amp;DATE(2026,3,31),'J1 Journaal'!$N:$N,"nee")-SUMIFS('J1 Journaal'!$L:$L,'J1 Journaal'!$G:$G,$A7,'J1 Journaal'!$B:$B,"&lt;="&amp;DATE(2026,3,31),'J1 Journaal'!$N:$N,"nee")</f>
        <v/>
      </c>
      <c r="F7" s="14">
        <f>$D7+SUMIFS('J1 Journaal'!$K:$K,'J1 Journaal'!$G:$G,$A7,'J1 Journaal'!$B:$B,"&lt;="&amp;DATE(2026,6,30),'J1 Journaal'!$N:$N,"nee")-SUMIFS('J1 Journaal'!$L:$L,'J1 Journaal'!$G:$G,$A7,'J1 Journaal'!$B:$B,"&lt;="&amp;DATE(2026,6,30),'J1 Journaal'!$N:$N,"nee")</f>
        <v/>
      </c>
      <c r="G7" s="14">
        <f>$D7+SUMIFS('J1 Journaal'!$K:$K,'J1 Journaal'!$G:$G,$A7,'J1 Journaal'!$B:$B,"&lt;="&amp;DATE(2026,9,30),'J1 Journaal'!$N:$N,"nee")-SUMIFS('J1 Journaal'!$L:$L,'J1 Journaal'!$G:$G,$A7,'J1 Journaal'!$B:$B,"&lt;="&amp;DATE(2026,9,30),'J1 Journaal'!$N:$N,"nee")</f>
        <v/>
      </c>
      <c r="H7" s="14">
        <f>$D7+SUMIFS('J1 Journaal'!$K:$K,'J1 Journaal'!$G:$G,$A7,'J1 Journaal'!$B:$B,"&lt;="&amp;DATE(2026,12,31),'J1 Journaal'!$N:$N,"nee")-SUMIFS('J1 Journaal'!$L:$L,'J1 Journaal'!$G:$G,$A7,'J1 Journaal'!$B:$B,"&lt;="&amp;DATE(2026,12,31),'J1 Journaal'!$N:$N,"nee")</f>
        <v/>
      </c>
      <c r="I7" s="14">
        <f>$D7+SUMIFS('J1 Journaal'!$K:$K,'J1 Journaal'!$G:$G,$A7)-SUMIFS('J1 Journaal'!$L:$L,'J1 Journaal'!$G:$G,$A7)</f>
        <v/>
      </c>
    </row>
    <row r="8">
      <c r="A8" s="13" t="n">
        <v>230000</v>
      </c>
      <c r="B8" s="13" t="inlineStr">
        <is>
          <t>Installaties</t>
        </is>
      </c>
      <c r="C8" s="13" t="inlineStr">
        <is>
          <t>A</t>
        </is>
      </c>
      <c r="D8" s="14" t="n">
        <v>0</v>
      </c>
      <c r="E8" s="14">
        <f>$D8+SUMIFS('J1 Journaal'!$K:$K,'J1 Journaal'!$G:$G,$A8,'J1 Journaal'!$B:$B,"&lt;="&amp;DATE(2026,3,31),'J1 Journaal'!$N:$N,"nee")-SUMIFS('J1 Journaal'!$L:$L,'J1 Journaal'!$G:$G,$A8,'J1 Journaal'!$B:$B,"&lt;="&amp;DATE(2026,3,31),'J1 Journaal'!$N:$N,"nee")</f>
        <v/>
      </c>
      <c r="F8" s="14">
        <f>$D8+SUMIFS('J1 Journaal'!$K:$K,'J1 Journaal'!$G:$G,$A8,'J1 Journaal'!$B:$B,"&lt;="&amp;DATE(2026,6,30),'J1 Journaal'!$N:$N,"nee")-SUMIFS('J1 Journaal'!$L:$L,'J1 Journaal'!$G:$G,$A8,'J1 Journaal'!$B:$B,"&lt;="&amp;DATE(2026,6,30),'J1 Journaal'!$N:$N,"nee")</f>
        <v/>
      </c>
      <c r="G8" s="14">
        <f>$D8+SUMIFS('J1 Journaal'!$K:$K,'J1 Journaal'!$G:$G,$A8,'J1 Journaal'!$B:$B,"&lt;="&amp;DATE(2026,9,30),'J1 Journaal'!$N:$N,"nee")-SUMIFS('J1 Journaal'!$L:$L,'J1 Journaal'!$G:$G,$A8,'J1 Journaal'!$B:$B,"&lt;="&amp;DATE(2026,9,30),'J1 Journaal'!$N:$N,"nee")</f>
        <v/>
      </c>
      <c r="H8" s="14">
        <f>$D8+SUMIFS('J1 Journaal'!$K:$K,'J1 Journaal'!$G:$G,$A8,'J1 Journaal'!$B:$B,"&lt;="&amp;DATE(2026,12,31),'J1 Journaal'!$N:$N,"nee")-SUMIFS('J1 Journaal'!$L:$L,'J1 Journaal'!$G:$G,$A8,'J1 Journaal'!$B:$B,"&lt;="&amp;DATE(2026,12,31),'J1 Journaal'!$N:$N,"nee")</f>
        <v/>
      </c>
      <c r="I8" s="14">
        <f>$D8+SUMIFS('J1 Journaal'!$K:$K,'J1 Journaal'!$G:$G,$A8)-SUMIFS('J1 Journaal'!$L:$L,'J1 Journaal'!$G:$G,$A8)</f>
        <v/>
      </c>
    </row>
    <row r="9">
      <c r="A9" s="13" t="n">
        <v>230009</v>
      </c>
      <c r="B9" s="13" t="inlineStr">
        <is>
          <t>Afschrijvingen op installaties (-)</t>
        </is>
      </c>
      <c r="C9" s="13" t="inlineStr">
        <is>
          <t>A</t>
        </is>
      </c>
      <c r="D9" s="14" t="n">
        <v>0</v>
      </c>
      <c r="E9" s="14">
        <f>$D9+SUMIFS('J1 Journaal'!$K:$K,'J1 Journaal'!$G:$G,$A9,'J1 Journaal'!$B:$B,"&lt;="&amp;DATE(2026,3,31),'J1 Journaal'!$N:$N,"nee")-SUMIFS('J1 Journaal'!$L:$L,'J1 Journaal'!$G:$G,$A9,'J1 Journaal'!$B:$B,"&lt;="&amp;DATE(2026,3,31),'J1 Journaal'!$N:$N,"nee")</f>
        <v/>
      </c>
      <c r="F9" s="14">
        <f>$D9+SUMIFS('J1 Journaal'!$K:$K,'J1 Journaal'!$G:$G,$A9,'J1 Journaal'!$B:$B,"&lt;="&amp;DATE(2026,6,30),'J1 Journaal'!$N:$N,"nee")-SUMIFS('J1 Journaal'!$L:$L,'J1 Journaal'!$G:$G,$A9,'J1 Journaal'!$B:$B,"&lt;="&amp;DATE(2026,6,30),'J1 Journaal'!$N:$N,"nee")</f>
        <v/>
      </c>
      <c r="G9" s="14">
        <f>$D9+SUMIFS('J1 Journaal'!$K:$K,'J1 Journaal'!$G:$G,$A9,'J1 Journaal'!$B:$B,"&lt;="&amp;DATE(2026,9,30),'J1 Journaal'!$N:$N,"nee")-SUMIFS('J1 Journaal'!$L:$L,'J1 Journaal'!$G:$G,$A9,'J1 Journaal'!$B:$B,"&lt;="&amp;DATE(2026,9,30),'J1 Journaal'!$N:$N,"nee")</f>
        <v/>
      </c>
      <c r="H9" s="14">
        <f>$D9+SUMIFS('J1 Journaal'!$K:$K,'J1 Journaal'!$G:$G,$A9,'J1 Journaal'!$B:$B,"&lt;="&amp;DATE(2026,12,31),'J1 Journaal'!$N:$N,"nee")-SUMIFS('J1 Journaal'!$L:$L,'J1 Journaal'!$G:$G,$A9,'J1 Journaal'!$B:$B,"&lt;="&amp;DATE(2026,12,31),'J1 Journaal'!$N:$N,"nee")</f>
        <v/>
      </c>
      <c r="I9" s="14">
        <f>$D9+SUMIFS('J1 Journaal'!$K:$K,'J1 Journaal'!$G:$G,$A9)-SUMIFS('J1 Journaal'!$L:$L,'J1 Journaal'!$G:$G,$A9)</f>
        <v/>
      </c>
    </row>
    <row r="10">
      <c r="A10" s="13" t="n">
        <v>232000</v>
      </c>
      <c r="B10" s="13" t="inlineStr">
        <is>
          <t>Uitrusting</t>
        </is>
      </c>
      <c r="C10" s="13" t="inlineStr">
        <is>
          <t>A</t>
        </is>
      </c>
      <c r="D10" s="14" t="n">
        <v>0</v>
      </c>
      <c r="E10" s="14">
        <f>$D10+SUMIFS('J1 Journaal'!$K:$K,'J1 Journaal'!$G:$G,$A10,'J1 Journaal'!$B:$B,"&lt;="&amp;DATE(2026,3,31),'J1 Journaal'!$N:$N,"nee")-SUMIFS('J1 Journaal'!$L:$L,'J1 Journaal'!$G:$G,$A10,'J1 Journaal'!$B:$B,"&lt;="&amp;DATE(2026,3,31),'J1 Journaal'!$N:$N,"nee")</f>
        <v/>
      </c>
      <c r="F10" s="14">
        <f>$D10+SUMIFS('J1 Journaal'!$K:$K,'J1 Journaal'!$G:$G,$A10,'J1 Journaal'!$B:$B,"&lt;="&amp;DATE(2026,6,30),'J1 Journaal'!$N:$N,"nee")-SUMIFS('J1 Journaal'!$L:$L,'J1 Journaal'!$G:$G,$A10,'J1 Journaal'!$B:$B,"&lt;="&amp;DATE(2026,6,30),'J1 Journaal'!$N:$N,"nee")</f>
        <v/>
      </c>
      <c r="G10" s="14">
        <f>$D10+SUMIFS('J1 Journaal'!$K:$K,'J1 Journaal'!$G:$G,$A10,'J1 Journaal'!$B:$B,"&lt;="&amp;DATE(2026,9,30),'J1 Journaal'!$N:$N,"nee")-SUMIFS('J1 Journaal'!$L:$L,'J1 Journaal'!$G:$G,$A10,'J1 Journaal'!$B:$B,"&lt;="&amp;DATE(2026,9,30),'J1 Journaal'!$N:$N,"nee")</f>
        <v/>
      </c>
      <c r="H10" s="14">
        <f>$D10+SUMIFS('J1 Journaal'!$K:$K,'J1 Journaal'!$G:$G,$A10,'J1 Journaal'!$B:$B,"&lt;="&amp;DATE(2026,12,31),'J1 Journaal'!$N:$N,"nee")-SUMIFS('J1 Journaal'!$L:$L,'J1 Journaal'!$G:$G,$A10,'J1 Journaal'!$B:$B,"&lt;="&amp;DATE(2026,12,31),'J1 Journaal'!$N:$N,"nee")</f>
        <v/>
      </c>
      <c r="I10" s="14">
        <f>$D10+SUMIFS('J1 Journaal'!$K:$K,'J1 Journaal'!$G:$G,$A10)-SUMIFS('J1 Journaal'!$L:$L,'J1 Journaal'!$G:$G,$A10)</f>
        <v/>
      </c>
    </row>
    <row r="11">
      <c r="A11" s="13" t="n">
        <v>232009</v>
      </c>
      <c r="B11" s="13" t="inlineStr">
        <is>
          <t>Afschrijvingen op uitrusting (-)</t>
        </is>
      </c>
      <c r="C11" s="13" t="inlineStr">
        <is>
          <t>A</t>
        </is>
      </c>
      <c r="D11" s="14" t="n">
        <v>0</v>
      </c>
      <c r="E11" s="14">
        <f>$D11+SUMIFS('J1 Journaal'!$K:$K,'J1 Journaal'!$G:$G,$A11,'J1 Journaal'!$B:$B,"&lt;="&amp;DATE(2026,3,31),'J1 Journaal'!$N:$N,"nee")-SUMIFS('J1 Journaal'!$L:$L,'J1 Journaal'!$G:$G,$A11,'J1 Journaal'!$B:$B,"&lt;="&amp;DATE(2026,3,31),'J1 Journaal'!$N:$N,"nee")</f>
        <v/>
      </c>
      <c r="F11" s="14">
        <f>$D11+SUMIFS('J1 Journaal'!$K:$K,'J1 Journaal'!$G:$G,$A11,'J1 Journaal'!$B:$B,"&lt;="&amp;DATE(2026,6,30),'J1 Journaal'!$N:$N,"nee")-SUMIFS('J1 Journaal'!$L:$L,'J1 Journaal'!$G:$G,$A11,'J1 Journaal'!$B:$B,"&lt;="&amp;DATE(2026,6,30),'J1 Journaal'!$N:$N,"nee")</f>
        <v/>
      </c>
      <c r="G11" s="14">
        <f>$D11+SUMIFS('J1 Journaal'!$K:$K,'J1 Journaal'!$G:$G,$A11,'J1 Journaal'!$B:$B,"&lt;="&amp;DATE(2026,9,30),'J1 Journaal'!$N:$N,"nee")-SUMIFS('J1 Journaal'!$L:$L,'J1 Journaal'!$G:$G,$A11,'J1 Journaal'!$B:$B,"&lt;="&amp;DATE(2026,9,30),'J1 Journaal'!$N:$N,"nee")</f>
        <v/>
      </c>
      <c r="H11" s="14">
        <f>$D11+SUMIFS('J1 Journaal'!$K:$K,'J1 Journaal'!$G:$G,$A11,'J1 Journaal'!$B:$B,"&lt;="&amp;DATE(2026,12,31),'J1 Journaal'!$N:$N,"nee")-SUMIFS('J1 Journaal'!$L:$L,'J1 Journaal'!$G:$G,$A11,'J1 Journaal'!$B:$B,"&lt;="&amp;DATE(2026,12,31),'J1 Journaal'!$N:$N,"nee")</f>
        <v/>
      </c>
      <c r="I11" s="14">
        <f>$D11+SUMIFS('J1 Journaal'!$K:$K,'J1 Journaal'!$G:$G,$A11)-SUMIFS('J1 Journaal'!$L:$L,'J1 Journaal'!$G:$G,$A11)</f>
        <v/>
      </c>
    </row>
    <row r="12">
      <c r="A12" s="13" t="n">
        <v>240000</v>
      </c>
      <c r="B12" s="13" t="inlineStr">
        <is>
          <t>Meubilair</t>
        </is>
      </c>
      <c r="C12" s="13" t="inlineStr">
        <is>
          <t>A</t>
        </is>
      </c>
      <c r="D12" s="14" t="n">
        <v>0</v>
      </c>
      <c r="E12" s="14">
        <f>$D12+SUMIFS('J1 Journaal'!$K:$K,'J1 Journaal'!$G:$G,$A12,'J1 Journaal'!$B:$B,"&lt;="&amp;DATE(2026,3,31),'J1 Journaal'!$N:$N,"nee")-SUMIFS('J1 Journaal'!$L:$L,'J1 Journaal'!$G:$G,$A12,'J1 Journaal'!$B:$B,"&lt;="&amp;DATE(2026,3,31),'J1 Journaal'!$N:$N,"nee")</f>
        <v/>
      </c>
      <c r="F12" s="14">
        <f>$D12+SUMIFS('J1 Journaal'!$K:$K,'J1 Journaal'!$G:$G,$A12,'J1 Journaal'!$B:$B,"&lt;="&amp;DATE(2026,6,30),'J1 Journaal'!$N:$N,"nee")-SUMIFS('J1 Journaal'!$L:$L,'J1 Journaal'!$G:$G,$A12,'J1 Journaal'!$B:$B,"&lt;="&amp;DATE(2026,6,30),'J1 Journaal'!$N:$N,"nee")</f>
        <v/>
      </c>
      <c r="G12" s="14">
        <f>$D12+SUMIFS('J1 Journaal'!$K:$K,'J1 Journaal'!$G:$G,$A12,'J1 Journaal'!$B:$B,"&lt;="&amp;DATE(2026,9,30),'J1 Journaal'!$N:$N,"nee")-SUMIFS('J1 Journaal'!$L:$L,'J1 Journaal'!$G:$G,$A12,'J1 Journaal'!$B:$B,"&lt;="&amp;DATE(2026,9,30),'J1 Journaal'!$N:$N,"nee")</f>
        <v/>
      </c>
      <c r="H12" s="14">
        <f>$D12+SUMIFS('J1 Journaal'!$K:$K,'J1 Journaal'!$G:$G,$A12,'J1 Journaal'!$B:$B,"&lt;="&amp;DATE(2026,12,31),'J1 Journaal'!$N:$N,"nee")-SUMIFS('J1 Journaal'!$L:$L,'J1 Journaal'!$G:$G,$A12,'J1 Journaal'!$B:$B,"&lt;="&amp;DATE(2026,12,31),'J1 Journaal'!$N:$N,"nee")</f>
        <v/>
      </c>
      <c r="I12" s="14">
        <f>$D12+SUMIFS('J1 Journaal'!$K:$K,'J1 Journaal'!$G:$G,$A12)-SUMIFS('J1 Journaal'!$L:$L,'J1 Journaal'!$G:$G,$A12)</f>
        <v/>
      </c>
    </row>
    <row r="13">
      <c r="A13" s="13" t="n">
        <v>240009</v>
      </c>
      <c r="B13" s="13" t="inlineStr">
        <is>
          <t>Afschrijvingen op meubilair (-)</t>
        </is>
      </c>
      <c r="C13" s="13" t="inlineStr">
        <is>
          <t>A</t>
        </is>
      </c>
      <c r="D13" s="14" t="n">
        <v>0</v>
      </c>
      <c r="E13" s="14">
        <f>$D13+SUMIFS('J1 Journaal'!$K:$K,'J1 Journaal'!$G:$G,$A13,'J1 Journaal'!$B:$B,"&lt;="&amp;DATE(2026,3,31),'J1 Journaal'!$N:$N,"nee")-SUMIFS('J1 Journaal'!$L:$L,'J1 Journaal'!$G:$G,$A13,'J1 Journaal'!$B:$B,"&lt;="&amp;DATE(2026,3,31),'J1 Journaal'!$N:$N,"nee")</f>
        <v/>
      </c>
      <c r="F13" s="14">
        <f>$D13+SUMIFS('J1 Journaal'!$K:$K,'J1 Journaal'!$G:$G,$A13,'J1 Journaal'!$B:$B,"&lt;="&amp;DATE(2026,6,30),'J1 Journaal'!$N:$N,"nee")-SUMIFS('J1 Journaal'!$L:$L,'J1 Journaal'!$G:$G,$A13,'J1 Journaal'!$B:$B,"&lt;="&amp;DATE(2026,6,30),'J1 Journaal'!$N:$N,"nee")</f>
        <v/>
      </c>
      <c r="G13" s="14">
        <f>$D13+SUMIFS('J1 Journaal'!$K:$K,'J1 Journaal'!$G:$G,$A13,'J1 Journaal'!$B:$B,"&lt;="&amp;DATE(2026,9,30),'J1 Journaal'!$N:$N,"nee")-SUMIFS('J1 Journaal'!$L:$L,'J1 Journaal'!$G:$G,$A13,'J1 Journaal'!$B:$B,"&lt;="&amp;DATE(2026,9,30),'J1 Journaal'!$N:$N,"nee")</f>
        <v/>
      </c>
      <c r="H13" s="14">
        <f>$D13+SUMIFS('J1 Journaal'!$K:$K,'J1 Journaal'!$G:$G,$A13,'J1 Journaal'!$B:$B,"&lt;="&amp;DATE(2026,12,31),'J1 Journaal'!$N:$N,"nee")-SUMIFS('J1 Journaal'!$L:$L,'J1 Journaal'!$G:$G,$A13,'J1 Journaal'!$B:$B,"&lt;="&amp;DATE(2026,12,31),'J1 Journaal'!$N:$N,"nee")</f>
        <v/>
      </c>
      <c r="I13" s="14">
        <f>$D13+SUMIFS('J1 Journaal'!$K:$K,'J1 Journaal'!$G:$G,$A13)-SUMIFS('J1 Journaal'!$L:$L,'J1 Journaal'!$G:$G,$A13)</f>
        <v/>
      </c>
    </row>
    <row r="14">
      <c r="A14" s="13" t="n">
        <v>240200</v>
      </c>
      <c r="B14" s="13" t="inlineStr">
        <is>
          <t>Computers</t>
        </is>
      </c>
      <c r="C14" s="13" t="inlineStr">
        <is>
          <t>A</t>
        </is>
      </c>
      <c r="D14" s="14" t="n">
        <v>0</v>
      </c>
      <c r="E14" s="14">
        <f>$D14+SUMIFS('J1 Journaal'!$K:$K,'J1 Journaal'!$G:$G,$A14,'J1 Journaal'!$B:$B,"&lt;="&amp;DATE(2026,3,31),'J1 Journaal'!$N:$N,"nee")-SUMIFS('J1 Journaal'!$L:$L,'J1 Journaal'!$G:$G,$A14,'J1 Journaal'!$B:$B,"&lt;="&amp;DATE(2026,3,31),'J1 Journaal'!$N:$N,"nee")</f>
        <v/>
      </c>
      <c r="F14" s="14">
        <f>$D14+SUMIFS('J1 Journaal'!$K:$K,'J1 Journaal'!$G:$G,$A14,'J1 Journaal'!$B:$B,"&lt;="&amp;DATE(2026,6,30),'J1 Journaal'!$N:$N,"nee")-SUMIFS('J1 Journaal'!$L:$L,'J1 Journaal'!$G:$G,$A14,'J1 Journaal'!$B:$B,"&lt;="&amp;DATE(2026,6,30),'J1 Journaal'!$N:$N,"nee")</f>
        <v/>
      </c>
      <c r="G14" s="14">
        <f>$D14+SUMIFS('J1 Journaal'!$K:$K,'J1 Journaal'!$G:$G,$A14,'J1 Journaal'!$B:$B,"&lt;="&amp;DATE(2026,9,30),'J1 Journaal'!$N:$N,"nee")-SUMIFS('J1 Journaal'!$L:$L,'J1 Journaal'!$G:$G,$A14,'J1 Journaal'!$B:$B,"&lt;="&amp;DATE(2026,9,30),'J1 Journaal'!$N:$N,"nee")</f>
        <v/>
      </c>
      <c r="H14" s="14">
        <f>$D14+SUMIFS('J1 Journaal'!$K:$K,'J1 Journaal'!$G:$G,$A14,'J1 Journaal'!$B:$B,"&lt;="&amp;DATE(2026,12,31),'J1 Journaal'!$N:$N,"nee")-SUMIFS('J1 Journaal'!$L:$L,'J1 Journaal'!$G:$G,$A14,'J1 Journaal'!$B:$B,"&lt;="&amp;DATE(2026,12,31),'J1 Journaal'!$N:$N,"nee")</f>
        <v/>
      </c>
      <c r="I14" s="14">
        <f>$D14+SUMIFS('J1 Journaal'!$K:$K,'J1 Journaal'!$G:$G,$A14)-SUMIFS('J1 Journaal'!$L:$L,'J1 Journaal'!$G:$G,$A14)</f>
        <v/>
      </c>
    </row>
    <row r="15">
      <c r="A15" s="13" t="n">
        <v>240209</v>
      </c>
      <c r="B15" s="13" t="inlineStr">
        <is>
          <t>Afschrijvingen op computers (-)</t>
        </is>
      </c>
      <c r="C15" s="13" t="inlineStr">
        <is>
          <t>A</t>
        </is>
      </c>
      <c r="D15" s="14" t="n">
        <v>0</v>
      </c>
      <c r="E15" s="14">
        <f>$D15+SUMIFS('J1 Journaal'!$K:$K,'J1 Journaal'!$G:$G,$A15,'J1 Journaal'!$B:$B,"&lt;="&amp;DATE(2026,3,31),'J1 Journaal'!$N:$N,"nee")-SUMIFS('J1 Journaal'!$L:$L,'J1 Journaal'!$G:$G,$A15,'J1 Journaal'!$B:$B,"&lt;="&amp;DATE(2026,3,31),'J1 Journaal'!$N:$N,"nee")</f>
        <v/>
      </c>
      <c r="F15" s="14">
        <f>$D15+SUMIFS('J1 Journaal'!$K:$K,'J1 Journaal'!$G:$G,$A15,'J1 Journaal'!$B:$B,"&lt;="&amp;DATE(2026,6,30),'J1 Journaal'!$N:$N,"nee")-SUMIFS('J1 Journaal'!$L:$L,'J1 Journaal'!$G:$G,$A15,'J1 Journaal'!$B:$B,"&lt;="&amp;DATE(2026,6,30),'J1 Journaal'!$N:$N,"nee")</f>
        <v/>
      </c>
      <c r="G15" s="14">
        <f>$D15+SUMIFS('J1 Journaal'!$K:$K,'J1 Journaal'!$G:$G,$A15,'J1 Journaal'!$B:$B,"&lt;="&amp;DATE(2026,9,30),'J1 Journaal'!$N:$N,"nee")-SUMIFS('J1 Journaal'!$L:$L,'J1 Journaal'!$G:$G,$A15,'J1 Journaal'!$B:$B,"&lt;="&amp;DATE(2026,9,30),'J1 Journaal'!$N:$N,"nee")</f>
        <v/>
      </c>
      <c r="H15" s="14">
        <f>$D15+SUMIFS('J1 Journaal'!$K:$K,'J1 Journaal'!$G:$G,$A15,'J1 Journaal'!$B:$B,"&lt;="&amp;DATE(2026,12,31),'J1 Journaal'!$N:$N,"nee")-SUMIFS('J1 Journaal'!$L:$L,'J1 Journaal'!$G:$G,$A15,'J1 Journaal'!$B:$B,"&lt;="&amp;DATE(2026,12,31),'J1 Journaal'!$N:$N,"nee")</f>
        <v/>
      </c>
      <c r="I15" s="14">
        <f>$D15+SUMIFS('J1 Journaal'!$K:$K,'J1 Journaal'!$G:$G,$A15)-SUMIFS('J1 Journaal'!$L:$L,'J1 Journaal'!$G:$G,$A15)</f>
        <v/>
      </c>
    </row>
    <row r="16">
      <c r="A16" s="13" t="n">
        <v>241000</v>
      </c>
      <c r="B16" s="13" t="inlineStr">
        <is>
          <t>Rollend materieel</t>
        </is>
      </c>
      <c r="C16" s="13" t="inlineStr">
        <is>
          <t>A</t>
        </is>
      </c>
      <c r="D16" s="14" t="n">
        <v>6000</v>
      </c>
      <c r="E16" s="14">
        <f>$D16+SUMIFS('J1 Journaal'!$K:$K,'J1 Journaal'!$G:$G,$A16,'J1 Journaal'!$B:$B,"&lt;="&amp;DATE(2026,3,31),'J1 Journaal'!$N:$N,"nee")-SUMIFS('J1 Journaal'!$L:$L,'J1 Journaal'!$G:$G,$A16,'J1 Journaal'!$B:$B,"&lt;="&amp;DATE(2026,3,31),'J1 Journaal'!$N:$N,"nee")</f>
        <v/>
      </c>
      <c r="F16" s="14">
        <f>$D16+SUMIFS('J1 Journaal'!$K:$K,'J1 Journaal'!$G:$G,$A16,'J1 Journaal'!$B:$B,"&lt;="&amp;DATE(2026,6,30),'J1 Journaal'!$N:$N,"nee")-SUMIFS('J1 Journaal'!$L:$L,'J1 Journaal'!$G:$G,$A16,'J1 Journaal'!$B:$B,"&lt;="&amp;DATE(2026,6,30),'J1 Journaal'!$N:$N,"nee")</f>
        <v/>
      </c>
      <c r="G16" s="14">
        <f>$D16+SUMIFS('J1 Journaal'!$K:$K,'J1 Journaal'!$G:$G,$A16,'J1 Journaal'!$B:$B,"&lt;="&amp;DATE(2026,9,30),'J1 Journaal'!$N:$N,"nee")-SUMIFS('J1 Journaal'!$L:$L,'J1 Journaal'!$G:$G,$A16,'J1 Journaal'!$B:$B,"&lt;="&amp;DATE(2026,9,30),'J1 Journaal'!$N:$N,"nee")</f>
        <v/>
      </c>
      <c r="H16" s="14">
        <f>$D16+SUMIFS('J1 Journaal'!$K:$K,'J1 Journaal'!$G:$G,$A16,'J1 Journaal'!$B:$B,"&lt;="&amp;DATE(2026,12,31),'J1 Journaal'!$N:$N,"nee")-SUMIFS('J1 Journaal'!$L:$L,'J1 Journaal'!$G:$G,$A16,'J1 Journaal'!$B:$B,"&lt;="&amp;DATE(2026,12,31),'J1 Journaal'!$N:$N,"nee")</f>
        <v/>
      </c>
      <c r="I16" s="14">
        <f>$D16+SUMIFS('J1 Journaal'!$K:$K,'J1 Journaal'!$G:$G,$A16)-SUMIFS('J1 Journaal'!$L:$L,'J1 Journaal'!$G:$G,$A16)</f>
        <v/>
      </c>
    </row>
    <row r="17">
      <c r="A17" s="13" t="n">
        <v>241009</v>
      </c>
      <c r="B17" s="13" t="inlineStr">
        <is>
          <t>Afschrijvingen op rollend materieel (-)</t>
        </is>
      </c>
      <c r="C17" s="13" t="inlineStr">
        <is>
          <t>A</t>
        </is>
      </c>
      <c r="D17" s="14" t="n">
        <v>0</v>
      </c>
      <c r="E17" s="14">
        <f>$D17+SUMIFS('J1 Journaal'!$K:$K,'J1 Journaal'!$G:$G,$A17,'J1 Journaal'!$B:$B,"&lt;="&amp;DATE(2026,3,31),'J1 Journaal'!$N:$N,"nee")-SUMIFS('J1 Journaal'!$L:$L,'J1 Journaal'!$G:$G,$A17,'J1 Journaal'!$B:$B,"&lt;="&amp;DATE(2026,3,31),'J1 Journaal'!$N:$N,"nee")</f>
        <v/>
      </c>
      <c r="F17" s="14">
        <f>$D17+SUMIFS('J1 Journaal'!$K:$K,'J1 Journaal'!$G:$G,$A17,'J1 Journaal'!$B:$B,"&lt;="&amp;DATE(2026,6,30),'J1 Journaal'!$N:$N,"nee")-SUMIFS('J1 Journaal'!$L:$L,'J1 Journaal'!$G:$G,$A17,'J1 Journaal'!$B:$B,"&lt;="&amp;DATE(2026,6,30),'J1 Journaal'!$N:$N,"nee")</f>
        <v/>
      </c>
      <c r="G17" s="14">
        <f>$D17+SUMIFS('J1 Journaal'!$K:$K,'J1 Journaal'!$G:$G,$A17,'J1 Journaal'!$B:$B,"&lt;="&amp;DATE(2026,9,30),'J1 Journaal'!$N:$N,"nee")-SUMIFS('J1 Journaal'!$L:$L,'J1 Journaal'!$G:$G,$A17,'J1 Journaal'!$B:$B,"&lt;="&amp;DATE(2026,9,30),'J1 Journaal'!$N:$N,"nee")</f>
        <v/>
      </c>
      <c r="H17" s="14">
        <f>$D17+SUMIFS('J1 Journaal'!$K:$K,'J1 Journaal'!$G:$G,$A17,'J1 Journaal'!$B:$B,"&lt;="&amp;DATE(2026,12,31),'J1 Journaal'!$N:$N,"nee")-SUMIFS('J1 Journaal'!$L:$L,'J1 Journaal'!$G:$G,$A17,'J1 Journaal'!$B:$B,"&lt;="&amp;DATE(2026,12,31),'J1 Journaal'!$N:$N,"nee")</f>
        <v/>
      </c>
      <c r="I17" s="14">
        <f>$D17+SUMIFS('J1 Journaal'!$K:$K,'J1 Journaal'!$G:$G,$A17)-SUMIFS('J1 Journaal'!$L:$L,'J1 Journaal'!$G:$G,$A17)</f>
        <v/>
      </c>
    </row>
    <row r="18">
      <c r="A18" s="13" t="n">
        <v>340000</v>
      </c>
      <c r="B18" s="13" t="inlineStr">
        <is>
          <t>Voorraad handelsgoederen</t>
        </is>
      </c>
      <c r="C18" s="13" t="inlineStr">
        <is>
          <t>A</t>
        </is>
      </c>
      <c r="D18" s="14" t="n">
        <v>3000</v>
      </c>
      <c r="E18" s="14">
        <f>$D18+SUMIFS('J1 Journaal'!$K:$K,'J1 Journaal'!$G:$G,$A18,'J1 Journaal'!$B:$B,"&lt;="&amp;DATE(2026,3,31),'J1 Journaal'!$N:$N,"nee")-SUMIFS('J1 Journaal'!$L:$L,'J1 Journaal'!$G:$G,$A18,'J1 Journaal'!$B:$B,"&lt;="&amp;DATE(2026,3,31),'J1 Journaal'!$N:$N,"nee")</f>
        <v/>
      </c>
      <c r="F18" s="14">
        <f>$D18+SUMIFS('J1 Journaal'!$K:$K,'J1 Journaal'!$G:$G,$A18,'J1 Journaal'!$B:$B,"&lt;="&amp;DATE(2026,6,30),'J1 Journaal'!$N:$N,"nee")-SUMIFS('J1 Journaal'!$L:$L,'J1 Journaal'!$G:$G,$A18,'J1 Journaal'!$B:$B,"&lt;="&amp;DATE(2026,6,30),'J1 Journaal'!$N:$N,"nee")</f>
        <v/>
      </c>
      <c r="G18" s="14">
        <f>$D18+SUMIFS('J1 Journaal'!$K:$K,'J1 Journaal'!$G:$G,$A18,'J1 Journaal'!$B:$B,"&lt;="&amp;DATE(2026,9,30),'J1 Journaal'!$N:$N,"nee")-SUMIFS('J1 Journaal'!$L:$L,'J1 Journaal'!$G:$G,$A18,'J1 Journaal'!$B:$B,"&lt;="&amp;DATE(2026,9,30),'J1 Journaal'!$N:$N,"nee")</f>
        <v/>
      </c>
      <c r="H18" s="14">
        <f>$D18+SUMIFS('J1 Journaal'!$K:$K,'J1 Journaal'!$G:$G,$A18,'J1 Journaal'!$B:$B,"&lt;="&amp;DATE(2026,12,31),'J1 Journaal'!$N:$N,"nee")-SUMIFS('J1 Journaal'!$L:$L,'J1 Journaal'!$G:$G,$A18,'J1 Journaal'!$B:$B,"&lt;="&amp;DATE(2026,12,31),'J1 Journaal'!$N:$N,"nee")</f>
        <v/>
      </c>
      <c r="I18" s="14">
        <f>$D18+SUMIFS('J1 Journaal'!$K:$K,'J1 Journaal'!$G:$G,$A18)-SUMIFS('J1 Journaal'!$L:$L,'J1 Journaal'!$G:$G,$A18)</f>
        <v/>
      </c>
    </row>
    <row r="19">
      <c r="A19" s="13" t="n">
        <v>400000</v>
      </c>
      <c r="B19" s="13" t="inlineStr">
        <is>
          <t>Handelsdebiteuren</t>
        </is>
      </c>
      <c r="C19" s="13" t="inlineStr">
        <is>
          <t>A</t>
        </is>
      </c>
      <c r="D19" s="14" t="n">
        <v>0</v>
      </c>
      <c r="E19" s="14">
        <f>$D19+SUMIFS('J1 Journaal'!$K:$K,'J1 Journaal'!$G:$G,$A19,'J1 Journaal'!$B:$B,"&lt;="&amp;DATE(2026,3,31),'J1 Journaal'!$N:$N,"nee")-SUMIFS('J1 Journaal'!$L:$L,'J1 Journaal'!$G:$G,$A19,'J1 Journaal'!$B:$B,"&lt;="&amp;DATE(2026,3,31),'J1 Journaal'!$N:$N,"nee")</f>
        <v/>
      </c>
      <c r="F19" s="14">
        <f>$D19+SUMIFS('J1 Journaal'!$K:$K,'J1 Journaal'!$G:$G,$A19,'J1 Journaal'!$B:$B,"&lt;="&amp;DATE(2026,6,30),'J1 Journaal'!$N:$N,"nee")-SUMIFS('J1 Journaal'!$L:$L,'J1 Journaal'!$G:$G,$A19,'J1 Journaal'!$B:$B,"&lt;="&amp;DATE(2026,6,30),'J1 Journaal'!$N:$N,"nee")</f>
        <v/>
      </c>
      <c r="G19" s="14">
        <f>$D19+SUMIFS('J1 Journaal'!$K:$K,'J1 Journaal'!$G:$G,$A19,'J1 Journaal'!$B:$B,"&lt;="&amp;DATE(2026,9,30),'J1 Journaal'!$N:$N,"nee")-SUMIFS('J1 Journaal'!$L:$L,'J1 Journaal'!$G:$G,$A19,'J1 Journaal'!$B:$B,"&lt;="&amp;DATE(2026,9,30),'J1 Journaal'!$N:$N,"nee")</f>
        <v/>
      </c>
      <c r="H19" s="14">
        <f>$D19+SUMIFS('J1 Journaal'!$K:$K,'J1 Journaal'!$G:$G,$A19,'J1 Journaal'!$B:$B,"&lt;="&amp;DATE(2026,12,31),'J1 Journaal'!$N:$N,"nee")-SUMIFS('J1 Journaal'!$L:$L,'J1 Journaal'!$G:$G,$A19,'J1 Journaal'!$B:$B,"&lt;="&amp;DATE(2026,12,31),'J1 Journaal'!$N:$N,"nee")</f>
        <v/>
      </c>
      <c r="I19" s="14">
        <f>$D19+SUMIFS('J1 Journaal'!$K:$K,'J1 Journaal'!$G:$G,$A19)-SUMIFS('J1 Journaal'!$L:$L,'J1 Journaal'!$G:$G,$A19)</f>
        <v/>
      </c>
    </row>
    <row r="20">
      <c r="A20" s="13" t="n">
        <v>411000</v>
      </c>
      <c r="B20" s="13" t="inlineStr">
        <is>
          <t>Terug te vorderen btw-saldo</t>
        </is>
      </c>
      <c r="C20" s="13" t="inlineStr">
        <is>
          <t>A</t>
        </is>
      </c>
      <c r="D20" s="14" t="n">
        <v>0</v>
      </c>
      <c r="E20" s="14">
        <f>$D20+SUMIFS('J1 Journaal'!$K:$K,'J1 Journaal'!$G:$G,$A20,'J1 Journaal'!$B:$B,"&lt;="&amp;DATE(2026,3,31),'J1 Journaal'!$N:$N,"nee")-SUMIFS('J1 Journaal'!$L:$L,'J1 Journaal'!$G:$G,$A20,'J1 Journaal'!$B:$B,"&lt;="&amp;DATE(2026,3,31),'J1 Journaal'!$N:$N,"nee")</f>
        <v/>
      </c>
      <c r="F20" s="14">
        <f>$D20+SUMIFS('J1 Journaal'!$K:$K,'J1 Journaal'!$G:$G,$A20,'J1 Journaal'!$B:$B,"&lt;="&amp;DATE(2026,6,30),'J1 Journaal'!$N:$N,"nee")-SUMIFS('J1 Journaal'!$L:$L,'J1 Journaal'!$G:$G,$A20,'J1 Journaal'!$B:$B,"&lt;="&amp;DATE(2026,6,30),'J1 Journaal'!$N:$N,"nee")</f>
        <v/>
      </c>
      <c r="G20" s="14">
        <f>$D20+SUMIFS('J1 Journaal'!$K:$K,'J1 Journaal'!$G:$G,$A20,'J1 Journaal'!$B:$B,"&lt;="&amp;DATE(2026,9,30),'J1 Journaal'!$N:$N,"nee")-SUMIFS('J1 Journaal'!$L:$L,'J1 Journaal'!$G:$G,$A20,'J1 Journaal'!$B:$B,"&lt;="&amp;DATE(2026,9,30),'J1 Journaal'!$N:$N,"nee")</f>
        <v/>
      </c>
      <c r="H20" s="14">
        <f>$D20+SUMIFS('J1 Journaal'!$K:$K,'J1 Journaal'!$G:$G,$A20,'J1 Journaal'!$B:$B,"&lt;="&amp;DATE(2026,12,31),'J1 Journaal'!$N:$N,"nee")-SUMIFS('J1 Journaal'!$L:$L,'J1 Journaal'!$G:$G,$A20,'J1 Journaal'!$B:$B,"&lt;="&amp;DATE(2026,12,31),'J1 Journaal'!$N:$N,"nee")</f>
        <v/>
      </c>
      <c r="I20" s="14">
        <f>$D20+SUMIFS('J1 Journaal'!$K:$K,'J1 Journaal'!$G:$G,$A20)-SUMIFS('J1 Journaal'!$L:$L,'J1 Journaal'!$G:$G,$A20)</f>
        <v/>
      </c>
    </row>
    <row r="21">
      <c r="A21" s="13" t="n">
        <v>411100</v>
      </c>
      <c r="B21" s="13" t="inlineStr">
        <is>
          <t>Aftrekbare btw</t>
        </is>
      </c>
      <c r="C21" s="13" t="inlineStr">
        <is>
          <t>A</t>
        </is>
      </c>
      <c r="D21" s="14" t="n">
        <v>0</v>
      </c>
      <c r="E21" s="14">
        <f>$D21+SUMIFS('J1 Journaal'!$K:$K,'J1 Journaal'!$G:$G,$A21,'J1 Journaal'!$B:$B,"&lt;="&amp;DATE(2026,3,31),'J1 Journaal'!$N:$N,"nee")-SUMIFS('J1 Journaal'!$L:$L,'J1 Journaal'!$G:$G,$A21,'J1 Journaal'!$B:$B,"&lt;="&amp;DATE(2026,3,31),'J1 Journaal'!$N:$N,"nee")</f>
        <v/>
      </c>
      <c r="F21" s="14">
        <f>$D21+SUMIFS('J1 Journaal'!$K:$K,'J1 Journaal'!$G:$G,$A21,'J1 Journaal'!$B:$B,"&lt;="&amp;DATE(2026,6,30),'J1 Journaal'!$N:$N,"nee")-SUMIFS('J1 Journaal'!$L:$L,'J1 Journaal'!$G:$G,$A21,'J1 Journaal'!$B:$B,"&lt;="&amp;DATE(2026,6,30),'J1 Journaal'!$N:$N,"nee")</f>
        <v/>
      </c>
      <c r="G21" s="14">
        <f>$D21+SUMIFS('J1 Journaal'!$K:$K,'J1 Journaal'!$G:$G,$A21,'J1 Journaal'!$B:$B,"&lt;="&amp;DATE(2026,9,30),'J1 Journaal'!$N:$N,"nee")-SUMIFS('J1 Journaal'!$L:$L,'J1 Journaal'!$G:$G,$A21,'J1 Journaal'!$B:$B,"&lt;="&amp;DATE(2026,9,30),'J1 Journaal'!$N:$N,"nee")</f>
        <v/>
      </c>
      <c r="H21" s="14">
        <f>$D21+SUMIFS('J1 Journaal'!$K:$K,'J1 Journaal'!$G:$G,$A21,'J1 Journaal'!$B:$B,"&lt;="&amp;DATE(2026,12,31),'J1 Journaal'!$N:$N,"nee")-SUMIFS('J1 Journaal'!$L:$L,'J1 Journaal'!$G:$G,$A21,'J1 Journaal'!$B:$B,"&lt;="&amp;DATE(2026,12,31),'J1 Journaal'!$N:$N,"nee")</f>
        <v/>
      </c>
      <c r="I21" s="14">
        <f>$D21+SUMIFS('J1 Journaal'!$K:$K,'J1 Journaal'!$G:$G,$A21)-SUMIFS('J1 Journaal'!$L:$L,'J1 Journaal'!$G:$G,$A21)</f>
        <v/>
      </c>
    </row>
    <row r="22">
      <c r="A22" s="13" t="n">
        <v>411200</v>
      </c>
      <c r="B22" s="13" t="inlineStr">
        <is>
          <t>Aftrekbare btw op uitgaande creditnota’s</t>
        </is>
      </c>
      <c r="C22" s="13" t="inlineStr">
        <is>
          <t>A</t>
        </is>
      </c>
      <c r="D22" s="14" t="n">
        <v>0</v>
      </c>
      <c r="E22" s="14">
        <f>$D22+SUMIFS('J1 Journaal'!$K:$K,'J1 Journaal'!$G:$G,$A22,'J1 Journaal'!$B:$B,"&lt;="&amp;DATE(2026,3,31),'J1 Journaal'!$N:$N,"nee")-SUMIFS('J1 Journaal'!$L:$L,'J1 Journaal'!$G:$G,$A22,'J1 Journaal'!$B:$B,"&lt;="&amp;DATE(2026,3,31),'J1 Journaal'!$N:$N,"nee")</f>
        <v/>
      </c>
      <c r="F22" s="14">
        <f>$D22+SUMIFS('J1 Journaal'!$K:$K,'J1 Journaal'!$G:$G,$A22,'J1 Journaal'!$B:$B,"&lt;="&amp;DATE(2026,6,30),'J1 Journaal'!$N:$N,"nee")-SUMIFS('J1 Journaal'!$L:$L,'J1 Journaal'!$G:$G,$A22,'J1 Journaal'!$B:$B,"&lt;="&amp;DATE(2026,6,30),'J1 Journaal'!$N:$N,"nee")</f>
        <v/>
      </c>
      <c r="G22" s="14">
        <f>$D22+SUMIFS('J1 Journaal'!$K:$K,'J1 Journaal'!$G:$G,$A22,'J1 Journaal'!$B:$B,"&lt;="&amp;DATE(2026,9,30),'J1 Journaal'!$N:$N,"nee")-SUMIFS('J1 Journaal'!$L:$L,'J1 Journaal'!$G:$G,$A22,'J1 Journaal'!$B:$B,"&lt;="&amp;DATE(2026,9,30),'J1 Journaal'!$N:$N,"nee")</f>
        <v/>
      </c>
      <c r="H22" s="14">
        <f>$D22+SUMIFS('J1 Journaal'!$K:$K,'J1 Journaal'!$G:$G,$A22,'J1 Journaal'!$B:$B,"&lt;="&amp;DATE(2026,12,31),'J1 Journaal'!$N:$N,"nee")-SUMIFS('J1 Journaal'!$L:$L,'J1 Journaal'!$G:$G,$A22,'J1 Journaal'!$B:$B,"&lt;="&amp;DATE(2026,12,31),'J1 Journaal'!$N:$N,"nee")</f>
        <v/>
      </c>
      <c r="I22" s="14">
        <f>$D22+SUMIFS('J1 Journaal'!$K:$K,'J1 Journaal'!$G:$G,$A22)-SUMIFS('J1 Journaal'!$L:$L,'J1 Journaal'!$G:$G,$A22)</f>
        <v/>
      </c>
    </row>
    <row r="23">
      <c r="A23" s="13" t="n">
        <v>418000</v>
      </c>
      <c r="B23" s="13" t="inlineStr">
        <is>
          <t>Terug te vorderen verpakking</t>
        </is>
      </c>
      <c r="C23" s="13" t="inlineStr">
        <is>
          <t>A</t>
        </is>
      </c>
      <c r="D23" s="14" t="n">
        <v>0</v>
      </c>
      <c r="E23" s="14">
        <f>$D23+SUMIFS('J1 Journaal'!$K:$K,'J1 Journaal'!$G:$G,$A23,'J1 Journaal'!$B:$B,"&lt;="&amp;DATE(2026,3,31),'J1 Journaal'!$N:$N,"nee")-SUMIFS('J1 Journaal'!$L:$L,'J1 Journaal'!$G:$G,$A23,'J1 Journaal'!$B:$B,"&lt;="&amp;DATE(2026,3,31),'J1 Journaal'!$N:$N,"nee")</f>
        <v/>
      </c>
      <c r="F23" s="14">
        <f>$D23+SUMIFS('J1 Journaal'!$K:$K,'J1 Journaal'!$G:$G,$A23,'J1 Journaal'!$B:$B,"&lt;="&amp;DATE(2026,6,30),'J1 Journaal'!$N:$N,"nee")-SUMIFS('J1 Journaal'!$L:$L,'J1 Journaal'!$G:$G,$A23,'J1 Journaal'!$B:$B,"&lt;="&amp;DATE(2026,6,30),'J1 Journaal'!$N:$N,"nee")</f>
        <v/>
      </c>
      <c r="G23" s="14">
        <f>$D23+SUMIFS('J1 Journaal'!$K:$K,'J1 Journaal'!$G:$G,$A23,'J1 Journaal'!$B:$B,"&lt;="&amp;DATE(2026,9,30),'J1 Journaal'!$N:$N,"nee")-SUMIFS('J1 Journaal'!$L:$L,'J1 Journaal'!$G:$G,$A23,'J1 Journaal'!$B:$B,"&lt;="&amp;DATE(2026,9,30),'J1 Journaal'!$N:$N,"nee")</f>
        <v/>
      </c>
      <c r="H23" s="14">
        <f>$D23+SUMIFS('J1 Journaal'!$K:$K,'J1 Journaal'!$G:$G,$A23,'J1 Journaal'!$B:$B,"&lt;="&amp;DATE(2026,12,31),'J1 Journaal'!$N:$N,"nee")-SUMIFS('J1 Journaal'!$L:$L,'J1 Journaal'!$G:$G,$A23,'J1 Journaal'!$B:$B,"&lt;="&amp;DATE(2026,12,31),'J1 Journaal'!$N:$N,"nee")</f>
        <v/>
      </c>
      <c r="I23" s="14">
        <f>$D23+SUMIFS('J1 Journaal'!$K:$K,'J1 Journaal'!$G:$G,$A23)-SUMIFS('J1 Journaal'!$L:$L,'J1 Journaal'!$G:$G,$A23)</f>
        <v/>
      </c>
    </row>
    <row r="24">
      <c r="A24" s="13" t="n">
        <v>423000</v>
      </c>
      <c r="B24" s="13" t="inlineStr">
        <is>
          <t>Binnen het jaar vervallende schulden aan kredietinstellingen</t>
        </is>
      </c>
      <c r="C24" s="13" t="inlineStr">
        <is>
          <t>P</t>
        </is>
      </c>
      <c r="D24" s="14" t="n">
        <v>0</v>
      </c>
      <c r="E24" s="14">
        <f>$D24+SUMIFS('J1 Journaal'!$K:$K,'J1 Journaal'!$G:$G,$A24,'J1 Journaal'!$B:$B,"&lt;="&amp;DATE(2026,3,31),'J1 Journaal'!$N:$N,"nee")-SUMIFS('J1 Journaal'!$L:$L,'J1 Journaal'!$G:$G,$A24,'J1 Journaal'!$B:$B,"&lt;="&amp;DATE(2026,3,31),'J1 Journaal'!$N:$N,"nee")</f>
        <v/>
      </c>
      <c r="F24" s="14">
        <f>$D24+SUMIFS('J1 Journaal'!$K:$K,'J1 Journaal'!$G:$G,$A24,'J1 Journaal'!$B:$B,"&lt;="&amp;DATE(2026,6,30),'J1 Journaal'!$N:$N,"nee")-SUMIFS('J1 Journaal'!$L:$L,'J1 Journaal'!$G:$G,$A24,'J1 Journaal'!$B:$B,"&lt;="&amp;DATE(2026,6,30),'J1 Journaal'!$N:$N,"nee")</f>
        <v/>
      </c>
      <c r="G24" s="14">
        <f>$D24+SUMIFS('J1 Journaal'!$K:$K,'J1 Journaal'!$G:$G,$A24,'J1 Journaal'!$B:$B,"&lt;="&amp;DATE(2026,9,30),'J1 Journaal'!$N:$N,"nee")-SUMIFS('J1 Journaal'!$L:$L,'J1 Journaal'!$G:$G,$A24,'J1 Journaal'!$B:$B,"&lt;="&amp;DATE(2026,9,30),'J1 Journaal'!$N:$N,"nee")</f>
        <v/>
      </c>
      <c r="H24" s="14">
        <f>$D24+SUMIFS('J1 Journaal'!$K:$K,'J1 Journaal'!$G:$G,$A24,'J1 Journaal'!$B:$B,"&lt;="&amp;DATE(2026,12,31),'J1 Journaal'!$N:$N,"nee")-SUMIFS('J1 Journaal'!$L:$L,'J1 Journaal'!$G:$G,$A24,'J1 Journaal'!$B:$B,"&lt;="&amp;DATE(2026,12,31),'J1 Journaal'!$N:$N,"nee")</f>
        <v/>
      </c>
      <c r="I24" s="14">
        <f>$D24+SUMIFS('J1 Journaal'!$K:$K,'J1 Journaal'!$G:$G,$A24)-SUMIFS('J1 Journaal'!$L:$L,'J1 Journaal'!$G:$G,$A24)</f>
        <v/>
      </c>
    </row>
    <row r="25">
      <c r="A25" s="13" t="n">
        <v>440000</v>
      </c>
      <c r="B25" s="13" t="inlineStr">
        <is>
          <t>Leveranciers</t>
        </is>
      </c>
      <c r="C25" s="13" t="inlineStr">
        <is>
          <t>P</t>
        </is>
      </c>
      <c r="D25" s="14" t="n">
        <v>0</v>
      </c>
      <c r="E25" s="14">
        <f>$D25+SUMIFS('J1 Journaal'!$K:$K,'J1 Journaal'!$G:$G,$A25,'J1 Journaal'!$B:$B,"&lt;="&amp;DATE(2026,3,31),'J1 Journaal'!$N:$N,"nee")-SUMIFS('J1 Journaal'!$L:$L,'J1 Journaal'!$G:$G,$A25,'J1 Journaal'!$B:$B,"&lt;="&amp;DATE(2026,3,31),'J1 Journaal'!$N:$N,"nee")</f>
        <v/>
      </c>
      <c r="F25" s="14">
        <f>$D25+SUMIFS('J1 Journaal'!$K:$K,'J1 Journaal'!$G:$G,$A25,'J1 Journaal'!$B:$B,"&lt;="&amp;DATE(2026,6,30),'J1 Journaal'!$N:$N,"nee")-SUMIFS('J1 Journaal'!$L:$L,'J1 Journaal'!$G:$G,$A25,'J1 Journaal'!$B:$B,"&lt;="&amp;DATE(2026,6,30),'J1 Journaal'!$N:$N,"nee")</f>
        <v/>
      </c>
      <c r="G25" s="14">
        <f>$D25+SUMIFS('J1 Journaal'!$K:$K,'J1 Journaal'!$G:$G,$A25,'J1 Journaal'!$B:$B,"&lt;="&amp;DATE(2026,9,30),'J1 Journaal'!$N:$N,"nee")-SUMIFS('J1 Journaal'!$L:$L,'J1 Journaal'!$G:$G,$A25,'J1 Journaal'!$B:$B,"&lt;="&amp;DATE(2026,9,30),'J1 Journaal'!$N:$N,"nee")</f>
        <v/>
      </c>
      <c r="H25" s="14">
        <f>$D25+SUMIFS('J1 Journaal'!$K:$K,'J1 Journaal'!$G:$G,$A25,'J1 Journaal'!$B:$B,"&lt;="&amp;DATE(2026,12,31),'J1 Journaal'!$N:$N,"nee")-SUMIFS('J1 Journaal'!$L:$L,'J1 Journaal'!$G:$G,$A25,'J1 Journaal'!$B:$B,"&lt;="&amp;DATE(2026,12,31),'J1 Journaal'!$N:$N,"nee")</f>
        <v/>
      </c>
      <c r="I25" s="14">
        <f>$D25+SUMIFS('J1 Journaal'!$K:$K,'J1 Journaal'!$G:$G,$A25)-SUMIFS('J1 Journaal'!$L:$L,'J1 Journaal'!$G:$G,$A25)</f>
        <v/>
      </c>
    </row>
    <row r="26">
      <c r="A26" s="13" t="n">
        <v>451000</v>
      </c>
      <c r="B26" s="13" t="inlineStr">
        <is>
          <t>Te betalen btw-saldo</t>
        </is>
      </c>
      <c r="C26" s="13" t="inlineStr">
        <is>
          <t>P</t>
        </is>
      </c>
      <c r="D26" s="14" t="n">
        <v>0</v>
      </c>
      <c r="E26" s="14">
        <f>$D26+SUMIFS('J1 Journaal'!$K:$K,'J1 Journaal'!$G:$G,$A26,'J1 Journaal'!$B:$B,"&lt;="&amp;DATE(2026,3,31),'J1 Journaal'!$N:$N,"nee")-SUMIFS('J1 Journaal'!$L:$L,'J1 Journaal'!$G:$G,$A26,'J1 Journaal'!$B:$B,"&lt;="&amp;DATE(2026,3,31),'J1 Journaal'!$N:$N,"nee")</f>
        <v/>
      </c>
      <c r="F26" s="14">
        <f>$D26+SUMIFS('J1 Journaal'!$K:$K,'J1 Journaal'!$G:$G,$A26,'J1 Journaal'!$B:$B,"&lt;="&amp;DATE(2026,6,30),'J1 Journaal'!$N:$N,"nee")-SUMIFS('J1 Journaal'!$L:$L,'J1 Journaal'!$G:$G,$A26,'J1 Journaal'!$B:$B,"&lt;="&amp;DATE(2026,6,30),'J1 Journaal'!$N:$N,"nee")</f>
        <v/>
      </c>
      <c r="G26" s="14">
        <f>$D26+SUMIFS('J1 Journaal'!$K:$K,'J1 Journaal'!$G:$G,$A26,'J1 Journaal'!$B:$B,"&lt;="&amp;DATE(2026,9,30),'J1 Journaal'!$N:$N,"nee")-SUMIFS('J1 Journaal'!$L:$L,'J1 Journaal'!$G:$G,$A26,'J1 Journaal'!$B:$B,"&lt;="&amp;DATE(2026,9,30),'J1 Journaal'!$N:$N,"nee")</f>
        <v/>
      </c>
      <c r="H26" s="14">
        <f>$D26+SUMIFS('J1 Journaal'!$K:$K,'J1 Journaal'!$G:$G,$A26,'J1 Journaal'!$B:$B,"&lt;="&amp;DATE(2026,12,31),'J1 Journaal'!$N:$N,"nee")-SUMIFS('J1 Journaal'!$L:$L,'J1 Journaal'!$G:$G,$A26,'J1 Journaal'!$B:$B,"&lt;="&amp;DATE(2026,12,31),'J1 Journaal'!$N:$N,"nee")</f>
        <v/>
      </c>
      <c r="I26" s="14">
        <f>$D26+SUMIFS('J1 Journaal'!$K:$K,'J1 Journaal'!$G:$G,$A26)-SUMIFS('J1 Journaal'!$L:$L,'J1 Journaal'!$G:$G,$A26)</f>
        <v/>
      </c>
    </row>
    <row r="27">
      <c r="A27" s="13" t="n">
        <v>451100</v>
      </c>
      <c r="B27" s="13" t="inlineStr">
        <is>
          <t>Verschuldigde btw</t>
        </is>
      </c>
      <c r="C27" s="13" t="inlineStr">
        <is>
          <t>P</t>
        </is>
      </c>
      <c r="D27" s="14" t="n">
        <v>0</v>
      </c>
      <c r="E27" s="14">
        <f>$D27+SUMIFS('J1 Journaal'!$K:$K,'J1 Journaal'!$G:$G,$A27,'J1 Journaal'!$B:$B,"&lt;="&amp;DATE(2026,3,31),'J1 Journaal'!$N:$N,"nee")-SUMIFS('J1 Journaal'!$L:$L,'J1 Journaal'!$G:$G,$A27,'J1 Journaal'!$B:$B,"&lt;="&amp;DATE(2026,3,31),'J1 Journaal'!$N:$N,"nee")</f>
        <v/>
      </c>
      <c r="F27" s="14">
        <f>$D27+SUMIFS('J1 Journaal'!$K:$K,'J1 Journaal'!$G:$G,$A27,'J1 Journaal'!$B:$B,"&lt;="&amp;DATE(2026,6,30),'J1 Journaal'!$N:$N,"nee")-SUMIFS('J1 Journaal'!$L:$L,'J1 Journaal'!$G:$G,$A27,'J1 Journaal'!$B:$B,"&lt;="&amp;DATE(2026,6,30),'J1 Journaal'!$N:$N,"nee")</f>
        <v/>
      </c>
      <c r="G27" s="14">
        <f>$D27+SUMIFS('J1 Journaal'!$K:$K,'J1 Journaal'!$G:$G,$A27,'J1 Journaal'!$B:$B,"&lt;="&amp;DATE(2026,9,30),'J1 Journaal'!$N:$N,"nee")-SUMIFS('J1 Journaal'!$L:$L,'J1 Journaal'!$G:$G,$A27,'J1 Journaal'!$B:$B,"&lt;="&amp;DATE(2026,9,30),'J1 Journaal'!$N:$N,"nee")</f>
        <v/>
      </c>
      <c r="H27" s="14">
        <f>$D27+SUMIFS('J1 Journaal'!$K:$K,'J1 Journaal'!$G:$G,$A27,'J1 Journaal'!$B:$B,"&lt;="&amp;DATE(2026,12,31),'J1 Journaal'!$N:$N,"nee")-SUMIFS('J1 Journaal'!$L:$L,'J1 Journaal'!$G:$G,$A27,'J1 Journaal'!$B:$B,"&lt;="&amp;DATE(2026,12,31),'J1 Journaal'!$N:$N,"nee")</f>
        <v/>
      </c>
      <c r="I27" s="14">
        <f>$D27+SUMIFS('J1 Journaal'!$K:$K,'J1 Journaal'!$G:$G,$A27)-SUMIFS('J1 Journaal'!$L:$L,'J1 Journaal'!$G:$G,$A27)</f>
        <v/>
      </c>
    </row>
    <row r="28">
      <c r="A28" s="13" t="n">
        <v>451200</v>
      </c>
      <c r="B28" s="13" t="inlineStr">
        <is>
          <t>Verschuldigde btw op inkomende creditnota’s</t>
        </is>
      </c>
      <c r="C28" s="13" t="inlineStr">
        <is>
          <t>P</t>
        </is>
      </c>
      <c r="D28" s="14" t="n">
        <v>0</v>
      </c>
      <c r="E28" s="14">
        <f>$D28+SUMIFS('J1 Journaal'!$K:$K,'J1 Journaal'!$G:$G,$A28,'J1 Journaal'!$B:$B,"&lt;="&amp;DATE(2026,3,31),'J1 Journaal'!$N:$N,"nee")-SUMIFS('J1 Journaal'!$L:$L,'J1 Journaal'!$G:$G,$A28,'J1 Journaal'!$B:$B,"&lt;="&amp;DATE(2026,3,31),'J1 Journaal'!$N:$N,"nee")</f>
        <v/>
      </c>
      <c r="F28" s="14">
        <f>$D28+SUMIFS('J1 Journaal'!$K:$K,'J1 Journaal'!$G:$G,$A28,'J1 Journaal'!$B:$B,"&lt;="&amp;DATE(2026,6,30),'J1 Journaal'!$N:$N,"nee")-SUMIFS('J1 Journaal'!$L:$L,'J1 Journaal'!$G:$G,$A28,'J1 Journaal'!$B:$B,"&lt;="&amp;DATE(2026,6,30),'J1 Journaal'!$N:$N,"nee")</f>
        <v/>
      </c>
      <c r="G28" s="14">
        <f>$D28+SUMIFS('J1 Journaal'!$K:$K,'J1 Journaal'!$G:$G,$A28,'J1 Journaal'!$B:$B,"&lt;="&amp;DATE(2026,9,30),'J1 Journaal'!$N:$N,"nee")-SUMIFS('J1 Journaal'!$L:$L,'J1 Journaal'!$G:$G,$A28,'J1 Journaal'!$B:$B,"&lt;="&amp;DATE(2026,9,30),'J1 Journaal'!$N:$N,"nee")</f>
        <v/>
      </c>
      <c r="H28" s="14">
        <f>$D28+SUMIFS('J1 Journaal'!$K:$K,'J1 Journaal'!$G:$G,$A28,'J1 Journaal'!$B:$B,"&lt;="&amp;DATE(2026,12,31),'J1 Journaal'!$N:$N,"nee")-SUMIFS('J1 Journaal'!$L:$L,'J1 Journaal'!$G:$G,$A28,'J1 Journaal'!$B:$B,"&lt;="&amp;DATE(2026,12,31),'J1 Journaal'!$N:$N,"nee")</f>
        <v/>
      </c>
      <c r="I28" s="14">
        <f>$D28+SUMIFS('J1 Journaal'!$K:$K,'J1 Journaal'!$G:$G,$A28)-SUMIFS('J1 Journaal'!$L:$L,'J1 Journaal'!$G:$G,$A28)</f>
        <v/>
      </c>
    </row>
    <row r="29">
      <c r="A29" s="13" t="n">
        <v>488000</v>
      </c>
      <c r="B29" s="13" t="inlineStr">
        <is>
          <t>Terug te betalen verpakking</t>
        </is>
      </c>
      <c r="C29" s="13" t="inlineStr">
        <is>
          <t>P</t>
        </is>
      </c>
      <c r="D29" s="14" t="n">
        <v>0</v>
      </c>
      <c r="E29" s="14">
        <f>$D29+SUMIFS('J1 Journaal'!$K:$K,'J1 Journaal'!$G:$G,$A29,'J1 Journaal'!$B:$B,"&lt;="&amp;DATE(2026,3,31),'J1 Journaal'!$N:$N,"nee")-SUMIFS('J1 Journaal'!$L:$L,'J1 Journaal'!$G:$G,$A29,'J1 Journaal'!$B:$B,"&lt;="&amp;DATE(2026,3,31),'J1 Journaal'!$N:$N,"nee")</f>
        <v/>
      </c>
      <c r="F29" s="14">
        <f>$D29+SUMIFS('J1 Journaal'!$K:$K,'J1 Journaal'!$G:$G,$A29,'J1 Journaal'!$B:$B,"&lt;="&amp;DATE(2026,6,30),'J1 Journaal'!$N:$N,"nee")-SUMIFS('J1 Journaal'!$L:$L,'J1 Journaal'!$G:$G,$A29,'J1 Journaal'!$B:$B,"&lt;="&amp;DATE(2026,6,30),'J1 Journaal'!$N:$N,"nee")</f>
        <v/>
      </c>
      <c r="G29" s="14">
        <f>$D29+SUMIFS('J1 Journaal'!$K:$K,'J1 Journaal'!$G:$G,$A29,'J1 Journaal'!$B:$B,"&lt;="&amp;DATE(2026,9,30),'J1 Journaal'!$N:$N,"nee")-SUMIFS('J1 Journaal'!$L:$L,'J1 Journaal'!$G:$G,$A29,'J1 Journaal'!$B:$B,"&lt;="&amp;DATE(2026,9,30),'J1 Journaal'!$N:$N,"nee")</f>
        <v/>
      </c>
      <c r="H29" s="14">
        <f>$D29+SUMIFS('J1 Journaal'!$K:$K,'J1 Journaal'!$G:$G,$A29,'J1 Journaal'!$B:$B,"&lt;="&amp;DATE(2026,12,31),'J1 Journaal'!$N:$N,"nee")-SUMIFS('J1 Journaal'!$L:$L,'J1 Journaal'!$G:$G,$A29,'J1 Journaal'!$B:$B,"&lt;="&amp;DATE(2026,12,31),'J1 Journaal'!$N:$N,"nee")</f>
        <v/>
      </c>
      <c r="I29" s="14">
        <f>$D29+SUMIFS('J1 Journaal'!$K:$K,'J1 Journaal'!$G:$G,$A29)-SUMIFS('J1 Journaal'!$L:$L,'J1 Journaal'!$G:$G,$A29)</f>
        <v/>
      </c>
    </row>
    <row r="30">
      <c r="A30" s="13" t="n">
        <v>550000</v>
      </c>
      <c r="B30" s="13" t="inlineStr">
        <is>
          <t>Bankrekening</t>
        </is>
      </c>
      <c r="C30" s="13" t="inlineStr">
        <is>
          <t>A</t>
        </is>
      </c>
      <c r="D30" s="14" t="n">
        <v>10500</v>
      </c>
      <c r="E30" s="14">
        <f>$D30+SUMIFS('J1 Journaal'!$K:$K,'J1 Journaal'!$G:$G,$A30,'J1 Journaal'!$B:$B,"&lt;="&amp;DATE(2026,3,31),'J1 Journaal'!$N:$N,"nee")-SUMIFS('J1 Journaal'!$L:$L,'J1 Journaal'!$G:$G,$A30,'J1 Journaal'!$B:$B,"&lt;="&amp;DATE(2026,3,31),'J1 Journaal'!$N:$N,"nee")</f>
        <v/>
      </c>
      <c r="F30" s="14">
        <f>$D30+SUMIFS('J1 Journaal'!$K:$K,'J1 Journaal'!$G:$G,$A30,'J1 Journaal'!$B:$B,"&lt;="&amp;DATE(2026,6,30),'J1 Journaal'!$N:$N,"nee")-SUMIFS('J1 Journaal'!$L:$L,'J1 Journaal'!$G:$G,$A30,'J1 Journaal'!$B:$B,"&lt;="&amp;DATE(2026,6,30),'J1 Journaal'!$N:$N,"nee")</f>
        <v/>
      </c>
      <c r="G30" s="14">
        <f>$D30+SUMIFS('J1 Journaal'!$K:$K,'J1 Journaal'!$G:$G,$A30,'J1 Journaal'!$B:$B,"&lt;="&amp;DATE(2026,9,30),'J1 Journaal'!$N:$N,"nee")-SUMIFS('J1 Journaal'!$L:$L,'J1 Journaal'!$G:$G,$A30,'J1 Journaal'!$B:$B,"&lt;="&amp;DATE(2026,9,30),'J1 Journaal'!$N:$N,"nee")</f>
        <v/>
      </c>
      <c r="H30" s="14">
        <f>$D30+SUMIFS('J1 Journaal'!$K:$K,'J1 Journaal'!$G:$G,$A30,'J1 Journaal'!$B:$B,"&lt;="&amp;DATE(2026,12,31),'J1 Journaal'!$N:$N,"nee")-SUMIFS('J1 Journaal'!$L:$L,'J1 Journaal'!$G:$G,$A30,'J1 Journaal'!$B:$B,"&lt;="&amp;DATE(2026,12,31),'J1 Journaal'!$N:$N,"nee")</f>
        <v/>
      </c>
      <c r="I30" s="14">
        <f>$D30+SUMIFS('J1 Journaal'!$K:$K,'J1 Journaal'!$G:$G,$A30)-SUMIFS('J1 Journaal'!$L:$L,'J1 Journaal'!$G:$G,$A30)</f>
        <v/>
      </c>
    </row>
    <row r="31">
      <c r="A31" s="13" t="n">
        <v>570000</v>
      </c>
      <c r="B31" s="13" t="inlineStr">
        <is>
          <t>Kas</t>
        </is>
      </c>
      <c r="C31" s="13" t="inlineStr">
        <is>
          <t>A</t>
        </is>
      </c>
      <c r="D31" s="14" t="n">
        <v>500</v>
      </c>
      <c r="E31" s="14">
        <f>$D31+SUMIFS('J1 Journaal'!$K:$K,'J1 Journaal'!$G:$G,$A31,'J1 Journaal'!$B:$B,"&lt;="&amp;DATE(2026,3,31),'J1 Journaal'!$N:$N,"nee")-SUMIFS('J1 Journaal'!$L:$L,'J1 Journaal'!$G:$G,$A31,'J1 Journaal'!$B:$B,"&lt;="&amp;DATE(2026,3,31),'J1 Journaal'!$N:$N,"nee")</f>
        <v/>
      </c>
      <c r="F31" s="14">
        <f>$D31+SUMIFS('J1 Journaal'!$K:$K,'J1 Journaal'!$G:$G,$A31,'J1 Journaal'!$B:$B,"&lt;="&amp;DATE(2026,6,30),'J1 Journaal'!$N:$N,"nee")-SUMIFS('J1 Journaal'!$L:$L,'J1 Journaal'!$G:$G,$A31,'J1 Journaal'!$B:$B,"&lt;="&amp;DATE(2026,6,30),'J1 Journaal'!$N:$N,"nee")</f>
        <v/>
      </c>
      <c r="G31" s="14">
        <f>$D31+SUMIFS('J1 Journaal'!$K:$K,'J1 Journaal'!$G:$G,$A31,'J1 Journaal'!$B:$B,"&lt;="&amp;DATE(2026,9,30),'J1 Journaal'!$N:$N,"nee")-SUMIFS('J1 Journaal'!$L:$L,'J1 Journaal'!$G:$G,$A31,'J1 Journaal'!$B:$B,"&lt;="&amp;DATE(2026,9,30),'J1 Journaal'!$N:$N,"nee")</f>
        <v/>
      </c>
      <c r="H31" s="14">
        <f>$D31+SUMIFS('J1 Journaal'!$K:$K,'J1 Journaal'!$G:$G,$A31,'J1 Journaal'!$B:$B,"&lt;="&amp;DATE(2026,12,31),'J1 Journaal'!$N:$N,"nee")-SUMIFS('J1 Journaal'!$L:$L,'J1 Journaal'!$G:$G,$A31,'J1 Journaal'!$B:$B,"&lt;="&amp;DATE(2026,12,31),'J1 Journaal'!$N:$N,"nee")</f>
        <v/>
      </c>
      <c r="I31" s="14">
        <f>$D31+SUMIFS('J1 Journaal'!$K:$K,'J1 Journaal'!$G:$G,$A31)-SUMIFS('J1 Journaal'!$L:$L,'J1 Journaal'!$G:$G,$A31)</f>
        <v/>
      </c>
    </row>
    <row r="32">
      <c r="A32" s="13" t="n">
        <v>580000</v>
      </c>
      <c r="B32" s="13" t="inlineStr">
        <is>
          <t>Interne overboekingen</t>
        </is>
      </c>
      <c r="C32" s="13" t="inlineStr">
        <is>
          <t>A</t>
        </is>
      </c>
      <c r="D32" s="14" t="n">
        <v>0</v>
      </c>
      <c r="E32" s="14">
        <f>$D32+SUMIFS('J1 Journaal'!$K:$K,'J1 Journaal'!$G:$G,$A32,'J1 Journaal'!$B:$B,"&lt;="&amp;DATE(2026,3,31),'J1 Journaal'!$N:$N,"nee")-SUMIFS('J1 Journaal'!$L:$L,'J1 Journaal'!$G:$G,$A32,'J1 Journaal'!$B:$B,"&lt;="&amp;DATE(2026,3,31),'J1 Journaal'!$N:$N,"nee")</f>
        <v/>
      </c>
      <c r="F32" s="14">
        <f>$D32+SUMIFS('J1 Journaal'!$K:$K,'J1 Journaal'!$G:$G,$A32,'J1 Journaal'!$B:$B,"&lt;="&amp;DATE(2026,6,30),'J1 Journaal'!$N:$N,"nee")-SUMIFS('J1 Journaal'!$L:$L,'J1 Journaal'!$G:$G,$A32,'J1 Journaal'!$B:$B,"&lt;="&amp;DATE(2026,6,30),'J1 Journaal'!$N:$N,"nee")</f>
        <v/>
      </c>
      <c r="G32" s="14">
        <f>$D32+SUMIFS('J1 Journaal'!$K:$K,'J1 Journaal'!$G:$G,$A32,'J1 Journaal'!$B:$B,"&lt;="&amp;DATE(2026,9,30),'J1 Journaal'!$N:$N,"nee")-SUMIFS('J1 Journaal'!$L:$L,'J1 Journaal'!$G:$G,$A32,'J1 Journaal'!$B:$B,"&lt;="&amp;DATE(2026,9,30),'J1 Journaal'!$N:$N,"nee")</f>
        <v/>
      </c>
      <c r="H32" s="14">
        <f>$D32+SUMIFS('J1 Journaal'!$K:$K,'J1 Journaal'!$G:$G,$A32,'J1 Journaal'!$B:$B,"&lt;="&amp;DATE(2026,12,31),'J1 Journaal'!$N:$N,"nee")-SUMIFS('J1 Journaal'!$L:$L,'J1 Journaal'!$G:$G,$A32,'J1 Journaal'!$B:$B,"&lt;="&amp;DATE(2026,12,31),'J1 Journaal'!$N:$N,"nee")</f>
        <v/>
      </c>
      <c r="I32" s="14">
        <f>$D32+SUMIFS('J1 Journaal'!$K:$K,'J1 Journaal'!$G:$G,$A32)-SUMIFS('J1 Journaal'!$L:$L,'J1 Journaal'!$G:$G,$A32)</f>
        <v/>
      </c>
    </row>
    <row r="33">
      <c r="A33" s="13" t="n">
        <v>600000</v>
      </c>
      <c r="B33" s="13" t="inlineStr">
        <is>
          <t>Aankopen grondstoffen</t>
        </is>
      </c>
      <c r="C33" s="13" t="inlineStr">
        <is>
          <t>K</t>
        </is>
      </c>
      <c r="D33" s="14" t="n">
        <v>0</v>
      </c>
      <c r="E33" s="14">
        <f>$D33+SUMIFS('J1 Journaal'!$K:$K,'J1 Journaal'!$G:$G,$A33,'J1 Journaal'!$B:$B,"&lt;="&amp;DATE(2026,3,31),'J1 Journaal'!$N:$N,"nee")-SUMIFS('J1 Journaal'!$L:$L,'J1 Journaal'!$G:$G,$A33,'J1 Journaal'!$B:$B,"&lt;="&amp;DATE(2026,3,31),'J1 Journaal'!$N:$N,"nee")</f>
        <v/>
      </c>
      <c r="F33" s="14">
        <f>$D33+SUMIFS('J1 Journaal'!$K:$K,'J1 Journaal'!$G:$G,$A33,'J1 Journaal'!$B:$B,"&lt;="&amp;DATE(2026,6,30),'J1 Journaal'!$N:$N,"nee")-SUMIFS('J1 Journaal'!$L:$L,'J1 Journaal'!$G:$G,$A33,'J1 Journaal'!$B:$B,"&lt;="&amp;DATE(2026,6,30),'J1 Journaal'!$N:$N,"nee")</f>
        <v/>
      </c>
      <c r="G33" s="14">
        <f>$D33+SUMIFS('J1 Journaal'!$K:$K,'J1 Journaal'!$G:$G,$A33,'J1 Journaal'!$B:$B,"&lt;="&amp;DATE(2026,9,30),'J1 Journaal'!$N:$N,"nee")-SUMIFS('J1 Journaal'!$L:$L,'J1 Journaal'!$G:$G,$A33,'J1 Journaal'!$B:$B,"&lt;="&amp;DATE(2026,9,30),'J1 Journaal'!$N:$N,"nee")</f>
        <v/>
      </c>
      <c r="H33" s="14">
        <f>$D33+SUMIFS('J1 Journaal'!$K:$K,'J1 Journaal'!$G:$G,$A33,'J1 Journaal'!$B:$B,"&lt;="&amp;DATE(2026,12,31),'J1 Journaal'!$N:$N,"nee")-SUMIFS('J1 Journaal'!$L:$L,'J1 Journaal'!$G:$G,$A33,'J1 Journaal'!$B:$B,"&lt;="&amp;DATE(2026,12,31),'J1 Journaal'!$N:$N,"nee")</f>
        <v/>
      </c>
      <c r="I33" s="14">
        <f>$D33+SUMIFS('J1 Journaal'!$K:$K,'J1 Journaal'!$G:$G,$A33)-SUMIFS('J1 Journaal'!$L:$L,'J1 Journaal'!$G:$G,$A33)</f>
        <v/>
      </c>
    </row>
    <row r="34">
      <c r="A34" s="13" t="n">
        <v>604000</v>
      </c>
      <c r="B34" s="13" t="inlineStr">
        <is>
          <t>Aankopen handelsgoederen</t>
        </is>
      </c>
      <c r="C34" s="13" t="inlineStr">
        <is>
          <t>K</t>
        </is>
      </c>
      <c r="D34" s="14" t="n">
        <v>0</v>
      </c>
      <c r="E34" s="14">
        <f>$D34+SUMIFS('J1 Journaal'!$K:$K,'J1 Journaal'!$G:$G,$A34,'J1 Journaal'!$B:$B,"&lt;="&amp;DATE(2026,3,31),'J1 Journaal'!$N:$N,"nee")-SUMIFS('J1 Journaal'!$L:$L,'J1 Journaal'!$G:$G,$A34,'J1 Journaal'!$B:$B,"&lt;="&amp;DATE(2026,3,31),'J1 Journaal'!$N:$N,"nee")</f>
        <v/>
      </c>
      <c r="F34" s="14">
        <f>$D34+SUMIFS('J1 Journaal'!$K:$K,'J1 Journaal'!$G:$G,$A34,'J1 Journaal'!$B:$B,"&lt;="&amp;DATE(2026,6,30),'J1 Journaal'!$N:$N,"nee")-SUMIFS('J1 Journaal'!$L:$L,'J1 Journaal'!$G:$G,$A34,'J1 Journaal'!$B:$B,"&lt;="&amp;DATE(2026,6,30),'J1 Journaal'!$N:$N,"nee")</f>
        <v/>
      </c>
      <c r="G34" s="14">
        <f>$D34+SUMIFS('J1 Journaal'!$K:$K,'J1 Journaal'!$G:$G,$A34,'J1 Journaal'!$B:$B,"&lt;="&amp;DATE(2026,9,30),'J1 Journaal'!$N:$N,"nee")-SUMIFS('J1 Journaal'!$L:$L,'J1 Journaal'!$G:$G,$A34,'J1 Journaal'!$B:$B,"&lt;="&amp;DATE(2026,9,30),'J1 Journaal'!$N:$N,"nee")</f>
        <v/>
      </c>
      <c r="H34" s="14">
        <f>$D34+SUMIFS('J1 Journaal'!$K:$K,'J1 Journaal'!$G:$G,$A34,'J1 Journaal'!$B:$B,"&lt;="&amp;DATE(2026,12,31),'J1 Journaal'!$N:$N,"nee")-SUMIFS('J1 Journaal'!$L:$L,'J1 Journaal'!$G:$G,$A34,'J1 Journaal'!$B:$B,"&lt;="&amp;DATE(2026,12,31),'J1 Journaal'!$N:$N,"nee")</f>
        <v/>
      </c>
      <c r="I34" s="14">
        <f>$D34+SUMIFS('J1 Journaal'!$K:$K,'J1 Journaal'!$G:$G,$A34)-SUMIFS('J1 Journaal'!$L:$L,'J1 Journaal'!$G:$G,$A34)</f>
        <v/>
      </c>
    </row>
    <row r="35">
      <c r="A35" s="13" t="n">
        <v>604010</v>
      </c>
      <c r="B35" s="13" t="inlineStr">
        <is>
          <t>Retours op aankopen (-)</t>
        </is>
      </c>
      <c r="C35" s="13" t="inlineStr">
        <is>
          <t>K</t>
        </is>
      </c>
      <c r="D35" s="14" t="n">
        <v>0</v>
      </c>
      <c r="E35" s="14">
        <f>$D35+SUMIFS('J1 Journaal'!$K:$K,'J1 Journaal'!$G:$G,$A35,'J1 Journaal'!$B:$B,"&lt;="&amp;DATE(2026,3,31),'J1 Journaal'!$N:$N,"nee")-SUMIFS('J1 Journaal'!$L:$L,'J1 Journaal'!$G:$G,$A35,'J1 Journaal'!$B:$B,"&lt;="&amp;DATE(2026,3,31),'J1 Journaal'!$N:$N,"nee")</f>
        <v/>
      </c>
      <c r="F35" s="14">
        <f>$D35+SUMIFS('J1 Journaal'!$K:$K,'J1 Journaal'!$G:$G,$A35,'J1 Journaal'!$B:$B,"&lt;="&amp;DATE(2026,6,30),'J1 Journaal'!$N:$N,"nee")-SUMIFS('J1 Journaal'!$L:$L,'J1 Journaal'!$G:$G,$A35,'J1 Journaal'!$B:$B,"&lt;="&amp;DATE(2026,6,30),'J1 Journaal'!$N:$N,"nee")</f>
        <v/>
      </c>
      <c r="G35" s="14">
        <f>$D35+SUMIFS('J1 Journaal'!$K:$K,'J1 Journaal'!$G:$G,$A35,'J1 Journaal'!$B:$B,"&lt;="&amp;DATE(2026,9,30),'J1 Journaal'!$N:$N,"nee")-SUMIFS('J1 Journaal'!$L:$L,'J1 Journaal'!$G:$G,$A35,'J1 Journaal'!$B:$B,"&lt;="&amp;DATE(2026,9,30),'J1 Journaal'!$N:$N,"nee")</f>
        <v/>
      </c>
      <c r="H35" s="14">
        <f>$D35+SUMIFS('J1 Journaal'!$K:$K,'J1 Journaal'!$G:$G,$A35,'J1 Journaal'!$B:$B,"&lt;="&amp;DATE(2026,12,31),'J1 Journaal'!$N:$N,"nee")-SUMIFS('J1 Journaal'!$L:$L,'J1 Journaal'!$G:$G,$A35,'J1 Journaal'!$B:$B,"&lt;="&amp;DATE(2026,12,31),'J1 Journaal'!$N:$N,"nee")</f>
        <v/>
      </c>
      <c r="I35" s="14">
        <f>$D35+SUMIFS('J1 Journaal'!$K:$K,'J1 Journaal'!$G:$G,$A35)-SUMIFS('J1 Journaal'!$L:$L,'J1 Journaal'!$G:$G,$A35)</f>
        <v/>
      </c>
    </row>
    <row r="36">
      <c r="A36" s="13" t="n">
        <v>604020</v>
      </c>
      <c r="B36" s="13" t="inlineStr">
        <is>
          <t>Handelskorting op aankopen (-)</t>
        </is>
      </c>
      <c r="C36" s="13" t="inlineStr">
        <is>
          <t>K</t>
        </is>
      </c>
      <c r="D36" s="14" t="n">
        <v>0</v>
      </c>
      <c r="E36" s="14">
        <f>$D36+SUMIFS('J1 Journaal'!$K:$K,'J1 Journaal'!$G:$G,$A36,'J1 Journaal'!$B:$B,"&lt;="&amp;DATE(2026,3,31),'J1 Journaal'!$N:$N,"nee")-SUMIFS('J1 Journaal'!$L:$L,'J1 Journaal'!$G:$G,$A36,'J1 Journaal'!$B:$B,"&lt;="&amp;DATE(2026,3,31),'J1 Journaal'!$N:$N,"nee")</f>
        <v/>
      </c>
      <c r="F36" s="14">
        <f>$D36+SUMIFS('J1 Journaal'!$K:$K,'J1 Journaal'!$G:$G,$A36,'J1 Journaal'!$B:$B,"&lt;="&amp;DATE(2026,6,30),'J1 Journaal'!$N:$N,"nee")-SUMIFS('J1 Journaal'!$L:$L,'J1 Journaal'!$G:$G,$A36,'J1 Journaal'!$B:$B,"&lt;="&amp;DATE(2026,6,30),'J1 Journaal'!$N:$N,"nee")</f>
        <v/>
      </c>
      <c r="G36" s="14">
        <f>$D36+SUMIFS('J1 Journaal'!$K:$K,'J1 Journaal'!$G:$G,$A36,'J1 Journaal'!$B:$B,"&lt;="&amp;DATE(2026,9,30),'J1 Journaal'!$N:$N,"nee")-SUMIFS('J1 Journaal'!$L:$L,'J1 Journaal'!$G:$G,$A36,'J1 Journaal'!$B:$B,"&lt;="&amp;DATE(2026,9,30),'J1 Journaal'!$N:$N,"nee")</f>
        <v/>
      </c>
      <c r="H36" s="14">
        <f>$D36+SUMIFS('J1 Journaal'!$K:$K,'J1 Journaal'!$G:$G,$A36,'J1 Journaal'!$B:$B,"&lt;="&amp;DATE(2026,12,31),'J1 Journaal'!$N:$N,"nee")-SUMIFS('J1 Journaal'!$L:$L,'J1 Journaal'!$G:$G,$A36,'J1 Journaal'!$B:$B,"&lt;="&amp;DATE(2026,12,31),'J1 Journaal'!$N:$N,"nee")</f>
        <v/>
      </c>
      <c r="I36" s="14">
        <f>$D36+SUMIFS('J1 Journaal'!$K:$K,'J1 Journaal'!$G:$G,$A36)-SUMIFS('J1 Journaal'!$L:$L,'J1 Journaal'!$G:$G,$A36)</f>
        <v/>
      </c>
    </row>
    <row r="37">
      <c r="A37" s="13" t="n">
        <v>604030</v>
      </c>
      <c r="B37" s="13" t="inlineStr">
        <is>
          <t>Aankoopkosten</t>
        </is>
      </c>
      <c r="C37" s="13" t="inlineStr">
        <is>
          <t>K</t>
        </is>
      </c>
      <c r="D37" s="14" t="n">
        <v>0</v>
      </c>
      <c r="E37" s="14">
        <f>$D37+SUMIFS('J1 Journaal'!$K:$K,'J1 Journaal'!$G:$G,$A37,'J1 Journaal'!$B:$B,"&lt;="&amp;DATE(2026,3,31),'J1 Journaal'!$N:$N,"nee")-SUMIFS('J1 Journaal'!$L:$L,'J1 Journaal'!$G:$G,$A37,'J1 Journaal'!$B:$B,"&lt;="&amp;DATE(2026,3,31),'J1 Journaal'!$N:$N,"nee")</f>
        <v/>
      </c>
      <c r="F37" s="14">
        <f>$D37+SUMIFS('J1 Journaal'!$K:$K,'J1 Journaal'!$G:$G,$A37,'J1 Journaal'!$B:$B,"&lt;="&amp;DATE(2026,6,30),'J1 Journaal'!$N:$N,"nee")-SUMIFS('J1 Journaal'!$L:$L,'J1 Journaal'!$G:$G,$A37,'J1 Journaal'!$B:$B,"&lt;="&amp;DATE(2026,6,30),'J1 Journaal'!$N:$N,"nee")</f>
        <v/>
      </c>
      <c r="G37" s="14">
        <f>$D37+SUMIFS('J1 Journaal'!$K:$K,'J1 Journaal'!$G:$G,$A37,'J1 Journaal'!$B:$B,"&lt;="&amp;DATE(2026,9,30),'J1 Journaal'!$N:$N,"nee")-SUMIFS('J1 Journaal'!$L:$L,'J1 Journaal'!$G:$G,$A37,'J1 Journaal'!$B:$B,"&lt;="&amp;DATE(2026,9,30),'J1 Journaal'!$N:$N,"nee")</f>
        <v/>
      </c>
      <c r="H37" s="14">
        <f>$D37+SUMIFS('J1 Journaal'!$K:$K,'J1 Journaal'!$G:$G,$A37,'J1 Journaal'!$B:$B,"&lt;="&amp;DATE(2026,12,31),'J1 Journaal'!$N:$N,"nee")-SUMIFS('J1 Journaal'!$L:$L,'J1 Journaal'!$G:$G,$A37,'J1 Journaal'!$B:$B,"&lt;="&amp;DATE(2026,12,31),'J1 Journaal'!$N:$N,"nee")</f>
        <v/>
      </c>
      <c r="I37" s="14">
        <f>$D37+SUMIFS('J1 Journaal'!$K:$K,'J1 Journaal'!$G:$G,$A37)-SUMIFS('J1 Journaal'!$L:$L,'J1 Journaal'!$G:$G,$A37)</f>
        <v/>
      </c>
    </row>
    <row r="38">
      <c r="A38" s="13" t="n">
        <v>609400</v>
      </c>
      <c r="B38" s="13" t="inlineStr">
        <is>
          <t>Voorraadwijzigingen handelsgoederen</t>
        </is>
      </c>
      <c r="C38" s="13" t="inlineStr">
        <is>
          <t>K</t>
        </is>
      </c>
      <c r="D38" s="14" t="n">
        <v>0</v>
      </c>
      <c r="E38" s="14">
        <f>$D38+SUMIFS('J1 Journaal'!$K:$K,'J1 Journaal'!$G:$G,$A38,'J1 Journaal'!$B:$B,"&lt;="&amp;DATE(2026,3,31),'J1 Journaal'!$N:$N,"nee")-SUMIFS('J1 Journaal'!$L:$L,'J1 Journaal'!$G:$G,$A38,'J1 Journaal'!$B:$B,"&lt;="&amp;DATE(2026,3,31),'J1 Journaal'!$N:$N,"nee")</f>
        <v/>
      </c>
      <c r="F38" s="14">
        <f>$D38+SUMIFS('J1 Journaal'!$K:$K,'J1 Journaal'!$G:$G,$A38,'J1 Journaal'!$B:$B,"&lt;="&amp;DATE(2026,6,30),'J1 Journaal'!$N:$N,"nee")-SUMIFS('J1 Journaal'!$L:$L,'J1 Journaal'!$G:$G,$A38,'J1 Journaal'!$B:$B,"&lt;="&amp;DATE(2026,6,30),'J1 Journaal'!$N:$N,"nee")</f>
        <v/>
      </c>
      <c r="G38" s="14">
        <f>$D38+SUMIFS('J1 Journaal'!$K:$K,'J1 Journaal'!$G:$G,$A38,'J1 Journaal'!$B:$B,"&lt;="&amp;DATE(2026,9,30),'J1 Journaal'!$N:$N,"nee")-SUMIFS('J1 Journaal'!$L:$L,'J1 Journaal'!$G:$G,$A38,'J1 Journaal'!$B:$B,"&lt;="&amp;DATE(2026,9,30),'J1 Journaal'!$N:$N,"nee")</f>
        <v/>
      </c>
      <c r="H38" s="14">
        <f>$D38+SUMIFS('J1 Journaal'!$K:$K,'J1 Journaal'!$G:$G,$A38,'J1 Journaal'!$B:$B,"&lt;="&amp;DATE(2026,12,31),'J1 Journaal'!$N:$N,"nee")-SUMIFS('J1 Journaal'!$L:$L,'J1 Journaal'!$G:$G,$A38,'J1 Journaal'!$B:$B,"&lt;="&amp;DATE(2026,12,31),'J1 Journaal'!$N:$N,"nee")</f>
        <v/>
      </c>
      <c r="I38" s="14">
        <f>$D38+SUMIFS('J1 Journaal'!$K:$K,'J1 Journaal'!$G:$G,$A38)-SUMIFS('J1 Journaal'!$L:$L,'J1 Journaal'!$G:$G,$A38)</f>
        <v/>
      </c>
    </row>
    <row r="39">
      <c r="A39" s="13" t="n">
        <v>611000</v>
      </c>
      <c r="B39" s="13" t="inlineStr">
        <is>
          <t>Huur en huurlasten</t>
        </is>
      </c>
      <c r="C39" s="13" t="inlineStr">
        <is>
          <t>K</t>
        </is>
      </c>
      <c r="D39" s="14" t="n">
        <v>0</v>
      </c>
      <c r="E39" s="14">
        <f>$D39+SUMIFS('J1 Journaal'!$K:$K,'J1 Journaal'!$G:$G,$A39,'J1 Journaal'!$B:$B,"&lt;="&amp;DATE(2026,3,31),'J1 Journaal'!$N:$N,"nee")-SUMIFS('J1 Journaal'!$L:$L,'J1 Journaal'!$G:$G,$A39,'J1 Journaal'!$B:$B,"&lt;="&amp;DATE(2026,3,31),'J1 Journaal'!$N:$N,"nee")</f>
        <v/>
      </c>
      <c r="F39" s="14">
        <f>$D39+SUMIFS('J1 Journaal'!$K:$K,'J1 Journaal'!$G:$G,$A39,'J1 Journaal'!$B:$B,"&lt;="&amp;DATE(2026,6,30),'J1 Journaal'!$N:$N,"nee")-SUMIFS('J1 Journaal'!$L:$L,'J1 Journaal'!$G:$G,$A39,'J1 Journaal'!$B:$B,"&lt;="&amp;DATE(2026,6,30),'J1 Journaal'!$N:$N,"nee")</f>
        <v/>
      </c>
      <c r="G39" s="14">
        <f>$D39+SUMIFS('J1 Journaal'!$K:$K,'J1 Journaal'!$G:$G,$A39,'J1 Journaal'!$B:$B,"&lt;="&amp;DATE(2026,9,30),'J1 Journaal'!$N:$N,"nee")-SUMIFS('J1 Journaal'!$L:$L,'J1 Journaal'!$G:$G,$A39,'J1 Journaal'!$B:$B,"&lt;="&amp;DATE(2026,9,30),'J1 Journaal'!$N:$N,"nee")</f>
        <v/>
      </c>
      <c r="H39" s="14">
        <f>$D39+SUMIFS('J1 Journaal'!$K:$K,'J1 Journaal'!$G:$G,$A39,'J1 Journaal'!$B:$B,"&lt;="&amp;DATE(2026,12,31),'J1 Journaal'!$N:$N,"nee")-SUMIFS('J1 Journaal'!$L:$L,'J1 Journaal'!$G:$G,$A39,'J1 Journaal'!$B:$B,"&lt;="&amp;DATE(2026,12,31),'J1 Journaal'!$N:$N,"nee")</f>
        <v/>
      </c>
      <c r="I39" s="14">
        <f>$D39+SUMIFS('J1 Journaal'!$K:$K,'J1 Journaal'!$G:$G,$A39)-SUMIFS('J1 Journaal'!$L:$L,'J1 Journaal'!$G:$G,$A39)</f>
        <v/>
      </c>
    </row>
    <row r="40">
      <c r="A40" s="13" t="n">
        <v>611800</v>
      </c>
      <c r="B40" s="13" t="inlineStr">
        <is>
          <t>Onderhoud en herstellingen rollend materieel</t>
        </is>
      </c>
      <c r="C40" s="13" t="inlineStr">
        <is>
          <t>K</t>
        </is>
      </c>
      <c r="D40" s="14" t="n">
        <v>0</v>
      </c>
      <c r="E40" s="14">
        <f>$D40+SUMIFS('J1 Journaal'!$K:$K,'J1 Journaal'!$G:$G,$A40,'J1 Journaal'!$B:$B,"&lt;="&amp;DATE(2026,3,31),'J1 Journaal'!$N:$N,"nee")-SUMIFS('J1 Journaal'!$L:$L,'J1 Journaal'!$G:$G,$A40,'J1 Journaal'!$B:$B,"&lt;="&amp;DATE(2026,3,31),'J1 Journaal'!$N:$N,"nee")</f>
        <v/>
      </c>
      <c r="F40" s="14">
        <f>$D40+SUMIFS('J1 Journaal'!$K:$K,'J1 Journaal'!$G:$G,$A40,'J1 Journaal'!$B:$B,"&lt;="&amp;DATE(2026,6,30),'J1 Journaal'!$N:$N,"nee")-SUMIFS('J1 Journaal'!$L:$L,'J1 Journaal'!$G:$G,$A40,'J1 Journaal'!$B:$B,"&lt;="&amp;DATE(2026,6,30),'J1 Journaal'!$N:$N,"nee")</f>
        <v/>
      </c>
      <c r="G40" s="14">
        <f>$D40+SUMIFS('J1 Journaal'!$K:$K,'J1 Journaal'!$G:$G,$A40,'J1 Journaal'!$B:$B,"&lt;="&amp;DATE(2026,9,30),'J1 Journaal'!$N:$N,"nee")-SUMIFS('J1 Journaal'!$L:$L,'J1 Journaal'!$G:$G,$A40,'J1 Journaal'!$B:$B,"&lt;="&amp;DATE(2026,9,30),'J1 Journaal'!$N:$N,"nee")</f>
        <v/>
      </c>
      <c r="H40" s="14">
        <f>$D40+SUMIFS('J1 Journaal'!$K:$K,'J1 Journaal'!$G:$G,$A40,'J1 Journaal'!$B:$B,"&lt;="&amp;DATE(2026,12,31),'J1 Journaal'!$N:$N,"nee")-SUMIFS('J1 Journaal'!$L:$L,'J1 Journaal'!$G:$G,$A40,'J1 Journaal'!$B:$B,"&lt;="&amp;DATE(2026,12,31),'J1 Journaal'!$N:$N,"nee")</f>
        <v/>
      </c>
      <c r="I40" s="14">
        <f>$D40+SUMIFS('J1 Journaal'!$K:$K,'J1 Journaal'!$G:$G,$A40)-SUMIFS('J1 Journaal'!$L:$L,'J1 Journaal'!$G:$G,$A40)</f>
        <v/>
      </c>
    </row>
    <row r="41">
      <c r="A41" s="13" t="n">
        <v>612000</v>
      </c>
      <c r="B41" s="13" t="inlineStr">
        <is>
          <t>Kantoorbenodigdheden en drukwerk</t>
        </is>
      </c>
      <c r="C41" s="13" t="inlineStr">
        <is>
          <t>K</t>
        </is>
      </c>
      <c r="D41" s="14" t="n">
        <v>0</v>
      </c>
      <c r="E41" s="14">
        <f>$D41+SUMIFS('J1 Journaal'!$K:$K,'J1 Journaal'!$G:$G,$A41,'J1 Journaal'!$B:$B,"&lt;="&amp;DATE(2026,3,31),'J1 Journaal'!$N:$N,"nee")-SUMIFS('J1 Journaal'!$L:$L,'J1 Journaal'!$G:$G,$A41,'J1 Journaal'!$B:$B,"&lt;="&amp;DATE(2026,3,31),'J1 Journaal'!$N:$N,"nee")</f>
        <v/>
      </c>
      <c r="F41" s="14">
        <f>$D41+SUMIFS('J1 Journaal'!$K:$K,'J1 Journaal'!$G:$G,$A41,'J1 Journaal'!$B:$B,"&lt;="&amp;DATE(2026,6,30),'J1 Journaal'!$N:$N,"nee")-SUMIFS('J1 Journaal'!$L:$L,'J1 Journaal'!$G:$G,$A41,'J1 Journaal'!$B:$B,"&lt;="&amp;DATE(2026,6,30),'J1 Journaal'!$N:$N,"nee")</f>
        <v/>
      </c>
      <c r="G41" s="14">
        <f>$D41+SUMIFS('J1 Journaal'!$K:$K,'J1 Journaal'!$G:$G,$A41,'J1 Journaal'!$B:$B,"&lt;="&amp;DATE(2026,9,30),'J1 Journaal'!$N:$N,"nee")-SUMIFS('J1 Journaal'!$L:$L,'J1 Journaal'!$G:$G,$A41,'J1 Journaal'!$B:$B,"&lt;="&amp;DATE(2026,9,30),'J1 Journaal'!$N:$N,"nee")</f>
        <v/>
      </c>
      <c r="H41" s="14">
        <f>$D41+SUMIFS('J1 Journaal'!$K:$K,'J1 Journaal'!$G:$G,$A41,'J1 Journaal'!$B:$B,"&lt;="&amp;DATE(2026,12,31),'J1 Journaal'!$N:$N,"nee")-SUMIFS('J1 Journaal'!$L:$L,'J1 Journaal'!$G:$G,$A41,'J1 Journaal'!$B:$B,"&lt;="&amp;DATE(2026,12,31),'J1 Journaal'!$N:$N,"nee")</f>
        <v/>
      </c>
      <c r="I41" s="14">
        <f>$D41+SUMIFS('J1 Journaal'!$K:$K,'J1 Journaal'!$G:$G,$A41)-SUMIFS('J1 Journaal'!$L:$L,'J1 Journaal'!$G:$G,$A41)</f>
        <v/>
      </c>
    </row>
    <row r="42">
      <c r="A42" s="13" t="n">
        <v>612700</v>
      </c>
      <c r="B42" s="13" t="inlineStr">
        <is>
          <t>Verbruik elektriciteit</t>
        </is>
      </c>
      <c r="C42" s="13" t="inlineStr">
        <is>
          <t>K</t>
        </is>
      </c>
      <c r="D42" s="14" t="n">
        <v>0</v>
      </c>
      <c r="E42" s="14">
        <f>$D42+SUMIFS('J1 Journaal'!$K:$K,'J1 Journaal'!$G:$G,$A42,'J1 Journaal'!$B:$B,"&lt;="&amp;DATE(2026,3,31),'J1 Journaal'!$N:$N,"nee")-SUMIFS('J1 Journaal'!$L:$L,'J1 Journaal'!$G:$G,$A42,'J1 Journaal'!$B:$B,"&lt;="&amp;DATE(2026,3,31),'J1 Journaal'!$N:$N,"nee")</f>
        <v/>
      </c>
      <c r="F42" s="14">
        <f>$D42+SUMIFS('J1 Journaal'!$K:$K,'J1 Journaal'!$G:$G,$A42,'J1 Journaal'!$B:$B,"&lt;="&amp;DATE(2026,6,30),'J1 Journaal'!$N:$N,"nee")-SUMIFS('J1 Journaal'!$L:$L,'J1 Journaal'!$G:$G,$A42,'J1 Journaal'!$B:$B,"&lt;="&amp;DATE(2026,6,30),'J1 Journaal'!$N:$N,"nee")</f>
        <v/>
      </c>
      <c r="G42" s="14">
        <f>$D42+SUMIFS('J1 Journaal'!$K:$K,'J1 Journaal'!$G:$G,$A42,'J1 Journaal'!$B:$B,"&lt;="&amp;DATE(2026,9,30),'J1 Journaal'!$N:$N,"nee")-SUMIFS('J1 Journaal'!$L:$L,'J1 Journaal'!$G:$G,$A42,'J1 Journaal'!$B:$B,"&lt;="&amp;DATE(2026,9,30),'J1 Journaal'!$N:$N,"nee")</f>
        <v/>
      </c>
      <c r="H42" s="14">
        <f>$D42+SUMIFS('J1 Journaal'!$K:$K,'J1 Journaal'!$G:$G,$A42,'J1 Journaal'!$B:$B,"&lt;="&amp;DATE(2026,12,31),'J1 Journaal'!$N:$N,"nee")-SUMIFS('J1 Journaal'!$L:$L,'J1 Journaal'!$G:$G,$A42,'J1 Journaal'!$B:$B,"&lt;="&amp;DATE(2026,12,31),'J1 Journaal'!$N:$N,"nee")</f>
        <v/>
      </c>
      <c r="I42" s="14">
        <f>$D42+SUMIFS('J1 Journaal'!$K:$K,'J1 Journaal'!$G:$G,$A42)-SUMIFS('J1 Journaal'!$L:$L,'J1 Journaal'!$G:$G,$A42)</f>
        <v/>
      </c>
    </row>
    <row r="43">
      <c r="A43" s="13" t="n">
        <v>613200</v>
      </c>
      <c r="B43" s="13" t="inlineStr">
        <is>
          <t>Erelonen boekhouders</t>
        </is>
      </c>
      <c r="C43" s="13" t="inlineStr">
        <is>
          <t>K</t>
        </is>
      </c>
      <c r="D43" s="14" t="n">
        <v>0</v>
      </c>
      <c r="E43" s="14">
        <f>$D43+SUMIFS('J1 Journaal'!$K:$K,'J1 Journaal'!$G:$G,$A43,'J1 Journaal'!$B:$B,"&lt;="&amp;DATE(2026,3,31),'J1 Journaal'!$N:$N,"nee")-SUMIFS('J1 Journaal'!$L:$L,'J1 Journaal'!$G:$G,$A43,'J1 Journaal'!$B:$B,"&lt;="&amp;DATE(2026,3,31),'J1 Journaal'!$N:$N,"nee")</f>
        <v/>
      </c>
      <c r="F43" s="14">
        <f>$D43+SUMIFS('J1 Journaal'!$K:$K,'J1 Journaal'!$G:$G,$A43,'J1 Journaal'!$B:$B,"&lt;="&amp;DATE(2026,6,30),'J1 Journaal'!$N:$N,"nee")-SUMIFS('J1 Journaal'!$L:$L,'J1 Journaal'!$G:$G,$A43,'J1 Journaal'!$B:$B,"&lt;="&amp;DATE(2026,6,30),'J1 Journaal'!$N:$N,"nee")</f>
        <v/>
      </c>
      <c r="G43" s="14">
        <f>$D43+SUMIFS('J1 Journaal'!$K:$K,'J1 Journaal'!$G:$G,$A43,'J1 Journaal'!$B:$B,"&lt;="&amp;DATE(2026,9,30),'J1 Journaal'!$N:$N,"nee")-SUMIFS('J1 Journaal'!$L:$L,'J1 Journaal'!$G:$G,$A43,'J1 Journaal'!$B:$B,"&lt;="&amp;DATE(2026,9,30),'J1 Journaal'!$N:$N,"nee")</f>
        <v/>
      </c>
      <c r="H43" s="14">
        <f>$D43+SUMIFS('J1 Journaal'!$K:$K,'J1 Journaal'!$G:$G,$A43,'J1 Journaal'!$B:$B,"&lt;="&amp;DATE(2026,12,31),'J1 Journaal'!$N:$N,"nee")-SUMIFS('J1 Journaal'!$L:$L,'J1 Journaal'!$G:$G,$A43,'J1 Journaal'!$B:$B,"&lt;="&amp;DATE(2026,12,31),'J1 Journaal'!$N:$N,"nee")</f>
        <v/>
      </c>
      <c r="I43" s="14">
        <f>$D43+SUMIFS('J1 Journaal'!$K:$K,'J1 Journaal'!$G:$G,$A43)-SUMIFS('J1 Journaal'!$L:$L,'J1 Journaal'!$G:$G,$A43)</f>
        <v/>
      </c>
    </row>
    <row r="44">
      <c r="A44" s="13" t="n">
        <v>616200</v>
      </c>
      <c r="B44" s="13" t="inlineStr">
        <is>
          <t>Telefoon, gsm</t>
        </is>
      </c>
      <c r="C44" s="13" t="inlineStr">
        <is>
          <t>K</t>
        </is>
      </c>
      <c r="D44" s="14" t="n">
        <v>0</v>
      </c>
      <c r="E44" s="14">
        <f>$D44+SUMIFS('J1 Journaal'!$K:$K,'J1 Journaal'!$G:$G,$A44,'J1 Journaal'!$B:$B,"&lt;="&amp;DATE(2026,3,31),'J1 Journaal'!$N:$N,"nee")-SUMIFS('J1 Journaal'!$L:$L,'J1 Journaal'!$G:$G,$A44,'J1 Journaal'!$B:$B,"&lt;="&amp;DATE(2026,3,31),'J1 Journaal'!$N:$N,"nee")</f>
        <v/>
      </c>
      <c r="F44" s="14">
        <f>$D44+SUMIFS('J1 Journaal'!$K:$K,'J1 Journaal'!$G:$G,$A44,'J1 Journaal'!$B:$B,"&lt;="&amp;DATE(2026,6,30),'J1 Journaal'!$N:$N,"nee")-SUMIFS('J1 Journaal'!$L:$L,'J1 Journaal'!$G:$G,$A44,'J1 Journaal'!$B:$B,"&lt;="&amp;DATE(2026,6,30),'J1 Journaal'!$N:$N,"nee")</f>
        <v/>
      </c>
      <c r="G44" s="14">
        <f>$D44+SUMIFS('J1 Journaal'!$K:$K,'J1 Journaal'!$G:$G,$A44,'J1 Journaal'!$B:$B,"&lt;="&amp;DATE(2026,9,30),'J1 Journaal'!$N:$N,"nee")-SUMIFS('J1 Journaal'!$L:$L,'J1 Journaal'!$G:$G,$A44,'J1 Journaal'!$B:$B,"&lt;="&amp;DATE(2026,9,30),'J1 Journaal'!$N:$N,"nee")</f>
        <v/>
      </c>
      <c r="H44" s="14">
        <f>$D44+SUMIFS('J1 Journaal'!$K:$K,'J1 Journaal'!$G:$G,$A44,'J1 Journaal'!$B:$B,"&lt;="&amp;DATE(2026,12,31),'J1 Journaal'!$N:$N,"nee")-SUMIFS('J1 Journaal'!$L:$L,'J1 Journaal'!$G:$G,$A44,'J1 Journaal'!$B:$B,"&lt;="&amp;DATE(2026,12,31),'J1 Journaal'!$N:$N,"nee")</f>
        <v/>
      </c>
      <c r="I44" s="14">
        <f>$D44+SUMIFS('J1 Journaal'!$K:$K,'J1 Journaal'!$G:$G,$A44)-SUMIFS('J1 Journaal'!$L:$L,'J1 Journaal'!$G:$G,$A44)</f>
        <v/>
      </c>
    </row>
    <row r="45">
      <c r="A45" s="13" t="n">
        <v>616300</v>
      </c>
      <c r="B45" s="13" t="inlineStr">
        <is>
          <t>Internetkosten</t>
        </is>
      </c>
      <c r="C45" s="13" t="inlineStr">
        <is>
          <t>K</t>
        </is>
      </c>
      <c r="D45" s="14" t="n">
        <v>0</v>
      </c>
      <c r="E45" s="14">
        <f>$D45+SUMIFS('J1 Journaal'!$K:$K,'J1 Journaal'!$G:$G,$A45,'J1 Journaal'!$B:$B,"&lt;="&amp;DATE(2026,3,31),'J1 Journaal'!$N:$N,"nee")-SUMIFS('J1 Journaal'!$L:$L,'J1 Journaal'!$G:$G,$A45,'J1 Journaal'!$B:$B,"&lt;="&amp;DATE(2026,3,31),'J1 Journaal'!$N:$N,"nee")</f>
        <v/>
      </c>
      <c r="F45" s="14">
        <f>$D45+SUMIFS('J1 Journaal'!$K:$K,'J1 Journaal'!$G:$G,$A45,'J1 Journaal'!$B:$B,"&lt;="&amp;DATE(2026,6,30),'J1 Journaal'!$N:$N,"nee")-SUMIFS('J1 Journaal'!$L:$L,'J1 Journaal'!$G:$G,$A45,'J1 Journaal'!$B:$B,"&lt;="&amp;DATE(2026,6,30),'J1 Journaal'!$N:$N,"nee")</f>
        <v/>
      </c>
      <c r="G45" s="14">
        <f>$D45+SUMIFS('J1 Journaal'!$K:$K,'J1 Journaal'!$G:$G,$A45,'J1 Journaal'!$B:$B,"&lt;="&amp;DATE(2026,9,30),'J1 Journaal'!$N:$N,"nee")-SUMIFS('J1 Journaal'!$L:$L,'J1 Journaal'!$G:$G,$A45,'J1 Journaal'!$B:$B,"&lt;="&amp;DATE(2026,9,30),'J1 Journaal'!$N:$N,"nee")</f>
        <v/>
      </c>
      <c r="H45" s="14">
        <f>$D45+SUMIFS('J1 Journaal'!$K:$K,'J1 Journaal'!$G:$G,$A45,'J1 Journaal'!$B:$B,"&lt;="&amp;DATE(2026,12,31),'J1 Journaal'!$N:$N,"nee")-SUMIFS('J1 Journaal'!$L:$L,'J1 Journaal'!$G:$G,$A45,'J1 Journaal'!$B:$B,"&lt;="&amp;DATE(2026,12,31),'J1 Journaal'!$N:$N,"nee")</f>
        <v/>
      </c>
      <c r="I45" s="14">
        <f>$D45+SUMIFS('J1 Journaal'!$K:$K,'J1 Journaal'!$G:$G,$A45)-SUMIFS('J1 Journaal'!$L:$L,'J1 Journaal'!$G:$G,$A45)</f>
        <v/>
      </c>
    </row>
    <row r="46">
      <c r="A46" s="13" t="n">
        <v>616520</v>
      </c>
      <c r="B46" s="13" t="inlineStr">
        <is>
          <t>Publiciteitskosten</t>
        </is>
      </c>
      <c r="C46" s="13" t="inlineStr">
        <is>
          <t>K</t>
        </is>
      </c>
      <c r="D46" s="14" t="n">
        <v>0</v>
      </c>
      <c r="E46" s="14">
        <f>$D46+SUMIFS('J1 Journaal'!$K:$K,'J1 Journaal'!$G:$G,$A46,'J1 Journaal'!$B:$B,"&lt;="&amp;DATE(2026,3,31),'J1 Journaal'!$N:$N,"nee")-SUMIFS('J1 Journaal'!$L:$L,'J1 Journaal'!$G:$G,$A46,'J1 Journaal'!$B:$B,"&lt;="&amp;DATE(2026,3,31),'J1 Journaal'!$N:$N,"nee")</f>
        <v/>
      </c>
      <c r="F46" s="14">
        <f>$D46+SUMIFS('J1 Journaal'!$K:$K,'J1 Journaal'!$G:$G,$A46,'J1 Journaal'!$B:$B,"&lt;="&amp;DATE(2026,6,30),'J1 Journaal'!$N:$N,"nee")-SUMIFS('J1 Journaal'!$L:$L,'J1 Journaal'!$G:$G,$A46,'J1 Journaal'!$B:$B,"&lt;="&amp;DATE(2026,6,30),'J1 Journaal'!$N:$N,"nee")</f>
        <v/>
      </c>
      <c r="G46" s="14">
        <f>$D46+SUMIFS('J1 Journaal'!$K:$K,'J1 Journaal'!$G:$G,$A46,'J1 Journaal'!$B:$B,"&lt;="&amp;DATE(2026,9,30),'J1 Journaal'!$N:$N,"nee")-SUMIFS('J1 Journaal'!$L:$L,'J1 Journaal'!$G:$G,$A46,'J1 Journaal'!$B:$B,"&lt;="&amp;DATE(2026,9,30),'J1 Journaal'!$N:$N,"nee")</f>
        <v/>
      </c>
      <c r="H46" s="14">
        <f>$D46+SUMIFS('J1 Journaal'!$K:$K,'J1 Journaal'!$G:$G,$A46,'J1 Journaal'!$B:$B,"&lt;="&amp;DATE(2026,12,31),'J1 Journaal'!$N:$N,"nee")-SUMIFS('J1 Journaal'!$L:$L,'J1 Journaal'!$G:$G,$A46,'J1 Journaal'!$B:$B,"&lt;="&amp;DATE(2026,12,31),'J1 Journaal'!$N:$N,"nee")</f>
        <v/>
      </c>
      <c r="I46" s="14">
        <f>$D46+SUMIFS('J1 Journaal'!$K:$K,'J1 Journaal'!$G:$G,$A46)-SUMIFS('J1 Journaal'!$L:$L,'J1 Journaal'!$G:$G,$A46)</f>
        <v/>
      </c>
    </row>
    <row r="47">
      <c r="A47" s="13" t="n">
        <v>630200</v>
      </c>
      <c r="B47" s="13" t="inlineStr">
        <is>
          <t>Afschrijvingen op materiële vaste activa</t>
        </is>
      </c>
      <c r="C47" s="13" t="inlineStr">
        <is>
          <t>K</t>
        </is>
      </c>
      <c r="D47" s="14" t="n">
        <v>0</v>
      </c>
      <c r="E47" s="14">
        <f>$D47+SUMIFS('J1 Journaal'!$K:$K,'J1 Journaal'!$G:$G,$A47,'J1 Journaal'!$B:$B,"&lt;="&amp;DATE(2026,3,31),'J1 Journaal'!$N:$N,"nee")-SUMIFS('J1 Journaal'!$L:$L,'J1 Journaal'!$G:$G,$A47,'J1 Journaal'!$B:$B,"&lt;="&amp;DATE(2026,3,31),'J1 Journaal'!$N:$N,"nee")</f>
        <v/>
      </c>
      <c r="F47" s="14">
        <f>$D47+SUMIFS('J1 Journaal'!$K:$K,'J1 Journaal'!$G:$G,$A47,'J1 Journaal'!$B:$B,"&lt;="&amp;DATE(2026,6,30),'J1 Journaal'!$N:$N,"nee")-SUMIFS('J1 Journaal'!$L:$L,'J1 Journaal'!$G:$G,$A47,'J1 Journaal'!$B:$B,"&lt;="&amp;DATE(2026,6,30),'J1 Journaal'!$N:$N,"nee")</f>
        <v/>
      </c>
      <c r="G47" s="14">
        <f>$D47+SUMIFS('J1 Journaal'!$K:$K,'J1 Journaal'!$G:$G,$A47,'J1 Journaal'!$B:$B,"&lt;="&amp;DATE(2026,9,30),'J1 Journaal'!$N:$N,"nee")-SUMIFS('J1 Journaal'!$L:$L,'J1 Journaal'!$G:$G,$A47,'J1 Journaal'!$B:$B,"&lt;="&amp;DATE(2026,9,30),'J1 Journaal'!$N:$N,"nee")</f>
        <v/>
      </c>
      <c r="H47" s="14">
        <f>$D47+SUMIFS('J1 Journaal'!$K:$K,'J1 Journaal'!$G:$G,$A47,'J1 Journaal'!$B:$B,"&lt;="&amp;DATE(2026,12,31),'J1 Journaal'!$N:$N,"nee")-SUMIFS('J1 Journaal'!$L:$L,'J1 Journaal'!$G:$G,$A47,'J1 Journaal'!$B:$B,"&lt;="&amp;DATE(2026,12,31),'J1 Journaal'!$N:$N,"nee")</f>
        <v/>
      </c>
      <c r="I47" s="14">
        <f>$D47+SUMIFS('J1 Journaal'!$K:$K,'J1 Journaal'!$G:$G,$A47)-SUMIFS('J1 Journaal'!$L:$L,'J1 Journaal'!$G:$G,$A47)</f>
        <v/>
      </c>
    </row>
    <row r="48">
      <c r="A48" s="13" t="n">
        <v>630300</v>
      </c>
      <c r="B48" s="13" t="inlineStr">
        <is>
          <t>Afschrijvingen op meubilair en rollend materieel</t>
        </is>
      </c>
      <c r="C48" s="13" t="inlineStr">
        <is>
          <t>K</t>
        </is>
      </c>
      <c r="D48" s="14" t="n">
        <v>0</v>
      </c>
      <c r="E48" s="14">
        <f>$D48+SUMIFS('J1 Journaal'!$K:$K,'J1 Journaal'!$G:$G,$A48,'J1 Journaal'!$B:$B,"&lt;="&amp;DATE(2026,3,31),'J1 Journaal'!$N:$N,"nee")-SUMIFS('J1 Journaal'!$L:$L,'J1 Journaal'!$G:$G,$A48,'J1 Journaal'!$B:$B,"&lt;="&amp;DATE(2026,3,31),'J1 Journaal'!$N:$N,"nee")</f>
        <v/>
      </c>
      <c r="F48" s="14">
        <f>$D48+SUMIFS('J1 Journaal'!$K:$K,'J1 Journaal'!$G:$G,$A48,'J1 Journaal'!$B:$B,"&lt;="&amp;DATE(2026,6,30),'J1 Journaal'!$N:$N,"nee")-SUMIFS('J1 Journaal'!$L:$L,'J1 Journaal'!$G:$G,$A48,'J1 Journaal'!$B:$B,"&lt;="&amp;DATE(2026,6,30),'J1 Journaal'!$N:$N,"nee")</f>
        <v/>
      </c>
      <c r="G48" s="14">
        <f>$D48+SUMIFS('J1 Journaal'!$K:$K,'J1 Journaal'!$G:$G,$A48,'J1 Journaal'!$B:$B,"&lt;="&amp;DATE(2026,9,30),'J1 Journaal'!$N:$N,"nee")-SUMIFS('J1 Journaal'!$L:$L,'J1 Journaal'!$G:$G,$A48,'J1 Journaal'!$B:$B,"&lt;="&amp;DATE(2026,9,30),'J1 Journaal'!$N:$N,"nee")</f>
        <v/>
      </c>
      <c r="H48" s="14">
        <f>$D48+SUMIFS('J1 Journaal'!$K:$K,'J1 Journaal'!$G:$G,$A48,'J1 Journaal'!$B:$B,"&lt;="&amp;DATE(2026,12,31),'J1 Journaal'!$N:$N,"nee")-SUMIFS('J1 Journaal'!$L:$L,'J1 Journaal'!$G:$G,$A48,'J1 Journaal'!$B:$B,"&lt;="&amp;DATE(2026,12,31),'J1 Journaal'!$N:$N,"nee")</f>
        <v/>
      </c>
      <c r="I48" s="14">
        <f>$D48+SUMIFS('J1 Journaal'!$K:$K,'J1 Journaal'!$G:$G,$A48)-SUMIFS('J1 Journaal'!$L:$L,'J1 Journaal'!$G:$G,$A48)</f>
        <v/>
      </c>
    </row>
    <row r="49">
      <c r="A49" s="13" t="n">
        <v>650000</v>
      </c>
      <c r="B49" s="13" t="inlineStr">
        <is>
          <t>Rente, commissies en kosten verbonden aan schulden</t>
        </is>
      </c>
      <c r="C49" s="13" t="inlineStr">
        <is>
          <t>K</t>
        </is>
      </c>
      <c r="D49" s="14" t="n">
        <v>0</v>
      </c>
      <c r="E49" s="14">
        <f>$D49+SUMIFS('J1 Journaal'!$K:$K,'J1 Journaal'!$G:$G,$A49,'J1 Journaal'!$B:$B,"&lt;="&amp;DATE(2026,3,31),'J1 Journaal'!$N:$N,"nee")-SUMIFS('J1 Journaal'!$L:$L,'J1 Journaal'!$G:$G,$A49,'J1 Journaal'!$B:$B,"&lt;="&amp;DATE(2026,3,31),'J1 Journaal'!$N:$N,"nee")</f>
        <v/>
      </c>
      <c r="F49" s="14">
        <f>$D49+SUMIFS('J1 Journaal'!$K:$K,'J1 Journaal'!$G:$G,$A49,'J1 Journaal'!$B:$B,"&lt;="&amp;DATE(2026,6,30),'J1 Journaal'!$N:$N,"nee")-SUMIFS('J1 Journaal'!$L:$L,'J1 Journaal'!$G:$G,$A49,'J1 Journaal'!$B:$B,"&lt;="&amp;DATE(2026,6,30),'J1 Journaal'!$N:$N,"nee")</f>
        <v/>
      </c>
      <c r="G49" s="14">
        <f>$D49+SUMIFS('J1 Journaal'!$K:$K,'J1 Journaal'!$G:$G,$A49,'J1 Journaal'!$B:$B,"&lt;="&amp;DATE(2026,9,30),'J1 Journaal'!$N:$N,"nee")-SUMIFS('J1 Journaal'!$L:$L,'J1 Journaal'!$G:$G,$A49,'J1 Journaal'!$B:$B,"&lt;="&amp;DATE(2026,9,30),'J1 Journaal'!$N:$N,"nee")</f>
        <v/>
      </c>
      <c r="H49" s="14">
        <f>$D49+SUMIFS('J1 Journaal'!$K:$K,'J1 Journaal'!$G:$G,$A49,'J1 Journaal'!$B:$B,"&lt;="&amp;DATE(2026,12,31),'J1 Journaal'!$N:$N,"nee")-SUMIFS('J1 Journaal'!$L:$L,'J1 Journaal'!$G:$G,$A49,'J1 Journaal'!$B:$B,"&lt;="&amp;DATE(2026,12,31),'J1 Journaal'!$N:$N,"nee")</f>
        <v/>
      </c>
      <c r="I49" s="14">
        <f>$D49+SUMIFS('J1 Journaal'!$K:$K,'J1 Journaal'!$G:$G,$A49)-SUMIFS('J1 Journaal'!$L:$L,'J1 Journaal'!$G:$G,$A49)</f>
        <v/>
      </c>
    </row>
    <row r="50">
      <c r="A50" s="13" t="n">
        <v>657000</v>
      </c>
      <c r="B50" s="13" t="inlineStr">
        <is>
          <t>Betalingskortingen aan klanten</t>
        </is>
      </c>
      <c r="C50" s="13" t="inlineStr">
        <is>
          <t>K</t>
        </is>
      </c>
      <c r="D50" s="14" t="n">
        <v>0</v>
      </c>
      <c r="E50" s="14">
        <f>$D50+SUMIFS('J1 Journaal'!$K:$K,'J1 Journaal'!$G:$G,$A50,'J1 Journaal'!$B:$B,"&lt;="&amp;DATE(2026,3,31),'J1 Journaal'!$N:$N,"nee")-SUMIFS('J1 Journaal'!$L:$L,'J1 Journaal'!$G:$G,$A50,'J1 Journaal'!$B:$B,"&lt;="&amp;DATE(2026,3,31),'J1 Journaal'!$N:$N,"nee")</f>
        <v/>
      </c>
      <c r="F50" s="14">
        <f>$D50+SUMIFS('J1 Journaal'!$K:$K,'J1 Journaal'!$G:$G,$A50,'J1 Journaal'!$B:$B,"&lt;="&amp;DATE(2026,6,30),'J1 Journaal'!$N:$N,"nee")-SUMIFS('J1 Journaal'!$L:$L,'J1 Journaal'!$G:$G,$A50,'J1 Journaal'!$B:$B,"&lt;="&amp;DATE(2026,6,30),'J1 Journaal'!$N:$N,"nee")</f>
        <v/>
      </c>
      <c r="G50" s="14">
        <f>$D50+SUMIFS('J1 Journaal'!$K:$K,'J1 Journaal'!$G:$G,$A50,'J1 Journaal'!$B:$B,"&lt;="&amp;DATE(2026,9,30),'J1 Journaal'!$N:$N,"nee")-SUMIFS('J1 Journaal'!$L:$L,'J1 Journaal'!$G:$G,$A50,'J1 Journaal'!$B:$B,"&lt;="&amp;DATE(2026,9,30),'J1 Journaal'!$N:$N,"nee")</f>
        <v/>
      </c>
      <c r="H50" s="14">
        <f>$D50+SUMIFS('J1 Journaal'!$K:$K,'J1 Journaal'!$G:$G,$A50,'J1 Journaal'!$B:$B,"&lt;="&amp;DATE(2026,12,31),'J1 Journaal'!$N:$N,"nee")-SUMIFS('J1 Journaal'!$L:$L,'J1 Journaal'!$G:$G,$A50,'J1 Journaal'!$B:$B,"&lt;="&amp;DATE(2026,12,31),'J1 Journaal'!$N:$N,"nee")</f>
        <v/>
      </c>
      <c r="I50" s="14">
        <f>$D50+SUMIFS('J1 Journaal'!$K:$K,'J1 Journaal'!$G:$G,$A50)-SUMIFS('J1 Journaal'!$L:$L,'J1 Journaal'!$G:$G,$A50)</f>
        <v/>
      </c>
    </row>
    <row r="51">
      <c r="A51" s="13" t="n">
        <v>693000</v>
      </c>
      <c r="B51" s="13" t="inlineStr">
        <is>
          <t>Over te dragen winst</t>
        </is>
      </c>
      <c r="C51" s="13" t="inlineStr">
        <is>
          <t>K</t>
        </is>
      </c>
      <c r="D51" s="14" t="n">
        <v>0</v>
      </c>
      <c r="E51" s="14">
        <f>$D51+SUMIFS('J1 Journaal'!$K:$K,'J1 Journaal'!$G:$G,$A51,'J1 Journaal'!$B:$B,"&lt;="&amp;DATE(2026,3,31),'J1 Journaal'!$N:$N,"nee")-SUMIFS('J1 Journaal'!$L:$L,'J1 Journaal'!$G:$G,$A51,'J1 Journaal'!$B:$B,"&lt;="&amp;DATE(2026,3,31),'J1 Journaal'!$N:$N,"nee")</f>
        <v/>
      </c>
      <c r="F51" s="14">
        <f>$D51+SUMIFS('J1 Journaal'!$K:$K,'J1 Journaal'!$G:$G,$A51,'J1 Journaal'!$B:$B,"&lt;="&amp;DATE(2026,6,30),'J1 Journaal'!$N:$N,"nee")-SUMIFS('J1 Journaal'!$L:$L,'J1 Journaal'!$G:$G,$A51,'J1 Journaal'!$B:$B,"&lt;="&amp;DATE(2026,6,30),'J1 Journaal'!$N:$N,"nee")</f>
        <v/>
      </c>
      <c r="G51" s="14">
        <f>$D51+SUMIFS('J1 Journaal'!$K:$K,'J1 Journaal'!$G:$G,$A51,'J1 Journaal'!$B:$B,"&lt;="&amp;DATE(2026,9,30),'J1 Journaal'!$N:$N,"nee")-SUMIFS('J1 Journaal'!$L:$L,'J1 Journaal'!$G:$G,$A51,'J1 Journaal'!$B:$B,"&lt;="&amp;DATE(2026,9,30),'J1 Journaal'!$N:$N,"nee")</f>
        <v/>
      </c>
      <c r="H51" s="14">
        <f>$D51+SUMIFS('J1 Journaal'!$K:$K,'J1 Journaal'!$G:$G,$A51,'J1 Journaal'!$B:$B,"&lt;="&amp;DATE(2026,12,31),'J1 Journaal'!$N:$N,"nee")-SUMIFS('J1 Journaal'!$L:$L,'J1 Journaal'!$G:$G,$A51,'J1 Journaal'!$B:$B,"&lt;="&amp;DATE(2026,12,31),'J1 Journaal'!$N:$N,"nee")</f>
        <v/>
      </c>
      <c r="I51" s="14">
        <f>$D51+SUMIFS('J1 Journaal'!$K:$K,'J1 Journaal'!$G:$G,$A51)-SUMIFS('J1 Journaal'!$L:$L,'J1 Journaal'!$G:$G,$A51)</f>
        <v/>
      </c>
    </row>
    <row r="52">
      <c r="A52" s="13" t="n">
        <v>700000</v>
      </c>
      <c r="B52" s="13" t="inlineStr">
        <is>
          <t>Verkopen en dienstprestaties</t>
        </is>
      </c>
      <c r="C52" s="13" t="inlineStr">
        <is>
          <t>O</t>
        </is>
      </c>
      <c r="D52" s="14" t="n">
        <v>0</v>
      </c>
      <c r="E52" s="14">
        <f>$D52+SUMIFS('J1 Journaal'!$K:$K,'J1 Journaal'!$G:$G,$A52,'J1 Journaal'!$B:$B,"&lt;="&amp;DATE(2026,3,31),'J1 Journaal'!$N:$N,"nee")-SUMIFS('J1 Journaal'!$L:$L,'J1 Journaal'!$G:$G,$A52,'J1 Journaal'!$B:$B,"&lt;="&amp;DATE(2026,3,31),'J1 Journaal'!$N:$N,"nee")</f>
        <v/>
      </c>
      <c r="F52" s="14">
        <f>$D52+SUMIFS('J1 Journaal'!$K:$K,'J1 Journaal'!$G:$G,$A52,'J1 Journaal'!$B:$B,"&lt;="&amp;DATE(2026,6,30),'J1 Journaal'!$N:$N,"nee")-SUMIFS('J1 Journaal'!$L:$L,'J1 Journaal'!$G:$G,$A52,'J1 Journaal'!$B:$B,"&lt;="&amp;DATE(2026,6,30),'J1 Journaal'!$N:$N,"nee")</f>
        <v/>
      </c>
      <c r="G52" s="14">
        <f>$D52+SUMIFS('J1 Journaal'!$K:$K,'J1 Journaal'!$G:$G,$A52,'J1 Journaal'!$B:$B,"&lt;="&amp;DATE(2026,9,30),'J1 Journaal'!$N:$N,"nee")-SUMIFS('J1 Journaal'!$L:$L,'J1 Journaal'!$G:$G,$A52,'J1 Journaal'!$B:$B,"&lt;="&amp;DATE(2026,9,30),'J1 Journaal'!$N:$N,"nee")</f>
        <v/>
      </c>
      <c r="H52" s="14">
        <f>$D52+SUMIFS('J1 Journaal'!$K:$K,'J1 Journaal'!$G:$G,$A52,'J1 Journaal'!$B:$B,"&lt;="&amp;DATE(2026,12,31),'J1 Journaal'!$N:$N,"nee")-SUMIFS('J1 Journaal'!$L:$L,'J1 Journaal'!$G:$G,$A52,'J1 Journaal'!$B:$B,"&lt;="&amp;DATE(2026,12,31),'J1 Journaal'!$N:$N,"nee")</f>
        <v/>
      </c>
      <c r="I52" s="14">
        <f>$D52+SUMIFS('J1 Journaal'!$K:$K,'J1 Journaal'!$G:$G,$A52)-SUMIFS('J1 Journaal'!$L:$L,'J1 Journaal'!$G:$G,$A52)</f>
        <v/>
      </c>
    </row>
    <row r="53">
      <c r="A53" s="13" t="n">
        <v>704000</v>
      </c>
      <c r="B53" s="13" t="inlineStr">
        <is>
          <t>Verkopen handelsgoederen</t>
        </is>
      </c>
      <c r="C53" s="13" t="inlineStr">
        <is>
          <t>O</t>
        </is>
      </c>
      <c r="D53" s="14" t="n">
        <v>0</v>
      </c>
      <c r="E53" s="14">
        <f>$D53+SUMIFS('J1 Journaal'!$K:$K,'J1 Journaal'!$G:$G,$A53,'J1 Journaal'!$B:$B,"&lt;="&amp;DATE(2026,3,31),'J1 Journaal'!$N:$N,"nee")-SUMIFS('J1 Journaal'!$L:$L,'J1 Journaal'!$G:$G,$A53,'J1 Journaal'!$B:$B,"&lt;="&amp;DATE(2026,3,31),'J1 Journaal'!$N:$N,"nee")</f>
        <v/>
      </c>
      <c r="F53" s="14">
        <f>$D53+SUMIFS('J1 Journaal'!$K:$K,'J1 Journaal'!$G:$G,$A53,'J1 Journaal'!$B:$B,"&lt;="&amp;DATE(2026,6,30),'J1 Journaal'!$N:$N,"nee")-SUMIFS('J1 Journaal'!$L:$L,'J1 Journaal'!$G:$G,$A53,'J1 Journaal'!$B:$B,"&lt;="&amp;DATE(2026,6,30),'J1 Journaal'!$N:$N,"nee")</f>
        <v/>
      </c>
      <c r="G53" s="14">
        <f>$D53+SUMIFS('J1 Journaal'!$K:$K,'J1 Journaal'!$G:$G,$A53,'J1 Journaal'!$B:$B,"&lt;="&amp;DATE(2026,9,30),'J1 Journaal'!$N:$N,"nee")-SUMIFS('J1 Journaal'!$L:$L,'J1 Journaal'!$G:$G,$A53,'J1 Journaal'!$B:$B,"&lt;="&amp;DATE(2026,9,30),'J1 Journaal'!$N:$N,"nee")</f>
        <v/>
      </c>
      <c r="H53" s="14">
        <f>$D53+SUMIFS('J1 Journaal'!$K:$K,'J1 Journaal'!$G:$G,$A53,'J1 Journaal'!$B:$B,"&lt;="&amp;DATE(2026,12,31),'J1 Journaal'!$N:$N,"nee")-SUMIFS('J1 Journaal'!$L:$L,'J1 Journaal'!$G:$G,$A53,'J1 Journaal'!$B:$B,"&lt;="&amp;DATE(2026,12,31),'J1 Journaal'!$N:$N,"nee")</f>
        <v/>
      </c>
      <c r="I53" s="14">
        <f>$D53+SUMIFS('J1 Journaal'!$K:$K,'J1 Journaal'!$G:$G,$A53)-SUMIFS('J1 Journaal'!$L:$L,'J1 Journaal'!$G:$G,$A53)</f>
        <v/>
      </c>
    </row>
    <row r="54">
      <c r="A54" s="13" t="n">
        <v>704010</v>
      </c>
      <c r="B54" s="13" t="inlineStr">
        <is>
          <t>Retours op verkopen (-)</t>
        </is>
      </c>
      <c r="C54" s="13" t="inlineStr">
        <is>
          <t>O</t>
        </is>
      </c>
      <c r="D54" s="14" t="n">
        <v>0</v>
      </c>
      <c r="E54" s="14">
        <f>$D54+SUMIFS('J1 Journaal'!$K:$K,'J1 Journaal'!$G:$G,$A54,'J1 Journaal'!$B:$B,"&lt;="&amp;DATE(2026,3,31),'J1 Journaal'!$N:$N,"nee")-SUMIFS('J1 Journaal'!$L:$L,'J1 Journaal'!$G:$G,$A54,'J1 Journaal'!$B:$B,"&lt;="&amp;DATE(2026,3,31),'J1 Journaal'!$N:$N,"nee")</f>
        <v/>
      </c>
      <c r="F54" s="14">
        <f>$D54+SUMIFS('J1 Journaal'!$K:$K,'J1 Journaal'!$G:$G,$A54,'J1 Journaal'!$B:$B,"&lt;="&amp;DATE(2026,6,30),'J1 Journaal'!$N:$N,"nee")-SUMIFS('J1 Journaal'!$L:$L,'J1 Journaal'!$G:$G,$A54,'J1 Journaal'!$B:$B,"&lt;="&amp;DATE(2026,6,30),'J1 Journaal'!$N:$N,"nee")</f>
        <v/>
      </c>
      <c r="G54" s="14">
        <f>$D54+SUMIFS('J1 Journaal'!$K:$K,'J1 Journaal'!$G:$G,$A54,'J1 Journaal'!$B:$B,"&lt;="&amp;DATE(2026,9,30),'J1 Journaal'!$N:$N,"nee")-SUMIFS('J1 Journaal'!$L:$L,'J1 Journaal'!$G:$G,$A54,'J1 Journaal'!$B:$B,"&lt;="&amp;DATE(2026,9,30),'J1 Journaal'!$N:$N,"nee")</f>
        <v/>
      </c>
      <c r="H54" s="14">
        <f>$D54+SUMIFS('J1 Journaal'!$K:$K,'J1 Journaal'!$G:$G,$A54,'J1 Journaal'!$B:$B,"&lt;="&amp;DATE(2026,12,31),'J1 Journaal'!$N:$N,"nee")-SUMIFS('J1 Journaal'!$L:$L,'J1 Journaal'!$G:$G,$A54,'J1 Journaal'!$B:$B,"&lt;="&amp;DATE(2026,12,31),'J1 Journaal'!$N:$N,"nee")</f>
        <v/>
      </c>
      <c r="I54" s="14">
        <f>$D54+SUMIFS('J1 Journaal'!$K:$K,'J1 Journaal'!$G:$G,$A54)-SUMIFS('J1 Journaal'!$L:$L,'J1 Journaal'!$G:$G,$A54)</f>
        <v/>
      </c>
    </row>
    <row r="55">
      <c r="A55" s="13" t="n">
        <v>704020</v>
      </c>
      <c r="B55" s="13" t="inlineStr">
        <is>
          <t>Handelskorting op verkopen (-)</t>
        </is>
      </c>
      <c r="C55" s="13" t="inlineStr">
        <is>
          <t>O</t>
        </is>
      </c>
      <c r="D55" s="14" t="n">
        <v>0</v>
      </c>
      <c r="E55" s="14">
        <f>$D55+SUMIFS('J1 Journaal'!$K:$K,'J1 Journaal'!$G:$G,$A55,'J1 Journaal'!$B:$B,"&lt;="&amp;DATE(2026,3,31),'J1 Journaal'!$N:$N,"nee")-SUMIFS('J1 Journaal'!$L:$L,'J1 Journaal'!$G:$G,$A55,'J1 Journaal'!$B:$B,"&lt;="&amp;DATE(2026,3,31),'J1 Journaal'!$N:$N,"nee")</f>
        <v/>
      </c>
      <c r="F55" s="14">
        <f>$D55+SUMIFS('J1 Journaal'!$K:$K,'J1 Journaal'!$G:$G,$A55,'J1 Journaal'!$B:$B,"&lt;="&amp;DATE(2026,6,30),'J1 Journaal'!$N:$N,"nee")-SUMIFS('J1 Journaal'!$L:$L,'J1 Journaal'!$G:$G,$A55,'J1 Journaal'!$B:$B,"&lt;="&amp;DATE(2026,6,30),'J1 Journaal'!$N:$N,"nee")</f>
        <v/>
      </c>
      <c r="G55" s="14">
        <f>$D55+SUMIFS('J1 Journaal'!$K:$K,'J1 Journaal'!$G:$G,$A55,'J1 Journaal'!$B:$B,"&lt;="&amp;DATE(2026,9,30),'J1 Journaal'!$N:$N,"nee")-SUMIFS('J1 Journaal'!$L:$L,'J1 Journaal'!$G:$G,$A55,'J1 Journaal'!$B:$B,"&lt;="&amp;DATE(2026,9,30),'J1 Journaal'!$N:$N,"nee")</f>
        <v/>
      </c>
      <c r="H55" s="14">
        <f>$D55+SUMIFS('J1 Journaal'!$K:$K,'J1 Journaal'!$G:$G,$A55,'J1 Journaal'!$B:$B,"&lt;="&amp;DATE(2026,12,31),'J1 Journaal'!$N:$N,"nee")-SUMIFS('J1 Journaal'!$L:$L,'J1 Journaal'!$G:$G,$A55,'J1 Journaal'!$B:$B,"&lt;="&amp;DATE(2026,12,31),'J1 Journaal'!$N:$N,"nee")</f>
        <v/>
      </c>
      <c r="I55" s="14">
        <f>$D55+SUMIFS('J1 Journaal'!$K:$K,'J1 Journaal'!$G:$G,$A55)-SUMIFS('J1 Journaal'!$L:$L,'J1 Journaal'!$G:$G,$A55)</f>
        <v/>
      </c>
    </row>
    <row r="56">
      <c r="A56" s="13" t="n">
        <v>746000</v>
      </c>
      <c r="B56" s="13" t="inlineStr">
        <is>
          <t>Doorgerekende kosten</t>
        </is>
      </c>
      <c r="C56" s="13" t="inlineStr">
        <is>
          <t>O</t>
        </is>
      </c>
      <c r="D56" s="14" t="n">
        <v>0</v>
      </c>
      <c r="E56" s="14">
        <f>$D56+SUMIFS('J1 Journaal'!$K:$K,'J1 Journaal'!$G:$G,$A56,'J1 Journaal'!$B:$B,"&lt;="&amp;DATE(2026,3,31),'J1 Journaal'!$N:$N,"nee")-SUMIFS('J1 Journaal'!$L:$L,'J1 Journaal'!$G:$G,$A56,'J1 Journaal'!$B:$B,"&lt;="&amp;DATE(2026,3,31),'J1 Journaal'!$N:$N,"nee")</f>
        <v/>
      </c>
      <c r="F56" s="14">
        <f>$D56+SUMIFS('J1 Journaal'!$K:$K,'J1 Journaal'!$G:$G,$A56,'J1 Journaal'!$B:$B,"&lt;="&amp;DATE(2026,6,30),'J1 Journaal'!$N:$N,"nee")-SUMIFS('J1 Journaal'!$L:$L,'J1 Journaal'!$G:$G,$A56,'J1 Journaal'!$B:$B,"&lt;="&amp;DATE(2026,6,30),'J1 Journaal'!$N:$N,"nee")</f>
        <v/>
      </c>
      <c r="G56" s="14">
        <f>$D56+SUMIFS('J1 Journaal'!$K:$K,'J1 Journaal'!$G:$G,$A56,'J1 Journaal'!$B:$B,"&lt;="&amp;DATE(2026,9,30),'J1 Journaal'!$N:$N,"nee")-SUMIFS('J1 Journaal'!$L:$L,'J1 Journaal'!$G:$G,$A56,'J1 Journaal'!$B:$B,"&lt;="&amp;DATE(2026,9,30),'J1 Journaal'!$N:$N,"nee")</f>
        <v/>
      </c>
      <c r="H56" s="14">
        <f>$D56+SUMIFS('J1 Journaal'!$K:$K,'J1 Journaal'!$G:$G,$A56,'J1 Journaal'!$B:$B,"&lt;="&amp;DATE(2026,12,31),'J1 Journaal'!$N:$N,"nee")-SUMIFS('J1 Journaal'!$L:$L,'J1 Journaal'!$G:$G,$A56,'J1 Journaal'!$B:$B,"&lt;="&amp;DATE(2026,12,31),'J1 Journaal'!$N:$N,"nee")</f>
        <v/>
      </c>
      <c r="I56" s="14">
        <f>$D56+SUMIFS('J1 Journaal'!$K:$K,'J1 Journaal'!$G:$G,$A56)-SUMIFS('J1 Journaal'!$L:$L,'J1 Journaal'!$G:$G,$A56)</f>
        <v/>
      </c>
    </row>
    <row r="57">
      <c r="A57" s="13" t="n">
        <v>757000</v>
      </c>
      <c r="B57" s="13" t="inlineStr">
        <is>
          <t>Betalingskortingen van leveranciers</t>
        </is>
      </c>
      <c r="C57" s="13" t="inlineStr">
        <is>
          <t>O</t>
        </is>
      </c>
      <c r="D57" s="14" t="n">
        <v>0</v>
      </c>
      <c r="E57" s="14">
        <f>$D57+SUMIFS('J1 Journaal'!$K:$K,'J1 Journaal'!$G:$G,$A57,'J1 Journaal'!$B:$B,"&lt;="&amp;DATE(2026,3,31),'J1 Journaal'!$N:$N,"nee")-SUMIFS('J1 Journaal'!$L:$L,'J1 Journaal'!$G:$G,$A57,'J1 Journaal'!$B:$B,"&lt;="&amp;DATE(2026,3,31),'J1 Journaal'!$N:$N,"nee")</f>
        <v/>
      </c>
      <c r="F57" s="14">
        <f>$D57+SUMIFS('J1 Journaal'!$K:$K,'J1 Journaal'!$G:$G,$A57,'J1 Journaal'!$B:$B,"&lt;="&amp;DATE(2026,6,30),'J1 Journaal'!$N:$N,"nee")-SUMIFS('J1 Journaal'!$L:$L,'J1 Journaal'!$G:$G,$A57,'J1 Journaal'!$B:$B,"&lt;="&amp;DATE(2026,6,30),'J1 Journaal'!$N:$N,"nee")</f>
        <v/>
      </c>
      <c r="G57" s="14">
        <f>$D57+SUMIFS('J1 Journaal'!$K:$K,'J1 Journaal'!$G:$G,$A57,'J1 Journaal'!$B:$B,"&lt;="&amp;DATE(2026,9,30),'J1 Journaal'!$N:$N,"nee")-SUMIFS('J1 Journaal'!$L:$L,'J1 Journaal'!$G:$G,$A57,'J1 Journaal'!$B:$B,"&lt;="&amp;DATE(2026,9,30),'J1 Journaal'!$N:$N,"nee")</f>
        <v/>
      </c>
      <c r="H57" s="14">
        <f>$D57+SUMIFS('J1 Journaal'!$K:$K,'J1 Journaal'!$G:$G,$A57,'J1 Journaal'!$B:$B,"&lt;="&amp;DATE(2026,12,31),'J1 Journaal'!$N:$N,"nee")-SUMIFS('J1 Journaal'!$L:$L,'J1 Journaal'!$G:$G,$A57,'J1 Journaal'!$B:$B,"&lt;="&amp;DATE(2026,12,31),'J1 Journaal'!$N:$N,"nee")</f>
        <v/>
      </c>
      <c r="I57" s="14">
        <f>$D57+SUMIFS('J1 Journaal'!$K:$K,'J1 Journaal'!$G:$G,$A57)-SUMIFS('J1 Journaal'!$L:$L,'J1 Journaal'!$G:$G,$A57)</f>
        <v/>
      </c>
    </row>
    <row r="58">
      <c r="A58" s="13" t="n">
        <v>793000</v>
      </c>
      <c r="B58" s="13" t="inlineStr">
        <is>
          <t>Over te dragen verlies</t>
        </is>
      </c>
      <c r="C58" s="13" t="inlineStr">
        <is>
          <t>O</t>
        </is>
      </c>
      <c r="D58" s="14" t="n">
        <v>0</v>
      </c>
      <c r="E58" s="14">
        <f>$D58+SUMIFS('J1 Journaal'!$K:$K,'J1 Journaal'!$G:$G,$A58,'J1 Journaal'!$B:$B,"&lt;="&amp;DATE(2026,3,31),'J1 Journaal'!$N:$N,"nee")-SUMIFS('J1 Journaal'!$L:$L,'J1 Journaal'!$G:$G,$A58,'J1 Journaal'!$B:$B,"&lt;="&amp;DATE(2026,3,31),'J1 Journaal'!$N:$N,"nee")</f>
        <v/>
      </c>
      <c r="F58" s="14">
        <f>$D58+SUMIFS('J1 Journaal'!$K:$K,'J1 Journaal'!$G:$G,$A58,'J1 Journaal'!$B:$B,"&lt;="&amp;DATE(2026,6,30),'J1 Journaal'!$N:$N,"nee")-SUMIFS('J1 Journaal'!$L:$L,'J1 Journaal'!$G:$G,$A58,'J1 Journaal'!$B:$B,"&lt;="&amp;DATE(2026,6,30),'J1 Journaal'!$N:$N,"nee")</f>
        <v/>
      </c>
      <c r="G58" s="14">
        <f>$D58+SUMIFS('J1 Journaal'!$K:$K,'J1 Journaal'!$G:$G,$A58,'J1 Journaal'!$B:$B,"&lt;="&amp;DATE(2026,9,30),'J1 Journaal'!$N:$N,"nee")-SUMIFS('J1 Journaal'!$L:$L,'J1 Journaal'!$G:$G,$A58,'J1 Journaal'!$B:$B,"&lt;="&amp;DATE(2026,9,30),'J1 Journaal'!$N:$N,"nee")</f>
        <v/>
      </c>
      <c r="H58" s="14">
        <f>$D58+SUMIFS('J1 Journaal'!$K:$K,'J1 Journaal'!$G:$G,$A58,'J1 Journaal'!$B:$B,"&lt;="&amp;DATE(2026,12,31),'J1 Journaal'!$N:$N,"nee")-SUMIFS('J1 Journaal'!$L:$L,'J1 Journaal'!$G:$G,$A58,'J1 Journaal'!$B:$B,"&lt;="&amp;DATE(2026,12,31),'J1 Journaal'!$N:$N,"nee")</f>
        <v/>
      </c>
      <c r="I58" s="14">
        <f>$D58+SUMIFS('J1 Journaal'!$K:$K,'J1 Journaal'!$G:$G,$A58)-SUMIFS('J1 Journaal'!$L:$L,'J1 Journaal'!$G:$G,$A58)</f>
        <v/>
      </c>
    </row>
    <row r="59">
      <c r="B59" s="2" t="inlineStr">
        <is>
          <t>TOTAAL (moet 0 zijn)</t>
        </is>
      </c>
      <c r="D59" s="19">
        <f>ROUND(SUM(D2:D58),2)</f>
        <v/>
      </c>
      <c r="E59" s="19">
        <f>ROUND(SUM(E2:E58),2)</f>
        <v/>
      </c>
      <c r="F59" s="19">
        <f>ROUND(SUM(F2:F58),2)</f>
        <v/>
      </c>
      <c r="G59" s="19">
        <f>ROUND(SUM(G2:G58),2)</f>
        <v/>
      </c>
      <c r="H59" s="19">
        <f>ROUND(SUM(H2:H58),2)</f>
        <v/>
      </c>
      <c r="I59" s="19">
        <f>ROUND(SUM(I2:I58),2)</f>
        <v/>
      </c>
    </row>
    <row r="61">
      <c r="B61" s="2" t="inlineStr">
        <is>
          <t>Resultaat (opbrengsten - kosten) vóór afsluiting</t>
        </is>
      </c>
      <c r="H61" s="17">
        <f>-SUMIFS(H2:H58,C2:C58,"K")-SUMIFS(H2:H58,C2:C58,"O")</f>
        <v/>
      </c>
    </row>
  </sheetData>
  <autoFilter ref="A1:I58"/>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K13"/>
  <sheetViews>
    <sheetView zoomScaleNormal="100" workbookViewId="0">
      <pane ySplit="1" topLeftCell="A2" activePane="bottomLeft" state="frozen"/>
      <selection pane="bottomLeft" activeCell="A1" sqref="A1"/>
    </sheetView>
  </sheetViews>
  <sheetFormatPr baseColWidth="8" defaultColWidth="8.6328125" defaultRowHeight="14.5"/>
  <cols>
    <col width="9" customWidth="1" min="1" max="1"/>
    <col width="32" customWidth="1" min="2" max="2"/>
    <col width="8" customWidth="1" min="3" max="3"/>
    <col width="10" customWidth="1" min="4" max="7"/>
    <col width="11" customWidth="1" min="8" max="10"/>
    <col width="14" customWidth="1" min="11" max="11"/>
  </cols>
  <sheetData>
    <row r="1" ht="30" customHeight="1">
      <c r="A1" s="1" t="inlineStr">
        <is>
          <t>Artikel</t>
        </is>
      </c>
      <c r="B1" s="1" t="inlineStr">
        <is>
          <t>Omschrijving</t>
        </is>
      </c>
      <c r="C1" s="1" t="inlineStr">
        <is>
          <t>Begin</t>
        </is>
      </c>
      <c r="D1" s="1" t="inlineStr">
        <is>
          <t>+ aankopen</t>
        </is>
      </c>
      <c r="E1" s="1" t="inlineStr">
        <is>
          <t>- retours aankoop</t>
        </is>
      </c>
      <c r="F1" s="1" t="inlineStr">
        <is>
          <t>- verkopen (factuur)</t>
        </is>
      </c>
      <c r="G1" s="1" t="inlineStr">
        <is>
          <t>+ retours verkoop</t>
        </is>
      </c>
      <c r="H1" s="1" t="inlineStr">
        <is>
          <t>- dagontvangsten</t>
        </is>
      </c>
      <c r="I1" s="1" t="inlineStr">
        <is>
          <t>Inventaris 31/12</t>
        </is>
      </c>
      <c r="J1" s="1" t="inlineStr">
        <is>
          <t>Aankoopprijs</t>
        </is>
      </c>
      <c r="K1" s="1" t="inlineStr">
        <is>
          <t>Waarde inventaris</t>
        </is>
      </c>
    </row>
    <row r="2">
      <c r="A2" s="13" t="inlineStr">
        <is>
          <t>STAD</t>
        </is>
      </c>
      <c r="B2" s="13" t="inlineStr">
        <is>
          <t>Stadsfiets City, 7 versnellingen</t>
        </is>
      </c>
      <c r="C2" s="12" t="n">
        <v>5</v>
      </c>
      <c r="D2" s="12">
        <f>SUMIFS('J1 Lijnen'!$H:$H,'J1 Lijnen'!$F:$F,$A2,'J1 Lijnen'!$C:$C,"AK")</f>
        <v/>
      </c>
      <c r="E2" s="12">
        <f>SUMIFS('J1 Lijnen'!$H:$H,'J1 Lijnen'!$F:$F,$A2,'J1 Lijnen'!$C:$C,"CN-AK")</f>
        <v/>
      </c>
      <c r="F2" s="12">
        <f>SUMIFS('J1 Lijnen'!$H:$H,'J1 Lijnen'!$F:$F,$A2,'J1 Lijnen'!$C:$C,"VK")</f>
        <v/>
      </c>
      <c r="G2" s="12">
        <f>SUMIFS('J1 Lijnen'!$H:$H,'J1 Lijnen'!$F:$F,$A2,'J1 Lijnen'!$C:$C,"CN-VK")</f>
        <v/>
      </c>
      <c r="H2" s="12">
        <f>SUMIFS('J1 Lijnen'!$H:$H,'J1 Lijnen'!$F:$F,$A2,'J1 Lijnen'!$C:$C,"DO")</f>
        <v/>
      </c>
      <c r="I2" s="20">
        <f>C2+D2-E2-F2+G2-H2</f>
        <v/>
      </c>
      <c r="J2" s="14">
        <f>INDEX(Artikelen!$D$2:$D$10,MATCH(A2,Artikelen!$A$2:$A$10,0))</f>
        <v/>
      </c>
      <c r="K2" s="14">
        <f>I2*J2</f>
        <v/>
      </c>
    </row>
    <row r="3">
      <c r="A3" s="13" t="inlineStr">
        <is>
          <t>EBIKE</t>
        </is>
      </c>
      <c r="B3" s="13" t="inlineStr">
        <is>
          <t>E-bike Comfort, 500 Wh</t>
        </is>
      </c>
      <c r="C3" s="12" t="n">
        <v>0</v>
      </c>
      <c r="D3" s="12">
        <f>SUMIFS('J1 Lijnen'!$H:$H,'J1 Lijnen'!$F:$F,$A3,'J1 Lijnen'!$C:$C,"AK")</f>
        <v/>
      </c>
      <c r="E3" s="12">
        <f>SUMIFS('J1 Lijnen'!$H:$H,'J1 Lijnen'!$F:$F,$A3,'J1 Lijnen'!$C:$C,"CN-AK")</f>
        <v/>
      </c>
      <c r="F3" s="12">
        <f>SUMIFS('J1 Lijnen'!$H:$H,'J1 Lijnen'!$F:$F,$A3,'J1 Lijnen'!$C:$C,"VK")</f>
        <v/>
      </c>
      <c r="G3" s="12">
        <f>SUMIFS('J1 Lijnen'!$H:$H,'J1 Lijnen'!$F:$F,$A3,'J1 Lijnen'!$C:$C,"CN-VK")</f>
        <v/>
      </c>
      <c r="H3" s="12">
        <f>SUMIFS('J1 Lijnen'!$H:$H,'J1 Lijnen'!$F:$F,$A3,'J1 Lijnen'!$C:$C,"DO")</f>
        <v/>
      </c>
      <c r="I3" s="20">
        <f>C3+D3-E3-F3+G3-H3</f>
        <v/>
      </c>
      <c r="J3" s="14">
        <f>INDEX(Artikelen!$D$2:$D$10,MATCH(A3,Artikelen!$A$2:$A$10,0))</f>
        <v/>
      </c>
      <c r="K3" s="14">
        <f>I3*J3</f>
        <v/>
      </c>
    </row>
    <row r="4">
      <c r="A4" s="13" t="inlineStr">
        <is>
          <t>BAK</t>
        </is>
      </c>
      <c r="B4" s="13" t="inlineStr">
        <is>
          <t>Bakfiets Cargo, 2 wielen</t>
        </is>
      </c>
      <c r="C4" s="12" t="n">
        <v>0</v>
      </c>
      <c r="D4" s="12">
        <f>SUMIFS('J1 Lijnen'!$H:$H,'J1 Lijnen'!$F:$F,$A4,'J1 Lijnen'!$C:$C,"AK")</f>
        <v/>
      </c>
      <c r="E4" s="12">
        <f>SUMIFS('J1 Lijnen'!$H:$H,'J1 Lijnen'!$F:$F,$A4,'J1 Lijnen'!$C:$C,"CN-AK")</f>
        <v/>
      </c>
      <c r="F4" s="12">
        <f>SUMIFS('J1 Lijnen'!$H:$H,'J1 Lijnen'!$F:$F,$A4,'J1 Lijnen'!$C:$C,"VK")</f>
        <v/>
      </c>
      <c r="G4" s="12">
        <f>SUMIFS('J1 Lijnen'!$H:$H,'J1 Lijnen'!$F:$F,$A4,'J1 Lijnen'!$C:$C,"CN-VK")</f>
        <v/>
      </c>
      <c r="H4" s="12">
        <f>SUMIFS('J1 Lijnen'!$H:$H,'J1 Lijnen'!$F:$F,$A4,'J1 Lijnen'!$C:$C,"DO")</f>
        <v/>
      </c>
      <c r="I4" s="20">
        <f>C4+D4-E4-F4+G4-H4</f>
        <v/>
      </c>
      <c r="J4" s="14">
        <f>INDEX(Artikelen!$D$2:$D$10,MATCH(A4,Artikelen!$A$2:$A$10,0))</f>
        <v/>
      </c>
      <c r="K4" s="14">
        <f>I4*J4</f>
        <v/>
      </c>
    </row>
    <row r="5">
      <c r="A5" s="13" t="inlineStr">
        <is>
          <t>KIND</t>
        </is>
      </c>
      <c r="B5" s="13" t="inlineStr">
        <is>
          <t>Kinderfiets 20 inch</t>
        </is>
      </c>
      <c r="C5" s="12" t="n">
        <v>0</v>
      </c>
      <c r="D5" s="12">
        <f>SUMIFS('J1 Lijnen'!$H:$H,'J1 Lijnen'!$F:$F,$A5,'J1 Lijnen'!$C:$C,"AK")</f>
        <v/>
      </c>
      <c r="E5" s="12">
        <f>SUMIFS('J1 Lijnen'!$H:$H,'J1 Lijnen'!$F:$F,$A5,'J1 Lijnen'!$C:$C,"CN-AK")</f>
        <v/>
      </c>
      <c r="F5" s="12">
        <f>SUMIFS('J1 Lijnen'!$H:$H,'J1 Lijnen'!$F:$F,$A5,'J1 Lijnen'!$C:$C,"VK")</f>
        <v/>
      </c>
      <c r="G5" s="12">
        <f>SUMIFS('J1 Lijnen'!$H:$H,'J1 Lijnen'!$F:$F,$A5,'J1 Lijnen'!$C:$C,"CN-VK")</f>
        <v/>
      </c>
      <c r="H5" s="12">
        <f>SUMIFS('J1 Lijnen'!$H:$H,'J1 Lijnen'!$F:$F,$A5,'J1 Lijnen'!$C:$C,"DO")</f>
        <v/>
      </c>
      <c r="I5" s="20">
        <f>C5+D5-E5-F5+G5-H5</f>
        <v/>
      </c>
      <c r="J5" s="14">
        <f>INDEX(Artikelen!$D$2:$D$10,MATCH(A5,Artikelen!$A$2:$A$10,0))</f>
        <v/>
      </c>
      <c r="K5" s="14">
        <f>I5*J5</f>
        <v/>
      </c>
    </row>
    <row r="6">
      <c r="A6" s="13" t="inlineStr">
        <is>
          <t>HELM</t>
        </is>
      </c>
      <c r="B6" s="13" t="inlineStr">
        <is>
          <t>Fietshelm Urban</t>
        </is>
      </c>
      <c r="C6" s="12" t="n">
        <v>10</v>
      </c>
      <c r="D6" s="12">
        <f>SUMIFS('J1 Lijnen'!$H:$H,'J1 Lijnen'!$F:$F,$A6,'J1 Lijnen'!$C:$C,"AK")</f>
        <v/>
      </c>
      <c r="E6" s="12">
        <f>SUMIFS('J1 Lijnen'!$H:$H,'J1 Lijnen'!$F:$F,$A6,'J1 Lijnen'!$C:$C,"CN-AK")</f>
        <v/>
      </c>
      <c r="F6" s="12">
        <f>SUMIFS('J1 Lijnen'!$H:$H,'J1 Lijnen'!$F:$F,$A6,'J1 Lijnen'!$C:$C,"VK")</f>
        <v/>
      </c>
      <c r="G6" s="12">
        <f>SUMIFS('J1 Lijnen'!$H:$H,'J1 Lijnen'!$F:$F,$A6,'J1 Lijnen'!$C:$C,"CN-VK")</f>
        <v/>
      </c>
      <c r="H6" s="12">
        <f>SUMIFS('J1 Lijnen'!$H:$H,'J1 Lijnen'!$F:$F,$A6,'J1 Lijnen'!$C:$C,"DO")</f>
        <v/>
      </c>
      <c r="I6" s="20">
        <f>C6+D6-E6-F6+G6-H6</f>
        <v/>
      </c>
      <c r="J6" s="14">
        <f>INDEX(Artikelen!$D$2:$D$10,MATCH(A6,Artikelen!$A$2:$A$10,0))</f>
        <v/>
      </c>
      <c r="K6" s="14">
        <f>I6*J6</f>
        <v/>
      </c>
    </row>
    <row r="7">
      <c r="A7" s="13" t="inlineStr">
        <is>
          <t>SLOT</t>
        </is>
      </c>
      <c r="B7" s="13" t="inlineStr">
        <is>
          <t>Plooislot</t>
        </is>
      </c>
      <c r="C7" s="12" t="n">
        <v>20</v>
      </c>
      <c r="D7" s="12">
        <f>SUMIFS('J1 Lijnen'!$H:$H,'J1 Lijnen'!$F:$F,$A7,'J1 Lijnen'!$C:$C,"AK")</f>
        <v/>
      </c>
      <c r="E7" s="12">
        <f>SUMIFS('J1 Lijnen'!$H:$H,'J1 Lijnen'!$F:$F,$A7,'J1 Lijnen'!$C:$C,"CN-AK")</f>
        <v/>
      </c>
      <c r="F7" s="12">
        <f>SUMIFS('J1 Lijnen'!$H:$H,'J1 Lijnen'!$F:$F,$A7,'J1 Lijnen'!$C:$C,"VK")</f>
        <v/>
      </c>
      <c r="G7" s="12">
        <f>SUMIFS('J1 Lijnen'!$H:$H,'J1 Lijnen'!$F:$F,$A7,'J1 Lijnen'!$C:$C,"CN-VK")</f>
        <v/>
      </c>
      <c r="H7" s="12">
        <f>SUMIFS('J1 Lijnen'!$H:$H,'J1 Lijnen'!$F:$F,$A7,'J1 Lijnen'!$C:$C,"DO")</f>
        <v/>
      </c>
      <c r="I7" s="20">
        <f>C7+D7-E7-F7+G7-H7</f>
        <v/>
      </c>
      <c r="J7" s="14">
        <f>INDEX(Artikelen!$D$2:$D$10,MATCH(A7,Artikelen!$A$2:$A$10,0))</f>
        <v/>
      </c>
      <c r="K7" s="14">
        <f>I7*J7</f>
        <v/>
      </c>
    </row>
    <row r="8">
      <c r="A8" s="13" t="inlineStr">
        <is>
          <t>BAND</t>
        </is>
      </c>
      <c r="B8" s="13" t="inlineStr">
        <is>
          <t>Buitenband 28 inch</t>
        </is>
      </c>
      <c r="C8" s="12" t="n">
        <v>20</v>
      </c>
      <c r="D8" s="12">
        <f>SUMIFS('J1 Lijnen'!$H:$H,'J1 Lijnen'!$F:$F,$A8,'J1 Lijnen'!$C:$C,"AK")</f>
        <v/>
      </c>
      <c r="E8" s="12">
        <f>SUMIFS('J1 Lijnen'!$H:$H,'J1 Lijnen'!$F:$F,$A8,'J1 Lijnen'!$C:$C,"CN-AK")</f>
        <v/>
      </c>
      <c r="F8" s="12">
        <f>SUMIFS('J1 Lijnen'!$H:$H,'J1 Lijnen'!$F:$F,$A8,'J1 Lijnen'!$C:$C,"VK")</f>
        <v/>
      </c>
      <c r="G8" s="12">
        <f>SUMIFS('J1 Lijnen'!$H:$H,'J1 Lijnen'!$F:$F,$A8,'J1 Lijnen'!$C:$C,"CN-VK")</f>
        <v/>
      </c>
      <c r="H8" s="12">
        <f>SUMIFS('J1 Lijnen'!$H:$H,'J1 Lijnen'!$F:$F,$A8,'J1 Lijnen'!$C:$C,"DO")</f>
        <v/>
      </c>
      <c r="I8" s="20">
        <f>C8+D8-E8-F8+G8-H8</f>
        <v/>
      </c>
      <c r="J8" s="14">
        <f>INDEX(Artikelen!$D$2:$D$10,MATCH(A8,Artikelen!$A$2:$A$10,0))</f>
        <v/>
      </c>
      <c r="K8" s="14">
        <f>I8*J8</f>
        <v/>
      </c>
    </row>
    <row r="9">
      <c r="A9" s="13" t="inlineStr">
        <is>
          <t>KET</t>
        </is>
      </c>
      <c r="B9" s="13" t="inlineStr">
        <is>
          <t>Fietsketting 8 speed</t>
        </is>
      </c>
      <c r="C9" s="12" t="n">
        <v>0</v>
      </c>
      <c r="D9" s="12">
        <f>SUMIFS('J1 Lijnen'!$H:$H,'J1 Lijnen'!$F:$F,$A9,'J1 Lijnen'!$C:$C,"AK")</f>
        <v/>
      </c>
      <c r="E9" s="12">
        <f>SUMIFS('J1 Lijnen'!$H:$H,'J1 Lijnen'!$F:$F,$A9,'J1 Lijnen'!$C:$C,"CN-AK")</f>
        <v/>
      </c>
      <c r="F9" s="12">
        <f>SUMIFS('J1 Lijnen'!$H:$H,'J1 Lijnen'!$F:$F,$A9,'J1 Lijnen'!$C:$C,"VK")</f>
        <v/>
      </c>
      <c r="G9" s="12">
        <f>SUMIFS('J1 Lijnen'!$H:$H,'J1 Lijnen'!$F:$F,$A9,'J1 Lijnen'!$C:$C,"CN-VK")</f>
        <v/>
      </c>
      <c r="H9" s="12">
        <f>SUMIFS('J1 Lijnen'!$H:$H,'J1 Lijnen'!$F:$F,$A9,'J1 Lijnen'!$C:$C,"DO")</f>
        <v/>
      </c>
      <c r="I9" s="20">
        <f>C9+D9-E9-F9+G9-H9</f>
        <v/>
      </c>
      <c r="J9" s="14">
        <f>INDEX(Artikelen!$D$2:$D$10,MATCH(A9,Artikelen!$A$2:$A$10,0))</f>
        <v/>
      </c>
      <c r="K9" s="14">
        <f>I9*J9</f>
        <v/>
      </c>
    </row>
    <row r="10">
      <c r="A10" s="13" t="inlineStr">
        <is>
          <t>LAMP</t>
        </is>
      </c>
      <c r="B10" s="13" t="inlineStr">
        <is>
          <t>Verlichtingsset LED</t>
        </is>
      </c>
      <c r="C10" s="12" t="n">
        <v>0</v>
      </c>
      <c r="D10" s="12">
        <f>SUMIFS('J1 Lijnen'!$H:$H,'J1 Lijnen'!$F:$F,$A10,'J1 Lijnen'!$C:$C,"AK")</f>
        <v/>
      </c>
      <c r="E10" s="12">
        <f>SUMIFS('J1 Lijnen'!$H:$H,'J1 Lijnen'!$F:$F,$A10,'J1 Lijnen'!$C:$C,"CN-AK")</f>
        <v/>
      </c>
      <c r="F10" s="12">
        <f>SUMIFS('J1 Lijnen'!$H:$H,'J1 Lijnen'!$F:$F,$A10,'J1 Lijnen'!$C:$C,"VK")</f>
        <v/>
      </c>
      <c r="G10" s="12">
        <f>SUMIFS('J1 Lijnen'!$H:$H,'J1 Lijnen'!$F:$F,$A10,'J1 Lijnen'!$C:$C,"CN-VK")</f>
        <v/>
      </c>
      <c r="H10" s="12">
        <f>SUMIFS('J1 Lijnen'!$H:$H,'J1 Lijnen'!$F:$F,$A10,'J1 Lijnen'!$C:$C,"DO")</f>
        <v/>
      </c>
      <c r="I10" s="20">
        <f>C10+D10-E10-F10+G10-H10</f>
        <v/>
      </c>
      <c r="J10" s="14">
        <f>INDEX(Artikelen!$D$2:$D$10,MATCH(A10,Artikelen!$A$2:$A$10,0))</f>
        <v/>
      </c>
      <c r="K10" s="14">
        <f>I10*J10</f>
        <v/>
      </c>
    </row>
    <row r="11">
      <c r="B11" s="2" t="inlineStr">
        <is>
          <t>Totaal</t>
        </is>
      </c>
      <c r="K11" s="17">
        <f>SUM(K2:K10)</f>
        <v/>
      </c>
    </row>
    <row r="12">
      <c r="B12" s="13" t="inlineStr">
        <is>
          <t>Saldo 340000 na afsluiting (proefbalans)</t>
        </is>
      </c>
      <c r="K12" s="14">
        <f>INDEX('J1 Proefbalans'!I:I,MATCH(340000,'J1 Proefbalans'!A:A,0))</f>
        <v/>
      </c>
    </row>
    <row r="13">
      <c r="B13" s="2" t="inlineStr">
        <is>
          <t>Controle (moet 0 zijn)</t>
        </is>
      </c>
      <c r="K13" s="19">
        <f>K11-K12</f>
        <v/>
      </c>
    </row>
  </sheetData>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filterMode="1">
    <outlinePr summaryBelow="1" summaryRight="1"/>
    <pageSetUpPr/>
  </sheetPr>
  <dimension ref="A1:L156"/>
  <sheetViews>
    <sheetView zoomScaleNormal="100" workbookViewId="0">
      <pane ySplit="1" topLeftCell="A45" activePane="bottomLeft" state="frozen"/>
      <selection pane="bottomLeft" activeCell="G45" sqref="G45"/>
    </sheetView>
  </sheetViews>
  <sheetFormatPr baseColWidth="8" defaultColWidth="8.6328125" defaultRowHeight="14.5"/>
  <cols>
    <col width="9" customWidth="1" min="1" max="1"/>
    <col width="15" customWidth="1" min="2" max="2"/>
    <col width="8" customWidth="1" min="3" max="3"/>
    <col width="5" customWidth="1" min="4" max="4"/>
    <col width="12" customWidth="1" min="5" max="5"/>
    <col width="8" customWidth="1" min="6" max="6"/>
    <col width="46" customWidth="1" min="7" max="7"/>
    <col width="8" customWidth="1" min="8" max="8"/>
    <col width="12" customWidth="1" min="9" max="9"/>
    <col width="13" customWidth="1" min="10" max="10"/>
    <col width="7" customWidth="1" min="11" max="11"/>
    <col width="11" customWidth="1" min="12" max="12"/>
  </cols>
  <sheetData>
    <row r="1" ht="30" customHeight="1">
      <c r="A1" s="1" t="inlineStr">
        <is>
          <t>ID</t>
        </is>
      </c>
      <c r="B1" s="1" t="inlineStr">
        <is>
          <t>Documentnr</t>
        </is>
      </c>
      <c r="C1" s="1" t="inlineStr">
        <is>
          <t>Soort doc</t>
        </is>
      </c>
      <c r="D1" s="1" t="inlineStr">
        <is>
          <t>Lijn</t>
        </is>
      </c>
      <c r="E1" s="1" t="inlineStr">
        <is>
          <t>Soort lijn</t>
        </is>
      </c>
      <c r="F1" s="1" t="inlineStr">
        <is>
          <t>Artikel</t>
        </is>
      </c>
      <c r="G1" s="1" t="inlineStr">
        <is>
          <t>Omschrijving</t>
        </is>
      </c>
      <c r="H1" s="1" t="inlineStr">
        <is>
          <t>Aantal</t>
        </is>
      </c>
      <c r="I1" s="1" t="inlineStr">
        <is>
          <t>Eenheidsprijs</t>
        </is>
      </c>
      <c r="J1" s="1" t="inlineStr">
        <is>
          <t>Bedrag excl. btw</t>
        </is>
      </c>
      <c r="K1" s="1" t="inlineStr">
        <is>
          <t>Btw %</t>
        </is>
      </c>
      <c r="L1" s="1" t="inlineStr">
        <is>
          <t>Btw</t>
        </is>
      </c>
    </row>
    <row r="2" hidden="1">
      <c r="A2" s="13" t="inlineStr">
        <is>
          <t>J2A1</t>
        </is>
      </c>
      <c r="B2" s="13" t="inlineStr">
        <is>
          <t>NL-27-01-0311</t>
        </is>
      </c>
      <c r="C2" s="13" t="inlineStr">
        <is>
          <t>AK</t>
        </is>
      </c>
      <c r="D2" s="13" t="n">
        <v>1</v>
      </c>
      <c r="E2" s="13" t="inlineStr">
        <is>
          <t>dienst</t>
        </is>
      </c>
      <c r="F2" s="13" t="n"/>
      <c r="G2" s="13" t="inlineStr">
        <is>
          <t>Internet en telefonie januari-maart 2027</t>
        </is>
      </c>
      <c r="H2" s="12" t="n">
        <v>1</v>
      </c>
      <c r="I2" s="14" t="n">
        <v>300</v>
      </c>
      <c r="J2" s="14">
        <f>H2*I2</f>
        <v/>
      </c>
      <c r="K2" s="15" t="n">
        <v>0.21</v>
      </c>
      <c r="L2" s="14">
        <f>J2*K2</f>
        <v/>
      </c>
    </row>
    <row r="3" hidden="1">
      <c r="A3" s="13" t="inlineStr">
        <is>
          <t>J2A3</t>
        </is>
      </c>
      <c r="B3" s="13" t="inlineStr">
        <is>
          <t>2027-014</t>
        </is>
      </c>
      <c r="C3" s="13" t="inlineStr">
        <is>
          <t>AK</t>
        </is>
      </c>
      <c r="D3" s="13" t="n">
        <v>1</v>
      </c>
      <c r="E3" s="13" t="inlineStr">
        <is>
          <t>artikel</t>
        </is>
      </c>
      <c r="F3" s="13" t="inlineStr">
        <is>
          <t>STAD</t>
        </is>
      </c>
      <c r="G3" s="13" t="inlineStr">
        <is>
          <t>Stadsfiets City, 7 versnellingen</t>
        </is>
      </c>
      <c r="H3" s="12" t="n">
        <v>10</v>
      </c>
      <c r="I3" s="14" t="n">
        <v>400</v>
      </c>
      <c r="J3" s="14">
        <f>H3*I3</f>
        <v/>
      </c>
      <c r="K3" s="15" t="n">
        <v>0.21</v>
      </c>
      <c r="L3" s="14">
        <f>J3*K3</f>
        <v/>
      </c>
    </row>
    <row r="4" hidden="1">
      <c r="A4" s="13" t="inlineStr">
        <is>
          <t>J2A3</t>
        </is>
      </c>
      <c r="B4" s="13" t="inlineStr">
        <is>
          <t>2027-014</t>
        </is>
      </c>
      <c r="C4" s="13" t="inlineStr">
        <is>
          <t>AK</t>
        </is>
      </c>
      <c r="D4" s="13" t="n">
        <v>2</v>
      </c>
      <c r="E4" s="13" t="inlineStr">
        <is>
          <t>artikel</t>
        </is>
      </c>
      <c r="F4" s="13" t="inlineStr">
        <is>
          <t>EBIKE</t>
        </is>
      </c>
      <c r="G4" s="13" t="inlineStr">
        <is>
          <t>E-bike Comfort, 500 Wh</t>
        </is>
      </c>
      <c r="H4" s="12" t="n">
        <v>5</v>
      </c>
      <c r="I4" s="14" t="n">
        <v>1400</v>
      </c>
      <c r="J4" s="14">
        <f>H4*I4</f>
        <v/>
      </c>
      <c r="K4" s="15" t="n">
        <v>0.21</v>
      </c>
      <c r="L4" s="14">
        <f>J4*K4</f>
        <v/>
      </c>
    </row>
    <row r="5" hidden="1">
      <c r="A5" s="13" t="inlineStr">
        <is>
          <t>J2A3</t>
        </is>
      </c>
      <c r="B5" s="13" t="inlineStr">
        <is>
          <t>2027-014</t>
        </is>
      </c>
      <c r="C5" s="13" t="inlineStr">
        <is>
          <t>AK</t>
        </is>
      </c>
      <c r="D5" s="13" t="n">
        <v>3</v>
      </c>
      <c r="E5" s="13" t="inlineStr">
        <is>
          <t>handelskorting</t>
        </is>
      </c>
      <c r="F5" s="13" t="n"/>
      <c r="G5" s="13" t="inlineStr">
        <is>
          <t>Handelskorting 10% op de goederen</t>
        </is>
      </c>
      <c r="H5" s="15" t="n">
        <v>0.1</v>
      </c>
      <c r="I5" s="14">
        <f>-SUMIFS(J$3:J4,E$3:E4,"artikel")</f>
        <v/>
      </c>
      <c r="J5" s="14">
        <f>H5*I5</f>
        <v/>
      </c>
      <c r="K5" s="15" t="n">
        <v>0.21</v>
      </c>
      <c r="L5" s="14">
        <f>J5*K5</f>
        <v/>
      </c>
    </row>
    <row r="6" hidden="1">
      <c r="A6" s="13" t="inlineStr">
        <is>
          <t>J2A5</t>
        </is>
      </c>
      <c r="B6" s="13" t="inlineStr">
        <is>
          <t>HH-27-004</t>
        </is>
      </c>
      <c r="C6" s="13" t="inlineStr">
        <is>
          <t>AK</t>
        </is>
      </c>
      <c r="D6" s="13" t="n">
        <v>1</v>
      </c>
      <c r="E6" s="13" t="inlineStr">
        <is>
          <t>artikel</t>
        </is>
      </c>
      <c r="F6" s="13" t="inlineStr">
        <is>
          <t>HELM</t>
        </is>
      </c>
      <c r="G6" s="13" t="inlineStr">
        <is>
          <t>Fietshelm Urban</t>
        </is>
      </c>
      <c r="H6" s="12" t="n">
        <v>20</v>
      </c>
      <c r="I6" s="14" t="n">
        <v>30</v>
      </c>
      <c r="J6" s="14">
        <f>H6*I6</f>
        <v/>
      </c>
      <c r="K6" s="15" t="n">
        <v>0.21</v>
      </c>
      <c r="L6" s="14">
        <f>J6*K6</f>
        <v/>
      </c>
    </row>
    <row r="7" hidden="1">
      <c r="A7" s="13" t="inlineStr">
        <is>
          <t>J2A5</t>
        </is>
      </c>
      <c r="B7" s="13" t="inlineStr">
        <is>
          <t>HH-27-004</t>
        </is>
      </c>
      <c r="C7" s="13" t="inlineStr">
        <is>
          <t>AK</t>
        </is>
      </c>
      <c r="D7" s="13" t="n">
        <v>2</v>
      </c>
      <c r="E7" s="13" t="inlineStr">
        <is>
          <t>artikel</t>
        </is>
      </c>
      <c r="F7" s="13" t="inlineStr">
        <is>
          <t>SLOT</t>
        </is>
      </c>
      <c r="G7" s="13" t="inlineStr">
        <is>
          <t>Plooislot</t>
        </is>
      </c>
      <c r="H7" s="12" t="n">
        <v>10</v>
      </c>
      <c r="I7" s="14" t="n">
        <v>20</v>
      </c>
      <c r="J7" s="14">
        <f>H7*I7</f>
        <v/>
      </c>
      <c r="K7" s="15" t="n">
        <v>0.21</v>
      </c>
      <c r="L7" s="14">
        <f>J7*K7</f>
        <v/>
      </c>
    </row>
    <row r="8" hidden="1">
      <c r="A8" s="13" t="inlineStr">
        <is>
          <t>J2A5</t>
        </is>
      </c>
      <c r="B8" s="13" t="inlineStr">
        <is>
          <t>HH-27-004</t>
        </is>
      </c>
      <c r="C8" s="13" t="inlineStr">
        <is>
          <t>AK</t>
        </is>
      </c>
      <c r="D8" s="13" t="n">
        <v>3</v>
      </c>
      <c r="E8" s="13" t="inlineStr">
        <is>
          <t>kosten</t>
        </is>
      </c>
      <c r="F8" s="13" t="n"/>
      <c r="G8" s="13" t="inlineStr">
        <is>
          <t>Transportkosten</t>
        </is>
      </c>
      <c r="H8" s="12" t="n">
        <v>1</v>
      </c>
      <c r="I8" s="14" t="n">
        <v>100</v>
      </c>
      <c r="J8" s="14">
        <f>H8*I8</f>
        <v/>
      </c>
      <c r="K8" s="15" t="n">
        <v>0.21</v>
      </c>
      <c r="L8" s="14">
        <f>J8*K8</f>
        <v/>
      </c>
    </row>
    <row r="9" hidden="1">
      <c r="A9" s="13" t="inlineStr">
        <is>
          <t>J2A7</t>
        </is>
      </c>
      <c r="B9" s="13" t="inlineStr">
        <is>
          <t>2027-031</t>
        </is>
      </c>
      <c r="C9" s="13" t="inlineStr">
        <is>
          <t>AK</t>
        </is>
      </c>
      <c r="D9" s="13" t="n">
        <v>1</v>
      </c>
      <c r="E9" s="13" t="inlineStr">
        <is>
          <t>artikel</t>
        </is>
      </c>
      <c r="F9" s="13" t="inlineStr">
        <is>
          <t>BAK</t>
        </is>
      </c>
      <c r="G9" s="13" t="inlineStr">
        <is>
          <t>Bakfiets Cargo, 2 wielen</t>
        </is>
      </c>
      <c r="H9" s="12" t="n">
        <v>2</v>
      </c>
      <c r="I9" s="14" t="n">
        <v>1800</v>
      </c>
      <c r="J9" s="14">
        <f>H9*I9</f>
        <v/>
      </c>
      <c r="K9" s="15" t="n">
        <v>0.21</v>
      </c>
      <c r="L9" s="14">
        <f>J9*K9</f>
        <v/>
      </c>
    </row>
    <row r="10" hidden="1">
      <c r="A10" s="13" t="inlineStr">
        <is>
          <t>J2A7</t>
        </is>
      </c>
      <c r="B10" s="13" t="inlineStr">
        <is>
          <t>2027-031</t>
        </is>
      </c>
      <c r="C10" s="13" t="inlineStr">
        <is>
          <t>AK</t>
        </is>
      </c>
      <c r="D10" s="13" t="n">
        <v>2</v>
      </c>
      <c r="E10" s="13" t="inlineStr">
        <is>
          <t>verpakking</t>
        </is>
      </c>
      <c r="F10" s="13" t="n"/>
      <c r="G10" s="13" t="inlineStr">
        <is>
          <t>Herbruikbaar fietsrek (waarborg)</t>
        </is>
      </c>
      <c r="H10" s="12" t="n">
        <v>2</v>
      </c>
      <c r="I10" s="14" t="n">
        <v>50</v>
      </c>
      <c r="J10" s="14">
        <f>H10*I10</f>
        <v/>
      </c>
      <c r="K10" s="15" t="n">
        <v>0</v>
      </c>
      <c r="L10" s="14">
        <f>J10*K10</f>
        <v/>
      </c>
    </row>
    <row r="11" hidden="1">
      <c r="A11" s="13" t="inlineStr">
        <is>
          <t>J2A9</t>
        </is>
      </c>
      <c r="B11" s="13" t="inlineStr">
        <is>
          <t>2027-052</t>
        </is>
      </c>
      <c r="C11" s="13" t="inlineStr">
        <is>
          <t>AK</t>
        </is>
      </c>
      <c r="D11" s="13" t="n">
        <v>1</v>
      </c>
      <c r="E11" s="13" t="inlineStr">
        <is>
          <t>artikel</t>
        </is>
      </c>
      <c r="F11" s="13" t="inlineStr">
        <is>
          <t>STAD</t>
        </is>
      </c>
      <c r="G11" s="13" t="inlineStr">
        <is>
          <t>Stadsfiets City, 7 versnellingen</t>
        </is>
      </c>
      <c r="H11" s="12" t="n">
        <v>5</v>
      </c>
      <c r="I11" s="14" t="n">
        <v>400</v>
      </c>
      <c r="J11" s="14">
        <f>H11*I11</f>
        <v/>
      </c>
      <c r="K11" s="15" t="n">
        <v>0.21</v>
      </c>
      <c r="L11" s="14">
        <f>J11*K11</f>
        <v/>
      </c>
    </row>
    <row r="12" hidden="1">
      <c r="A12" s="13" t="inlineStr">
        <is>
          <t>J2A9</t>
        </is>
      </c>
      <c r="B12" s="13" t="inlineStr">
        <is>
          <t>2027-052</t>
        </is>
      </c>
      <c r="C12" s="13" t="inlineStr">
        <is>
          <t>AK</t>
        </is>
      </c>
      <c r="D12" s="13" t="n">
        <v>2</v>
      </c>
      <c r="E12" s="13" t="inlineStr">
        <is>
          <t>artikel</t>
        </is>
      </c>
      <c r="F12" s="13" t="inlineStr">
        <is>
          <t>BAK</t>
        </is>
      </c>
      <c r="G12" s="13" t="inlineStr">
        <is>
          <t>Bakfiets Cargo, 2 wielen</t>
        </is>
      </c>
      <c r="H12" s="12" t="n">
        <v>1</v>
      </c>
      <c r="I12" s="14" t="n">
        <v>1800</v>
      </c>
      <c r="J12" s="14">
        <f>H12*I12</f>
        <v/>
      </c>
      <c r="K12" s="15" t="n">
        <v>0.21</v>
      </c>
      <c r="L12" s="14">
        <f>J12*K12</f>
        <v/>
      </c>
    </row>
    <row r="13" hidden="1">
      <c r="A13" s="13" t="inlineStr">
        <is>
          <t>J2A9</t>
        </is>
      </c>
      <c r="B13" s="13" t="inlineStr">
        <is>
          <t>2027-052</t>
        </is>
      </c>
      <c r="C13" s="13" t="inlineStr">
        <is>
          <t>AK</t>
        </is>
      </c>
      <c r="D13" s="13" t="n">
        <v>3</v>
      </c>
      <c r="E13" s="13" t="inlineStr">
        <is>
          <t>artikel</t>
        </is>
      </c>
      <c r="F13" s="13" t="inlineStr">
        <is>
          <t>KIND</t>
        </is>
      </c>
      <c r="G13" s="13" t="inlineStr">
        <is>
          <t>Kinderfiets 20 inch</t>
        </is>
      </c>
      <c r="H13" s="12" t="n">
        <v>8</v>
      </c>
      <c r="I13" s="14" t="n">
        <v>150</v>
      </c>
      <c r="J13" s="14">
        <f>H13*I13</f>
        <v/>
      </c>
      <c r="K13" s="15" t="n">
        <v>0.21</v>
      </c>
      <c r="L13" s="14">
        <f>J13*K13</f>
        <v/>
      </c>
    </row>
    <row r="14" hidden="1">
      <c r="A14" s="13" t="inlineStr">
        <is>
          <t>J2A9</t>
        </is>
      </c>
      <c r="B14" s="13" t="inlineStr">
        <is>
          <t>2027-052</t>
        </is>
      </c>
      <c r="C14" s="13" t="inlineStr">
        <is>
          <t>AK</t>
        </is>
      </c>
      <c r="D14" s="13" t="n">
        <v>4</v>
      </c>
      <c r="E14" s="13" t="inlineStr">
        <is>
          <t>financiële korting</t>
        </is>
      </c>
      <c r="F14" s="13" t="n"/>
      <c r="G14" s="13" t="inlineStr">
        <is>
          <t>Financiële korting 2% bij betaling binnen 10 dagen (btw berekend na korting)</t>
        </is>
      </c>
      <c r="H14" s="15" t="n">
        <v>0.02</v>
      </c>
      <c r="I14" s="14">
        <f>-SUMIFS(J$11:J13,E$11:E13,"&lt;&gt;verpakking")</f>
        <v/>
      </c>
      <c r="J14" s="14">
        <f>H14*I14</f>
        <v/>
      </c>
      <c r="K14" s="15" t="n">
        <v>0.21</v>
      </c>
      <c r="L14" s="14">
        <f>J14*K14</f>
        <v/>
      </c>
    </row>
    <row r="15" hidden="1">
      <c r="A15" s="13" t="inlineStr">
        <is>
          <t>J2CA2</t>
        </is>
      </c>
      <c r="B15" s="13" t="inlineStr">
        <is>
          <t>CN-2027-002</t>
        </is>
      </c>
      <c r="C15" s="13" t="inlineStr">
        <is>
          <t>CN-AK</t>
        </is>
      </c>
      <c r="D15" s="13" t="n">
        <v>1</v>
      </c>
      <c r="E15" s="13" t="inlineStr">
        <is>
          <t>artikel</t>
        </is>
      </c>
      <c r="F15" s="13" t="inlineStr">
        <is>
          <t>STAD</t>
        </is>
      </c>
      <c r="G15" s="13" t="inlineStr">
        <is>
          <t>Stadsfiets City, 7 versnellingen</t>
        </is>
      </c>
      <c r="H15" s="12" t="n">
        <v>5</v>
      </c>
      <c r="I15" s="14" t="n">
        <v>400</v>
      </c>
      <c r="J15" s="14">
        <f>H15*I15</f>
        <v/>
      </c>
      <c r="K15" s="15" t="n">
        <v>0.21</v>
      </c>
      <c r="L15" s="14">
        <f>J15*K15</f>
        <v/>
      </c>
    </row>
    <row r="16" hidden="1">
      <c r="A16" s="13" t="inlineStr">
        <is>
          <t>J2CA2</t>
        </is>
      </c>
      <c r="B16" s="13" t="inlineStr">
        <is>
          <t>CN-2027-002</t>
        </is>
      </c>
      <c r="C16" s="13" t="inlineStr">
        <is>
          <t>CN-AK</t>
        </is>
      </c>
      <c r="D16" s="13" t="n">
        <v>2</v>
      </c>
      <c r="E16" s="13" t="inlineStr">
        <is>
          <t>handelskorting</t>
        </is>
      </c>
      <c r="F16" s="13" t="n"/>
      <c r="G16" s="13" t="inlineStr">
        <is>
          <t>Handelskorting 10% op de goederen</t>
        </is>
      </c>
      <c r="H16" s="15" t="n">
        <v>0.1</v>
      </c>
      <c r="I16" s="14">
        <f>-SUMIFS(J$15:J15,E$15:E15,"artikel")</f>
        <v/>
      </c>
      <c r="J16" s="14">
        <f>H16*I16</f>
        <v/>
      </c>
      <c r="K16" s="15" t="n">
        <v>0.21</v>
      </c>
      <c r="L16" s="14">
        <f>J16*K16</f>
        <v/>
      </c>
    </row>
    <row r="17" hidden="1">
      <c r="A17" s="13" t="inlineStr">
        <is>
          <t>J2CA3</t>
        </is>
      </c>
      <c r="B17" s="13" t="inlineStr">
        <is>
          <t>CN-2027-009</t>
        </is>
      </c>
      <c r="C17" s="13" t="inlineStr">
        <is>
          <t>CN-AK</t>
        </is>
      </c>
      <c r="D17" s="13" t="n">
        <v>1</v>
      </c>
      <c r="E17" s="13" t="inlineStr">
        <is>
          <t>verpakking</t>
        </is>
      </c>
      <c r="F17" s="13" t="n"/>
      <c r="G17" s="13" t="inlineStr">
        <is>
          <t>Herbruikbaar fietsrek (waarborg)</t>
        </is>
      </c>
      <c r="H17" s="12" t="n">
        <v>2</v>
      </c>
      <c r="I17" s="14" t="n">
        <v>50</v>
      </c>
      <c r="J17" s="14">
        <f>H17*I17</f>
        <v/>
      </c>
      <c r="K17" s="15" t="n">
        <v>0</v>
      </c>
      <c r="L17" s="14">
        <f>J17*K17</f>
        <v/>
      </c>
    </row>
    <row r="18" hidden="1">
      <c r="A18" s="13" t="inlineStr">
        <is>
          <t>J2V2</t>
        </is>
      </c>
      <c r="B18" s="13" t="inlineStr">
        <is>
          <t>2027-002</t>
        </is>
      </c>
      <c r="C18" s="13" t="inlineStr">
        <is>
          <t>VK</t>
        </is>
      </c>
      <c r="D18" s="13" t="n">
        <v>1</v>
      </c>
      <c r="E18" s="13" t="inlineStr">
        <is>
          <t>dienst</t>
        </is>
      </c>
      <c r="F18" s="13" t="n"/>
      <c r="G18" s="13" t="inlineStr">
        <is>
          <t>Onderhoudsbeurt fiets (arbeid)</t>
        </is>
      </c>
      <c r="H18" s="12" t="n">
        <v>10</v>
      </c>
      <c r="I18" s="14" t="n">
        <v>60</v>
      </c>
      <c r="J18" s="14">
        <f>H18*I18</f>
        <v/>
      </c>
      <c r="K18" s="15" t="n">
        <v>0.06</v>
      </c>
      <c r="L18" s="14">
        <f>J18*K18</f>
        <v/>
      </c>
    </row>
    <row r="19" hidden="1">
      <c r="A19" s="13" t="inlineStr">
        <is>
          <t>J2V3</t>
        </is>
      </c>
      <c r="B19" s="13" t="inlineStr">
        <is>
          <t>2027-003</t>
        </is>
      </c>
      <c r="C19" s="13" t="inlineStr">
        <is>
          <t>VK</t>
        </is>
      </c>
      <c r="D19" s="13" t="n">
        <v>1</v>
      </c>
      <c r="E19" s="13" t="inlineStr">
        <is>
          <t>artikel</t>
        </is>
      </c>
      <c r="F19" s="13" t="inlineStr">
        <is>
          <t>STAD</t>
        </is>
      </c>
      <c r="G19" s="13" t="inlineStr">
        <is>
          <t>Stadsfiets City, 7 versnellingen</t>
        </is>
      </c>
      <c r="H19" s="12" t="n">
        <v>10</v>
      </c>
      <c r="I19" s="14" t="n">
        <v>600</v>
      </c>
      <c r="J19" s="14">
        <f>H19*I19</f>
        <v/>
      </c>
      <c r="K19" s="15" t="n">
        <v>0.21</v>
      </c>
      <c r="L19" s="14">
        <f>J19*K19</f>
        <v/>
      </c>
    </row>
    <row r="20" hidden="1">
      <c r="A20" s="13" t="inlineStr">
        <is>
          <t>J2V3</t>
        </is>
      </c>
      <c r="B20" s="13" t="inlineStr">
        <is>
          <t>2027-003</t>
        </is>
      </c>
      <c r="C20" s="13" t="inlineStr">
        <is>
          <t>VK</t>
        </is>
      </c>
      <c r="D20" s="13" t="n">
        <v>2</v>
      </c>
      <c r="E20" s="13" t="inlineStr">
        <is>
          <t>handelskorting</t>
        </is>
      </c>
      <c r="F20" s="13" t="n"/>
      <c r="G20" s="13" t="inlineStr">
        <is>
          <t>Handelskorting 10% op de goederen</t>
        </is>
      </c>
      <c r="H20" s="15" t="n">
        <v>0.1</v>
      </c>
      <c r="I20" s="14">
        <f>-SUMIFS(J$19:J19,E$19:E19,"artikel")</f>
        <v/>
      </c>
      <c r="J20" s="14">
        <f>H20*I20</f>
        <v/>
      </c>
      <c r="K20" s="15" t="n">
        <v>0.21</v>
      </c>
      <c r="L20" s="14">
        <f>J20*K20</f>
        <v/>
      </c>
    </row>
    <row r="21" hidden="1">
      <c r="A21" s="13" t="inlineStr">
        <is>
          <t>J2V5</t>
        </is>
      </c>
      <c r="B21" s="13" t="inlineStr">
        <is>
          <t>2027-005</t>
        </is>
      </c>
      <c r="C21" s="13" t="inlineStr">
        <is>
          <t>VK</t>
        </is>
      </c>
      <c r="D21" s="13" t="n">
        <v>1</v>
      </c>
      <c r="E21" s="13" t="inlineStr">
        <is>
          <t>artikel</t>
        </is>
      </c>
      <c r="F21" s="13" t="inlineStr">
        <is>
          <t>KIND</t>
        </is>
      </c>
      <c r="G21" s="13" t="inlineStr">
        <is>
          <t>Kinderfiets 20 inch</t>
        </is>
      </c>
      <c r="H21" s="12" t="n">
        <v>6</v>
      </c>
      <c r="I21" s="14" t="n">
        <v>250</v>
      </c>
      <c r="J21" s="14">
        <f>H21*I21</f>
        <v/>
      </c>
      <c r="K21" s="15" t="n">
        <v>0.21</v>
      </c>
      <c r="L21" s="14">
        <f>J21*K21</f>
        <v/>
      </c>
    </row>
    <row r="22" hidden="1">
      <c r="A22" s="13" t="inlineStr">
        <is>
          <t>J2V5</t>
        </is>
      </c>
      <c r="B22" s="13" t="inlineStr">
        <is>
          <t>2027-005</t>
        </is>
      </c>
      <c r="C22" s="13" t="inlineStr">
        <is>
          <t>VK</t>
        </is>
      </c>
      <c r="D22" s="13" t="n">
        <v>2</v>
      </c>
      <c r="E22" s="13" t="inlineStr">
        <is>
          <t>kosten</t>
        </is>
      </c>
      <c r="F22" s="13" t="n"/>
      <c r="G22" s="13" t="inlineStr">
        <is>
          <t>Leveringskosten</t>
        </is>
      </c>
      <c r="H22" s="12" t="n">
        <v>1</v>
      </c>
      <c r="I22" s="14" t="n">
        <v>100</v>
      </c>
      <c r="J22" s="14">
        <f>H22*I22</f>
        <v/>
      </c>
      <c r="K22" s="15" t="n">
        <v>0.21</v>
      </c>
      <c r="L22" s="14">
        <f>J22*K22</f>
        <v/>
      </c>
    </row>
    <row r="23" hidden="1">
      <c r="A23" s="13" t="inlineStr">
        <is>
          <t>J2V7</t>
        </is>
      </c>
      <c r="B23" s="13" t="inlineStr">
        <is>
          <t>2027-007</t>
        </is>
      </c>
      <c r="C23" s="13" t="inlineStr">
        <is>
          <t>VK</t>
        </is>
      </c>
      <c r="D23" s="13" t="n">
        <v>1</v>
      </c>
      <c r="E23" s="13" t="inlineStr">
        <is>
          <t>artikel</t>
        </is>
      </c>
      <c r="F23" s="13" t="inlineStr">
        <is>
          <t>STAD</t>
        </is>
      </c>
      <c r="G23" s="13" t="inlineStr">
        <is>
          <t>Stadsfiets City, 7 versnellingen</t>
        </is>
      </c>
      <c r="H23" s="12" t="n">
        <v>6</v>
      </c>
      <c r="I23" s="14" t="n">
        <v>600</v>
      </c>
      <c r="J23" s="14">
        <f>H23*I23</f>
        <v/>
      </c>
      <c r="K23" s="15" t="n">
        <v>0.21</v>
      </c>
      <c r="L23" s="14">
        <f>J23*K23</f>
        <v/>
      </c>
    </row>
    <row r="24" hidden="1">
      <c r="A24" s="13" t="inlineStr">
        <is>
          <t>J2V7</t>
        </is>
      </c>
      <c r="B24" s="13" t="inlineStr">
        <is>
          <t>2027-007</t>
        </is>
      </c>
      <c r="C24" s="13" t="inlineStr">
        <is>
          <t>VK</t>
        </is>
      </c>
      <c r="D24" s="13" t="n">
        <v>2</v>
      </c>
      <c r="E24" s="13" t="inlineStr">
        <is>
          <t>verpakking</t>
        </is>
      </c>
      <c r="F24" s="13" t="n"/>
      <c r="G24" s="13" t="inlineStr">
        <is>
          <t>Herbruikbaar fietsrek (waarborg)</t>
        </is>
      </c>
      <c r="H24" s="12" t="n">
        <v>3</v>
      </c>
      <c r="I24" s="14" t="n">
        <v>50</v>
      </c>
      <c r="J24" s="14">
        <f>H24*I24</f>
        <v/>
      </c>
      <c r="K24" s="15" t="n">
        <v>0</v>
      </c>
      <c r="L24" s="14">
        <f>J24*K24</f>
        <v/>
      </c>
    </row>
    <row r="25" hidden="1">
      <c r="A25" s="13" t="inlineStr">
        <is>
          <t>J2V9</t>
        </is>
      </c>
      <c r="B25" s="13" t="inlineStr">
        <is>
          <t>2027-025</t>
        </is>
      </c>
      <c r="C25" s="13" t="inlineStr">
        <is>
          <t>VK</t>
        </is>
      </c>
      <c r="D25" s="13" t="n">
        <v>1</v>
      </c>
      <c r="E25" s="13" t="inlineStr">
        <is>
          <t>artikel</t>
        </is>
      </c>
      <c r="F25" s="13" t="inlineStr">
        <is>
          <t>EBIKE</t>
        </is>
      </c>
      <c r="G25" s="13" t="inlineStr">
        <is>
          <t>E-bike Comfort, 500 Wh</t>
        </is>
      </c>
      <c r="H25" s="12" t="n">
        <v>1</v>
      </c>
      <c r="I25" s="14" t="n">
        <v>2000</v>
      </c>
      <c r="J25" s="14">
        <f>H25*I25</f>
        <v/>
      </c>
      <c r="K25" s="15" t="n">
        <v>0.21</v>
      </c>
      <c r="L25" s="14">
        <f>J25*K25</f>
        <v/>
      </c>
    </row>
    <row r="26" hidden="1">
      <c r="A26" s="13" t="inlineStr">
        <is>
          <t>J2V9</t>
        </is>
      </c>
      <c r="B26" s="13" t="inlineStr">
        <is>
          <t>2027-025</t>
        </is>
      </c>
      <c r="C26" s="13" t="inlineStr">
        <is>
          <t>VK</t>
        </is>
      </c>
      <c r="D26" s="13" t="n">
        <v>2</v>
      </c>
      <c r="E26" s="13" t="inlineStr">
        <is>
          <t>artikel</t>
        </is>
      </c>
      <c r="F26" s="13" t="inlineStr">
        <is>
          <t>KIND</t>
        </is>
      </c>
      <c r="G26" s="13" t="inlineStr">
        <is>
          <t>Kinderfiets 20 inch</t>
        </is>
      </c>
      <c r="H26" s="12" t="n">
        <v>2</v>
      </c>
      <c r="I26" s="14" t="n">
        <v>250</v>
      </c>
      <c r="J26" s="14">
        <f>H26*I26</f>
        <v/>
      </c>
      <c r="K26" s="15" t="n">
        <v>0.21</v>
      </c>
      <c r="L26" s="14">
        <f>J26*K26</f>
        <v/>
      </c>
    </row>
    <row r="27" hidden="1">
      <c r="A27" s="13" t="inlineStr">
        <is>
          <t>J2V9</t>
        </is>
      </c>
      <c r="B27" s="13" t="inlineStr">
        <is>
          <t>2027-025</t>
        </is>
      </c>
      <c r="C27" s="13" t="inlineStr">
        <is>
          <t>VK</t>
        </is>
      </c>
      <c r="D27" s="13" t="n">
        <v>3</v>
      </c>
      <c r="E27" s="13" t="inlineStr">
        <is>
          <t>financiële korting</t>
        </is>
      </c>
      <c r="F27" s="13" t="n"/>
      <c r="G27" s="13" t="inlineStr">
        <is>
          <t>Financiële korting 4% bij betaling binnen 10 dagen (btw berekend na korting)</t>
        </is>
      </c>
      <c r="H27" s="15" t="n">
        <v>0.04</v>
      </c>
      <c r="I27" s="14">
        <f>-SUMIFS(J$25:J26,E$25:E26,"&lt;&gt;verpakking")</f>
        <v/>
      </c>
      <c r="J27" s="14">
        <f>H27*I27</f>
        <v/>
      </c>
      <c r="K27" s="15" t="n">
        <v>0.21</v>
      </c>
      <c r="L27" s="14">
        <f>J27*K27</f>
        <v/>
      </c>
    </row>
    <row r="28" hidden="1">
      <c r="A28" s="13" t="inlineStr">
        <is>
          <t>J2CV2</t>
        </is>
      </c>
      <c r="B28" s="13" t="inlineStr">
        <is>
          <t>CN-2027-002</t>
        </is>
      </c>
      <c r="C28" s="13" t="inlineStr">
        <is>
          <t>CN-VK</t>
        </is>
      </c>
      <c r="D28" s="13" t="n">
        <v>1</v>
      </c>
      <c r="E28" s="13" t="inlineStr">
        <is>
          <t>artikel</t>
        </is>
      </c>
      <c r="F28" s="13" t="inlineStr">
        <is>
          <t>STAD</t>
        </is>
      </c>
      <c r="G28" s="13" t="inlineStr">
        <is>
          <t>Stadsfiets City, 7 versnellingen</t>
        </is>
      </c>
      <c r="H28" s="12" t="n">
        <v>5</v>
      </c>
      <c r="I28" s="14" t="n">
        <v>600</v>
      </c>
      <c r="J28" s="14">
        <f>H28*I28</f>
        <v/>
      </c>
      <c r="K28" s="15" t="n">
        <v>0.21</v>
      </c>
      <c r="L28" s="14">
        <f>J28*K28</f>
        <v/>
      </c>
    </row>
    <row r="29" hidden="1">
      <c r="A29" s="13" t="inlineStr">
        <is>
          <t>J2CV2</t>
        </is>
      </c>
      <c r="B29" s="13" t="inlineStr">
        <is>
          <t>CN-2027-002</t>
        </is>
      </c>
      <c r="C29" s="13" t="inlineStr">
        <is>
          <t>CN-VK</t>
        </is>
      </c>
      <c r="D29" s="13" t="n">
        <v>2</v>
      </c>
      <c r="E29" s="13" t="inlineStr">
        <is>
          <t>handelskorting</t>
        </is>
      </c>
      <c r="F29" s="13" t="n"/>
      <c r="G29" s="13" t="inlineStr">
        <is>
          <t>Handelskorting 10% op de goederen</t>
        </is>
      </c>
      <c r="H29" s="15" t="n">
        <v>0.1</v>
      </c>
      <c r="I29" s="14">
        <f>-SUMIFS(J$28:J28,E$28:E28,"artikel")</f>
        <v/>
      </c>
      <c r="J29" s="14">
        <f>H29*I29</f>
        <v/>
      </c>
      <c r="K29" s="15" t="n">
        <v>0.21</v>
      </c>
      <c r="L29" s="14">
        <f>J29*K29</f>
        <v/>
      </c>
    </row>
    <row r="30" hidden="1">
      <c r="A30" s="13" t="inlineStr">
        <is>
          <t>J2CV3</t>
        </is>
      </c>
      <c r="B30" s="13" t="inlineStr">
        <is>
          <t>CN-2027-003</t>
        </is>
      </c>
      <c r="C30" s="13" t="inlineStr">
        <is>
          <t>CN-VK</t>
        </is>
      </c>
      <c r="D30" s="13" t="n">
        <v>1</v>
      </c>
      <c r="E30" s="13" t="inlineStr">
        <is>
          <t>verpakking</t>
        </is>
      </c>
      <c r="F30" s="13" t="n"/>
      <c r="G30" s="13" t="inlineStr">
        <is>
          <t>Herbruikbaar fietsrek (waarborg)</t>
        </is>
      </c>
      <c r="H30" s="12" t="n">
        <v>3</v>
      </c>
      <c r="I30" s="14" t="n">
        <v>50</v>
      </c>
      <c r="J30" s="14">
        <f>H30*I30</f>
        <v/>
      </c>
      <c r="K30" s="15" t="n">
        <v>0</v>
      </c>
      <c r="L30" s="14">
        <f>J30*K30</f>
        <v/>
      </c>
    </row>
    <row r="31" hidden="1">
      <c r="A31" s="13" t="inlineStr">
        <is>
          <t>J2D1</t>
        </is>
      </c>
      <c r="B31" s="13" t="inlineStr">
        <is>
          <t>DO-2027-01</t>
        </is>
      </c>
      <c r="C31" s="13" t="inlineStr">
        <is>
          <t>DO</t>
        </is>
      </c>
      <c r="D31" s="13" t="n">
        <v>1</v>
      </c>
      <c r="E31" s="13" t="inlineStr">
        <is>
          <t>artikel</t>
        </is>
      </c>
      <c r="F31" s="13" t="inlineStr">
        <is>
          <t>STAD</t>
        </is>
      </c>
      <c r="G31" s="13" t="inlineStr">
        <is>
          <t>Stadsfiets City, 7 versnellingen</t>
        </is>
      </c>
      <c r="H31" s="12" t="n">
        <v>2</v>
      </c>
      <c r="I31" s="14" t="n">
        <v>600</v>
      </c>
      <c r="J31" s="14">
        <f>H31*I31</f>
        <v/>
      </c>
      <c r="K31" s="15" t="n">
        <v>0.21</v>
      </c>
      <c r="L31" s="14">
        <f>J31*K31</f>
        <v/>
      </c>
    </row>
    <row r="32" hidden="1">
      <c r="A32" s="13" t="inlineStr">
        <is>
          <t>J2D1</t>
        </is>
      </c>
      <c r="B32" s="13" t="inlineStr">
        <is>
          <t>DO-2027-01</t>
        </is>
      </c>
      <c r="C32" s="13" t="inlineStr">
        <is>
          <t>DO</t>
        </is>
      </c>
      <c r="D32" s="13" t="n">
        <v>2</v>
      </c>
      <c r="E32" s="13" t="inlineStr">
        <is>
          <t>artikel</t>
        </is>
      </c>
      <c r="F32" s="13" t="inlineStr">
        <is>
          <t>BAND</t>
        </is>
      </c>
      <c r="G32" s="13" t="inlineStr">
        <is>
          <t>Buitenband 28 inch</t>
        </is>
      </c>
      <c r="H32" s="12" t="n">
        <v>4</v>
      </c>
      <c r="I32" s="14" t="n">
        <v>25</v>
      </c>
      <c r="J32" s="14">
        <f>H32*I32</f>
        <v/>
      </c>
      <c r="K32" s="15" t="n">
        <v>0.21</v>
      </c>
      <c r="L32" s="14">
        <f>J32*K32</f>
        <v/>
      </c>
    </row>
    <row r="33" hidden="1">
      <c r="A33" s="13" t="inlineStr">
        <is>
          <t>J2D1</t>
        </is>
      </c>
      <c r="B33" s="13" t="inlineStr">
        <is>
          <t>DO-2027-01</t>
        </is>
      </c>
      <c r="C33" s="13" t="inlineStr">
        <is>
          <t>DO</t>
        </is>
      </c>
      <c r="D33" s="13" t="n">
        <v>3</v>
      </c>
      <c r="E33" s="13" t="inlineStr">
        <is>
          <t>dienst</t>
        </is>
      </c>
      <c r="F33" s="13" t="n"/>
      <c r="G33" s="13" t="inlineStr">
        <is>
          <t>Herstelling fiets (arbeid)</t>
        </is>
      </c>
      <c r="H33" s="12" t="n">
        <v>6</v>
      </c>
      <c r="I33" s="14" t="n">
        <v>50</v>
      </c>
      <c r="J33" s="14">
        <f>H33*I33</f>
        <v/>
      </c>
      <c r="K33" s="15" t="n">
        <v>0.06</v>
      </c>
      <c r="L33" s="14">
        <f>J33*K33</f>
        <v/>
      </c>
    </row>
    <row r="34" hidden="1">
      <c r="A34" s="13" t="inlineStr">
        <is>
          <t>J2Q2A1</t>
        </is>
      </c>
      <c r="B34" s="13" t="inlineStr">
        <is>
          <t>2027-198</t>
        </is>
      </c>
      <c r="C34" s="13" t="inlineStr">
        <is>
          <t>AK</t>
        </is>
      </c>
      <c r="D34" s="13" t="n">
        <v>1</v>
      </c>
      <c r="E34" s="13" t="inlineStr">
        <is>
          <t>artikel</t>
        </is>
      </c>
      <c r="F34" s="13" t="inlineStr">
        <is>
          <t>STAD</t>
        </is>
      </c>
      <c r="G34" s="13" t="inlineStr">
        <is>
          <t>Stadsfiets City, 7 versnellingen</t>
        </is>
      </c>
      <c r="H34" s="12" t="n">
        <v>15</v>
      </c>
      <c r="I34" s="14" t="n">
        <v>400</v>
      </c>
      <c r="J34" s="14">
        <f>H34*I34</f>
        <v/>
      </c>
      <c r="K34" s="15" t="n">
        <v>0.21</v>
      </c>
      <c r="L34" s="14">
        <f>J34*K34</f>
        <v/>
      </c>
    </row>
    <row r="35" hidden="1">
      <c r="A35" s="13" t="inlineStr">
        <is>
          <t>J2Q2A1</t>
        </is>
      </c>
      <c r="B35" s="13" t="inlineStr">
        <is>
          <t>2027-198</t>
        </is>
      </c>
      <c r="C35" s="13" t="inlineStr">
        <is>
          <t>AK</t>
        </is>
      </c>
      <c r="D35" s="13" t="n">
        <v>2</v>
      </c>
      <c r="E35" s="13" t="inlineStr">
        <is>
          <t>verpakking</t>
        </is>
      </c>
      <c r="F35" s="13" t="n"/>
      <c r="G35" s="13" t="inlineStr">
        <is>
          <t>Herbruikbaar fietsrek (waarborg)</t>
        </is>
      </c>
      <c r="H35" s="12" t="n">
        <v>4</v>
      </c>
      <c r="I35" s="14" t="n">
        <v>50</v>
      </c>
      <c r="J35" s="14">
        <f>H35*I35</f>
        <v/>
      </c>
      <c r="K35" s="15" t="n">
        <v>0</v>
      </c>
      <c r="L35" s="14">
        <f>J35*K35</f>
        <v/>
      </c>
    </row>
    <row r="36" hidden="1">
      <c r="A36" s="13" t="inlineStr">
        <is>
          <t>J2Q2A1</t>
        </is>
      </c>
      <c r="B36" s="13" t="inlineStr">
        <is>
          <t>2027-198</t>
        </is>
      </c>
      <c r="C36" s="13" t="inlineStr">
        <is>
          <t>AK</t>
        </is>
      </c>
      <c r="D36" s="13" t="n">
        <v>3</v>
      </c>
      <c r="E36" s="13" t="inlineStr">
        <is>
          <t>handelskorting</t>
        </is>
      </c>
      <c r="F36" s="13" t="n"/>
      <c r="G36" s="13" t="inlineStr">
        <is>
          <t>Handelskorting 10% op de goederen</t>
        </is>
      </c>
      <c r="H36" s="15" t="n">
        <v>0.1</v>
      </c>
      <c r="I36" s="14">
        <f>-SUMIFS(J$34:J35,E$34:E35,"artikel")</f>
        <v/>
      </c>
      <c r="J36" s="14">
        <f>H36*I36</f>
        <v/>
      </c>
      <c r="K36" s="15" t="n">
        <v>0.21</v>
      </c>
      <c r="L36" s="14">
        <f>J36*K36</f>
        <v/>
      </c>
    </row>
    <row r="37" hidden="1">
      <c r="A37" s="13" t="inlineStr">
        <is>
          <t>J2Q2A2</t>
        </is>
      </c>
      <c r="B37" s="13" t="inlineStr">
        <is>
          <t>SK-27-1104</t>
        </is>
      </c>
      <c r="C37" s="13" t="inlineStr">
        <is>
          <t>AK</t>
        </is>
      </c>
      <c r="D37" s="13" t="n">
        <v>1</v>
      </c>
      <c r="E37" s="13" t="inlineStr">
        <is>
          <t>dienst</t>
        </is>
      </c>
      <c r="F37" s="13" t="n"/>
      <c r="G37" s="13" t="inlineStr">
        <is>
          <t>Elektriciteit januari-maart 2027</t>
        </is>
      </c>
      <c r="H37" s="12" t="n">
        <v>1</v>
      </c>
      <c r="I37" s="14" t="n">
        <v>600</v>
      </c>
      <c r="J37" s="14">
        <f>H37*I37</f>
        <v/>
      </c>
      <c r="K37" s="15" t="n">
        <v>0.21</v>
      </c>
      <c r="L37" s="14">
        <f>J37*K37</f>
        <v/>
      </c>
    </row>
    <row r="38" hidden="1">
      <c r="A38" s="13" t="inlineStr">
        <is>
          <t>J2Q2CA1</t>
        </is>
      </c>
      <c r="B38" s="13" t="inlineStr">
        <is>
          <t>CN-2027-021</t>
        </is>
      </c>
      <c r="C38" s="13" t="inlineStr">
        <is>
          <t>CN-AK</t>
        </is>
      </c>
      <c r="D38" s="13" t="n">
        <v>1</v>
      </c>
      <c r="E38" s="13" t="inlineStr">
        <is>
          <t>artikel</t>
        </is>
      </c>
      <c r="F38" s="13" t="inlineStr">
        <is>
          <t>STAD</t>
        </is>
      </c>
      <c r="G38" s="13" t="inlineStr">
        <is>
          <t>Stadsfiets City, 7 versnellingen</t>
        </is>
      </c>
      <c r="H38" s="12" t="n">
        <v>5</v>
      </c>
      <c r="I38" s="14" t="n">
        <v>400</v>
      </c>
      <c r="J38" s="14">
        <f>H38*I38</f>
        <v/>
      </c>
      <c r="K38" s="15" t="n">
        <v>0.21</v>
      </c>
      <c r="L38" s="14">
        <f>J38*K38</f>
        <v/>
      </c>
    </row>
    <row r="39" hidden="1">
      <c r="A39" s="13" t="inlineStr">
        <is>
          <t>J2Q2CA1</t>
        </is>
      </c>
      <c r="B39" s="13" t="inlineStr">
        <is>
          <t>CN-2027-021</t>
        </is>
      </c>
      <c r="C39" s="13" t="inlineStr">
        <is>
          <t>CN-AK</t>
        </is>
      </c>
      <c r="D39" s="13" t="n">
        <v>2</v>
      </c>
      <c r="E39" s="13" t="inlineStr">
        <is>
          <t>handelskorting</t>
        </is>
      </c>
      <c r="F39" s="13" t="n"/>
      <c r="G39" s="13" t="inlineStr">
        <is>
          <t>Handelskorting 10% op de goederen</t>
        </is>
      </c>
      <c r="H39" s="15" t="n">
        <v>0.1</v>
      </c>
      <c r="I39" s="14">
        <f>-SUMIFS(J$38:J38,E$38:E38,"artikel")</f>
        <v/>
      </c>
      <c r="J39" s="14">
        <f>H39*I39</f>
        <v/>
      </c>
      <c r="K39" s="15" t="n">
        <v>0.21</v>
      </c>
      <c r="L39" s="14">
        <f>J39*K39</f>
        <v/>
      </c>
    </row>
    <row r="40" hidden="1">
      <c r="A40" s="13" t="inlineStr">
        <is>
          <t>J2Q2A4</t>
        </is>
      </c>
      <c r="B40" s="13" t="inlineStr">
        <is>
          <t>HH-27-102</t>
        </is>
      </c>
      <c r="C40" s="13" t="inlineStr">
        <is>
          <t>AK</t>
        </is>
      </c>
      <c r="D40" s="13" t="n">
        <v>1</v>
      </c>
      <c r="E40" s="13" t="inlineStr">
        <is>
          <t>artikel</t>
        </is>
      </c>
      <c r="F40" s="13" t="inlineStr">
        <is>
          <t>HELM</t>
        </is>
      </c>
      <c r="G40" s="13" t="inlineStr">
        <is>
          <t>Fietshelm Urban</t>
        </is>
      </c>
      <c r="H40" s="12" t="n">
        <v>30</v>
      </c>
      <c r="I40" s="14" t="n">
        <v>30</v>
      </c>
      <c r="J40" s="14">
        <f>H40*I40</f>
        <v/>
      </c>
      <c r="K40" s="15" t="n">
        <v>0.21</v>
      </c>
      <c r="L40" s="14">
        <f>J40*K40</f>
        <v/>
      </c>
    </row>
    <row r="41" hidden="1">
      <c r="A41" s="13" t="inlineStr">
        <is>
          <t>J2Q2A4</t>
        </is>
      </c>
      <c r="B41" s="13" t="inlineStr">
        <is>
          <t>HH-27-102</t>
        </is>
      </c>
      <c r="C41" s="13" t="inlineStr">
        <is>
          <t>AK</t>
        </is>
      </c>
      <c r="D41" s="13" t="n">
        <v>2</v>
      </c>
      <c r="E41" s="13" t="inlineStr">
        <is>
          <t>artikel</t>
        </is>
      </c>
      <c r="F41" s="13" t="inlineStr">
        <is>
          <t>SLOT</t>
        </is>
      </c>
      <c r="G41" s="13" t="inlineStr">
        <is>
          <t>Plooislot</t>
        </is>
      </c>
      <c r="H41" s="12" t="n">
        <v>5</v>
      </c>
      <c r="I41" s="14" t="n">
        <v>20</v>
      </c>
      <c r="J41" s="14">
        <f>H41*I41</f>
        <v/>
      </c>
      <c r="K41" s="15" t="n">
        <v>0.21</v>
      </c>
      <c r="L41" s="14">
        <f>J41*K41</f>
        <v/>
      </c>
    </row>
    <row r="42" hidden="1">
      <c r="A42" s="13" t="inlineStr">
        <is>
          <t>J2Q2A4</t>
        </is>
      </c>
      <c r="B42" s="13" t="inlineStr">
        <is>
          <t>HH-27-102</t>
        </is>
      </c>
      <c r="C42" s="13" t="inlineStr">
        <is>
          <t>AK</t>
        </is>
      </c>
      <c r="D42" s="13" t="n">
        <v>3</v>
      </c>
      <c r="E42" s="13" t="inlineStr">
        <is>
          <t>kosten</t>
        </is>
      </c>
      <c r="F42" s="13" t="n"/>
      <c r="G42" s="13" t="inlineStr">
        <is>
          <t>Transportkosten</t>
        </is>
      </c>
      <c r="H42" s="12" t="n">
        <v>1</v>
      </c>
      <c r="I42" s="14" t="n">
        <v>100</v>
      </c>
      <c r="J42" s="14">
        <f>H42*I42</f>
        <v/>
      </c>
      <c r="K42" s="15" t="n">
        <v>0.21</v>
      </c>
      <c r="L42" s="14">
        <f>J42*K42</f>
        <v/>
      </c>
    </row>
    <row r="43" hidden="1">
      <c r="A43" s="13" t="inlineStr">
        <is>
          <t>J2Q2A7</t>
        </is>
      </c>
      <c r="B43" s="13" t="inlineStr">
        <is>
          <t>2027-244</t>
        </is>
      </c>
      <c r="C43" s="13" t="inlineStr">
        <is>
          <t>AK</t>
        </is>
      </c>
      <c r="D43" s="13" t="n">
        <v>1</v>
      </c>
      <c r="E43" s="13" t="inlineStr">
        <is>
          <t>artikel</t>
        </is>
      </c>
      <c r="F43" s="13" t="inlineStr">
        <is>
          <t>STAD</t>
        </is>
      </c>
      <c r="G43" s="13" t="inlineStr">
        <is>
          <t>Stadsfiets City, 7 versnellingen</t>
        </is>
      </c>
      <c r="H43" s="12" t="n">
        <v>5</v>
      </c>
      <c r="I43" s="14" t="n">
        <v>400</v>
      </c>
      <c r="J43" s="14">
        <f>H43*I43</f>
        <v/>
      </c>
      <c r="K43" s="15" t="n">
        <v>0.21</v>
      </c>
      <c r="L43" s="14">
        <f>J43*K43</f>
        <v/>
      </c>
    </row>
    <row r="44" hidden="1">
      <c r="A44" s="13" t="inlineStr">
        <is>
          <t>J2Q2A7</t>
        </is>
      </c>
      <c r="B44" s="13" t="inlineStr">
        <is>
          <t>2027-244</t>
        </is>
      </c>
      <c r="C44" s="13" t="inlineStr">
        <is>
          <t>AK</t>
        </is>
      </c>
      <c r="D44" s="13" t="n">
        <v>2</v>
      </c>
      <c r="E44" s="13" t="inlineStr">
        <is>
          <t>financiële korting</t>
        </is>
      </c>
      <c r="F44" s="13" t="n"/>
      <c r="G44" s="13" t="inlineStr">
        <is>
          <t>Financiële korting 5% bij betaling binnen 10 dagen (btw berekend na korting)</t>
        </is>
      </c>
      <c r="H44" s="15" t="n">
        <v>0.05</v>
      </c>
      <c r="I44" s="14">
        <f>-SUMIFS(J$43:J43,E$43:E43,"&lt;&gt;verpakking")</f>
        <v/>
      </c>
      <c r="J44" s="14">
        <f>H44*I44</f>
        <v/>
      </c>
      <c r="K44" s="15" t="n">
        <v>0.21</v>
      </c>
      <c r="L44" s="14">
        <f>J44*K44</f>
        <v/>
      </c>
    </row>
    <row r="45">
      <c r="A45" s="13" t="inlineStr">
        <is>
          <t>J2Q2A5</t>
        </is>
      </c>
      <c r="B45" s="13" t="inlineStr">
        <is>
          <t>2027-260</t>
        </is>
      </c>
      <c r="C45" s="13" t="inlineStr">
        <is>
          <t>AK</t>
        </is>
      </c>
      <c r="D45" s="13" t="n">
        <v>1</v>
      </c>
      <c r="E45" s="13" t="inlineStr">
        <is>
          <t>artikel</t>
        </is>
      </c>
      <c r="F45" s="13" t="inlineStr">
        <is>
          <t>BAK</t>
        </is>
      </c>
      <c r="G45" s="13" t="inlineStr">
        <is>
          <t>Bakfiets Cargo, 2 wielen</t>
        </is>
      </c>
      <c r="H45" s="12" t="n">
        <v>1</v>
      </c>
      <c r="I45" s="14" t="n">
        <v>1800</v>
      </c>
      <c r="J45" s="14">
        <f>H45*I45</f>
        <v/>
      </c>
      <c r="K45" s="15" t="n">
        <v>0.21</v>
      </c>
      <c r="L45" s="14">
        <f>J45*K45</f>
        <v/>
      </c>
    </row>
    <row r="46">
      <c r="A46" s="13" t="inlineStr">
        <is>
          <t>J2Q2A5</t>
        </is>
      </c>
      <c r="B46" s="13" t="inlineStr">
        <is>
          <t>2027-260</t>
        </is>
      </c>
      <c r="C46" s="13" t="inlineStr">
        <is>
          <t>AK</t>
        </is>
      </c>
      <c r="D46" s="13" t="n">
        <v>2</v>
      </c>
      <c r="E46" s="13" t="inlineStr">
        <is>
          <t>artikel</t>
        </is>
      </c>
      <c r="F46" s="13" t="inlineStr">
        <is>
          <t>KIND</t>
        </is>
      </c>
      <c r="G46" s="13" t="inlineStr">
        <is>
          <t>Kinderfiets 20 inch</t>
        </is>
      </c>
      <c r="H46" s="12" t="n">
        <v>8</v>
      </c>
      <c r="I46" s="14" t="n">
        <v>150</v>
      </c>
      <c r="J46" s="14">
        <f>H46*I46</f>
        <v/>
      </c>
      <c r="K46" s="15" t="n">
        <v>0.21</v>
      </c>
      <c r="L46" s="14">
        <f>J46*K46</f>
        <v/>
      </c>
    </row>
    <row r="47">
      <c r="A47" s="13" t="inlineStr">
        <is>
          <t>J2Q2A5</t>
        </is>
      </c>
      <c r="B47" s="13" t="inlineStr">
        <is>
          <t>2027-260</t>
        </is>
      </c>
      <c r="C47" s="13" t="inlineStr">
        <is>
          <t>AK</t>
        </is>
      </c>
      <c r="D47" s="13" t="n">
        <v>3</v>
      </c>
      <c r="E47" s="13" t="inlineStr">
        <is>
          <t>kosten</t>
        </is>
      </c>
      <c r="F47" s="13" t="n"/>
      <c r="G47" s="13" t="inlineStr">
        <is>
          <t>Leveringskosten</t>
        </is>
      </c>
      <c r="H47" s="12" t="n">
        <v>1</v>
      </c>
      <c r="I47" s="14" t="n">
        <v>100</v>
      </c>
      <c r="J47" s="14">
        <f>H47*I47</f>
        <v/>
      </c>
      <c r="K47" s="15" t="n">
        <v>0.21</v>
      </c>
      <c r="L47" s="14">
        <f>J47*K47</f>
        <v/>
      </c>
    </row>
    <row r="48">
      <c r="A48" s="13" t="inlineStr">
        <is>
          <t>J2Q2A5</t>
        </is>
      </c>
      <c r="B48" s="13" t="inlineStr">
        <is>
          <t>2027-260</t>
        </is>
      </c>
      <c r="C48" s="13" t="inlineStr">
        <is>
          <t>AK</t>
        </is>
      </c>
      <c r="D48" s="13" t="n">
        <v>4</v>
      </c>
      <c r="E48" s="13" t="inlineStr">
        <is>
          <t>verpakking</t>
        </is>
      </c>
      <c r="F48" s="13" t="n"/>
      <c r="G48" s="13" t="inlineStr">
        <is>
          <t>Herbruikbaar fietsrek (waarborg)</t>
        </is>
      </c>
      <c r="H48" s="12" t="n">
        <v>2</v>
      </c>
      <c r="I48" s="14" t="n">
        <v>50</v>
      </c>
      <c r="J48" s="14">
        <f>H48*I48</f>
        <v/>
      </c>
      <c r="K48" s="15" t="n">
        <v>0</v>
      </c>
      <c r="L48" s="14">
        <f>J48*K48</f>
        <v/>
      </c>
    </row>
    <row r="49">
      <c r="A49" s="13" t="inlineStr">
        <is>
          <t>J2Q2A5</t>
        </is>
      </c>
      <c r="B49" s="13" t="inlineStr">
        <is>
          <t>2027-260</t>
        </is>
      </c>
      <c r="C49" s="13" t="inlineStr">
        <is>
          <t>AK</t>
        </is>
      </c>
      <c r="D49" s="13" t="n">
        <v>5</v>
      </c>
      <c r="E49" s="13" t="inlineStr">
        <is>
          <t>handelskorting</t>
        </is>
      </c>
      <c r="F49" s="13" t="n"/>
      <c r="G49" s="13" t="inlineStr">
        <is>
          <t>Handelskorting 10% op de goederen</t>
        </is>
      </c>
      <c r="H49" s="15" t="n">
        <v>0.1</v>
      </c>
      <c r="I49" s="14">
        <f>-SUMIFS(J$45:J48,E$45:E48,"artikel")</f>
        <v/>
      </c>
      <c r="J49" s="14">
        <f>H49*I49</f>
        <v/>
      </c>
      <c r="K49" s="15" t="n">
        <v>0.21</v>
      </c>
      <c r="L49" s="14">
        <f>J49*K49</f>
        <v/>
      </c>
    </row>
    <row r="50" hidden="1">
      <c r="A50" s="13" t="inlineStr">
        <is>
          <t>J2Q2CA2</t>
        </is>
      </c>
      <c r="B50" s="13" t="inlineStr">
        <is>
          <t>CN-2027-030</t>
        </is>
      </c>
      <c r="C50" s="13" t="inlineStr">
        <is>
          <t>CN-AK</t>
        </is>
      </c>
      <c r="D50" s="13" t="n">
        <v>1</v>
      </c>
      <c r="E50" s="13" t="inlineStr">
        <is>
          <t>verpakking</t>
        </is>
      </c>
      <c r="F50" s="13" t="n"/>
      <c r="G50" s="13" t="inlineStr">
        <is>
          <t>Herbruikbaar fietsrek (waarborg)</t>
        </is>
      </c>
      <c r="H50" s="12" t="n">
        <v>4</v>
      </c>
      <c r="I50" s="14" t="n">
        <v>50</v>
      </c>
      <c r="J50" s="14">
        <f>H50*I50</f>
        <v/>
      </c>
      <c r="K50" s="15" t="n">
        <v>0</v>
      </c>
      <c r="L50" s="14">
        <f>J50*K50</f>
        <v/>
      </c>
    </row>
    <row r="51" hidden="1">
      <c r="A51" s="13" t="inlineStr">
        <is>
          <t>J2Q2V1</t>
        </is>
      </c>
      <c r="B51" s="13" t="inlineStr">
        <is>
          <t>2027-009</t>
        </is>
      </c>
      <c r="C51" s="13" t="inlineStr">
        <is>
          <t>VK</t>
        </is>
      </c>
      <c r="D51" s="13" t="n">
        <v>1</v>
      </c>
      <c r="E51" s="13" t="inlineStr">
        <is>
          <t>artikel</t>
        </is>
      </c>
      <c r="F51" s="13" t="inlineStr">
        <is>
          <t>EBIKE</t>
        </is>
      </c>
      <c r="G51" s="13" t="inlineStr">
        <is>
          <t>E-bike Comfort, 500 Wh</t>
        </is>
      </c>
      <c r="H51" s="12" t="n">
        <v>2</v>
      </c>
      <c r="I51" s="14" t="n">
        <v>2000</v>
      </c>
      <c r="J51" s="14">
        <f>H51*I51</f>
        <v/>
      </c>
      <c r="K51" s="15" t="n">
        <v>0.21</v>
      </c>
      <c r="L51" s="14">
        <f>J51*K51</f>
        <v/>
      </c>
    </row>
    <row r="52" hidden="1">
      <c r="A52" s="13" t="inlineStr">
        <is>
          <t>J2Q2V1</t>
        </is>
      </c>
      <c r="B52" s="13" t="inlineStr">
        <is>
          <t>2027-009</t>
        </is>
      </c>
      <c r="C52" s="13" t="inlineStr">
        <is>
          <t>VK</t>
        </is>
      </c>
      <c r="D52" s="13" t="n">
        <v>2</v>
      </c>
      <c r="E52" s="13" t="inlineStr">
        <is>
          <t>artikel</t>
        </is>
      </c>
      <c r="F52" s="13" t="inlineStr">
        <is>
          <t>HELM</t>
        </is>
      </c>
      <c r="G52" s="13" t="inlineStr">
        <is>
          <t>Fietshelm Urban</t>
        </is>
      </c>
      <c r="H52" s="12" t="n">
        <v>4</v>
      </c>
      <c r="I52" s="14" t="n">
        <v>50</v>
      </c>
      <c r="J52" s="14">
        <f>H52*I52</f>
        <v/>
      </c>
      <c r="K52" s="15" t="n">
        <v>0.21</v>
      </c>
      <c r="L52" s="14">
        <f>J52*K52</f>
        <v/>
      </c>
    </row>
    <row r="53" hidden="1">
      <c r="A53" s="13" t="inlineStr">
        <is>
          <t>J2Q2V2</t>
        </is>
      </c>
      <c r="B53" s="13" t="inlineStr">
        <is>
          <t>2027-010</t>
        </is>
      </c>
      <c r="C53" s="13" t="inlineStr">
        <is>
          <t>VK</t>
        </is>
      </c>
      <c r="D53" s="13" t="n">
        <v>1</v>
      </c>
      <c r="E53" s="13" t="inlineStr">
        <is>
          <t>artikel</t>
        </is>
      </c>
      <c r="F53" s="13" t="inlineStr">
        <is>
          <t>STAD</t>
        </is>
      </c>
      <c r="G53" s="13" t="inlineStr">
        <is>
          <t>Stadsfiets City, 7 versnellingen</t>
        </is>
      </c>
      <c r="H53" s="12" t="n">
        <v>10</v>
      </c>
      <c r="I53" s="14" t="n">
        <v>600</v>
      </c>
      <c r="J53" s="14">
        <f>H53*I53</f>
        <v/>
      </c>
      <c r="K53" s="15" t="n">
        <v>0.21</v>
      </c>
      <c r="L53" s="14">
        <f>J53*K53</f>
        <v/>
      </c>
    </row>
    <row r="54" hidden="1">
      <c r="A54" s="13" t="inlineStr">
        <is>
          <t>J2Q2V2</t>
        </is>
      </c>
      <c r="B54" s="13" t="inlineStr">
        <is>
          <t>2027-010</t>
        </is>
      </c>
      <c r="C54" s="13" t="inlineStr">
        <is>
          <t>VK</t>
        </is>
      </c>
      <c r="D54" s="13" t="n">
        <v>2</v>
      </c>
      <c r="E54" s="13" t="inlineStr">
        <is>
          <t>handelskorting</t>
        </is>
      </c>
      <c r="F54" s="13" t="n"/>
      <c r="G54" s="13" t="inlineStr">
        <is>
          <t>Handelskorting 10% op de goederen</t>
        </is>
      </c>
      <c r="H54" s="15" t="n">
        <v>0.1</v>
      </c>
      <c r="I54" s="14">
        <f>-SUMIFS(J$53:J53,E$53:E53,"artikel")</f>
        <v/>
      </c>
      <c r="J54" s="14">
        <f>H54*I54</f>
        <v/>
      </c>
      <c r="K54" s="15" t="n">
        <v>0.21</v>
      </c>
      <c r="L54" s="14">
        <f>J54*K54</f>
        <v/>
      </c>
    </row>
    <row r="55" hidden="1">
      <c r="A55" s="13" t="inlineStr">
        <is>
          <t>J2Q2V3</t>
        </is>
      </c>
      <c r="B55" s="13" t="inlineStr">
        <is>
          <t>2027-011</t>
        </is>
      </c>
      <c r="C55" s="13" t="inlineStr">
        <is>
          <t>VK</t>
        </is>
      </c>
      <c r="D55" s="13" t="n">
        <v>1</v>
      </c>
      <c r="E55" s="13" t="inlineStr">
        <is>
          <t>artikel</t>
        </is>
      </c>
      <c r="F55" s="13" t="inlineStr">
        <is>
          <t>EBIKE</t>
        </is>
      </c>
      <c r="G55" s="13" t="inlineStr">
        <is>
          <t>E-bike Comfort, 500 Wh</t>
        </is>
      </c>
      <c r="H55" s="12" t="n">
        <v>2</v>
      </c>
      <c r="I55" s="14" t="n">
        <v>2000</v>
      </c>
      <c r="J55" s="14">
        <f>H55*I55</f>
        <v/>
      </c>
      <c r="K55" s="15" t="n">
        <v>0.21</v>
      </c>
      <c r="L55" s="14">
        <f>J55*K55</f>
        <v/>
      </c>
    </row>
    <row r="56" hidden="1">
      <c r="A56" s="13" t="inlineStr">
        <is>
          <t>J2Q2V3</t>
        </is>
      </c>
      <c r="B56" s="13" t="inlineStr">
        <is>
          <t>2027-011</t>
        </is>
      </c>
      <c r="C56" s="13" t="inlineStr">
        <is>
          <t>VK</t>
        </is>
      </c>
      <c r="D56" s="13" t="n">
        <v>2</v>
      </c>
      <c r="E56" s="13" t="inlineStr">
        <is>
          <t>kosten</t>
        </is>
      </c>
      <c r="F56" s="13" t="n"/>
      <c r="G56" s="13" t="inlineStr">
        <is>
          <t>Leveringskosten</t>
        </is>
      </c>
      <c r="H56" s="12" t="n">
        <v>1</v>
      </c>
      <c r="I56" s="14" t="n">
        <v>100</v>
      </c>
      <c r="J56" s="14">
        <f>H56*I56</f>
        <v/>
      </c>
      <c r="K56" s="15" t="n">
        <v>0.21</v>
      </c>
      <c r="L56" s="14">
        <f>J56*K56</f>
        <v/>
      </c>
    </row>
    <row r="57" hidden="1">
      <c r="A57" s="13" t="inlineStr">
        <is>
          <t>J2Q2V7</t>
        </is>
      </c>
      <c r="B57" s="13" t="inlineStr">
        <is>
          <t>2027-027</t>
        </is>
      </c>
      <c r="C57" s="13" t="inlineStr">
        <is>
          <t>VK</t>
        </is>
      </c>
      <c r="D57" s="13" t="n">
        <v>1</v>
      </c>
      <c r="E57" s="13" t="inlineStr">
        <is>
          <t>artikel</t>
        </is>
      </c>
      <c r="F57" s="13" t="inlineStr">
        <is>
          <t>EBIKE</t>
        </is>
      </c>
      <c r="G57" s="13" t="inlineStr">
        <is>
          <t>E-bike Comfort, 500 Wh</t>
        </is>
      </c>
      <c r="H57" s="12" t="n">
        <v>1</v>
      </c>
      <c r="I57" s="14" t="n">
        <v>2000</v>
      </c>
      <c r="J57" s="14">
        <f>H57*I57</f>
        <v/>
      </c>
      <c r="K57" s="15" t="n">
        <v>0.21</v>
      </c>
      <c r="L57" s="14">
        <f>J57*K57</f>
        <v/>
      </c>
    </row>
    <row r="58" hidden="1">
      <c r="A58" s="13" t="inlineStr">
        <is>
          <t>J2Q2V7</t>
        </is>
      </c>
      <c r="B58" s="13" t="inlineStr">
        <is>
          <t>2027-027</t>
        </is>
      </c>
      <c r="C58" s="13" t="inlineStr">
        <is>
          <t>VK</t>
        </is>
      </c>
      <c r="D58" s="13" t="n">
        <v>2</v>
      </c>
      <c r="E58" s="13" t="inlineStr">
        <is>
          <t>artikel</t>
        </is>
      </c>
      <c r="F58" s="13" t="inlineStr">
        <is>
          <t>KIND</t>
        </is>
      </c>
      <c r="G58" s="13" t="inlineStr">
        <is>
          <t>Kinderfiets 20 inch</t>
        </is>
      </c>
      <c r="H58" s="12" t="n">
        <v>2</v>
      </c>
      <c r="I58" s="14" t="n">
        <v>250</v>
      </c>
      <c r="J58" s="14">
        <f>H58*I58</f>
        <v/>
      </c>
      <c r="K58" s="15" t="n">
        <v>0.21</v>
      </c>
      <c r="L58" s="14">
        <f>J58*K58</f>
        <v/>
      </c>
    </row>
    <row r="59" hidden="1">
      <c r="A59" s="13" t="inlineStr">
        <is>
          <t>J2Q2V7</t>
        </is>
      </c>
      <c r="B59" s="13" t="inlineStr">
        <is>
          <t>2027-027</t>
        </is>
      </c>
      <c r="C59" s="13" t="inlineStr">
        <is>
          <t>VK</t>
        </is>
      </c>
      <c r="D59" s="13" t="n">
        <v>3</v>
      </c>
      <c r="E59" s="13" t="inlineStr">
        <is>
          <t>financiële korting</t>
        </is>
      </c>
      <c r="F59" s="13" t="n"/>
      <c r="G59" s="13" t="inlineStr">
        <is>
          <t>Financiële korting 4% bij betaling binnen 10 dagen (btw berekend na korting)</t>
        </is>
      </c>
      <c r="H59" s="15" t="n">
        <v>0.04</v>
      </c>
      <c r="I59" s="14">
        <f>-SUMIFS(J$57:J58,E$57:E58,"&lt;&gt;verpakking")</f>
        <v/>
      </c>
      <c r="J59" s="14">
        <f>H59*I59</f>
        <v/>
      </c>
      <c r="K59" s="15" t="n">
        <v>0.21</v>
      </c>
      <c r="L59" s="14">
        <f>J59*K59</f>
        <v/>
      </c>
    </row>
    <row r="60" hidden="1">
      <c r="A60" s="13" t="inlineStr">
        <is>
          <t>J2Q2V5</t>
        </is>
      </c>
      <c r="B60" s="13" t="inlineStr">
        <is>
          <t>2027-013</t>
        </is>
      </c>
      <c r="C60" s="13" t="inlineStr">
        <is>
          <t>VK</t>
        </is>
      </c>
      <c r="D60" s="13" t="n">
        <v>1</v>
      </c>
      <c r="E60" s="13" t="inlineStr">
        <is>
          <t>artikel</t>
        </is>
      </c>
      <c r="F60" s="13" t="inlineStr">
        <is>
          <t>BAK</t>
        </is>
      </c>
      <c r="G60" s="13" t="inlineStr">
        <is>
          <t>Bakfiets Cargo, 2 wielen</t>
        </is>
      </c>
      <c r="H60" s="12" t="n">
        <v>2</v>
      </c>
      <c r="I60" s="14" t="n">
        <v>2600</v>
      </c>
      <c r="J60" s="14">
        <f>H60*I60</f>
        <v/>
      </c>
      <c r="K60" s="15" t="n">
        <v>0.21</v>
      </c>
      <c r="L60" s="14">
        <f>J60*K60</f>
        <v/>
      </c>
    </row>
    <row r="61" hidden="1">
      <c r="A61" s="13" t="inlineStr">
        <is>
          <t>J2Q2V5</t>
        </is>
      </c>
      <c r="B61" s="13" t="inlineStr">
        <is>
          <t>2027-013</t>
        </is>
      </c>
      <c r="C61" s="13" t="inlineStr">
        <is>
          <t>VK</t>
        </is>
      </c>
      <c r="D61" s="13" t="n">
        <v>2</v>
      </c>
      <c r="E61" s="13" t="inlineStr">
        <is>
          <t>artikel</t>
        </is>
      </c>
      <c r="F61" s="13" t="inlineStr">
        <is>
          <t>KIND</t>
        </is>
      </c>
      <c r="G61" s="13" t="inlineStr">
        <is>
          <t>Kinderfiets 20 inch</t>
        </is>
      </c>
      <c r="H61" s="12" t="n">
        <v>4</v>
      </c>
      <c r="I61" s="14" t="n">
        <v>250</v>
      </c>
      <c r="J61" s="14">
        <f>H61*I61</f>
        <v/>
      </c>
      <c r="K61" s="15" t="n">
        <v>0.21</v>
      </c>
      <c r="L61" s="14">
        <f>J61*K61</f>
        <v/>
      </c>
    </row>
    <row r="62" hidden="1">
      <c r="A62" s="13" t="inlineStr">
        <is>
          <t>J2Q2V5</t>
        </is>
      </c>
      <c r="B62" s="13" t="inlineStr">
        <is>
          <t>2027-013</t>
        </is>
      </c>
      <c r="C62" s="13" t="inlineStr">
        <is>
          <t>VK</t>
        </is>
      </c>
      <c r="D62" s="13" t="n">
        <v>3</v>
      </c>
      <c r="E62" s="13" t="inlineStr">
        <is>
          <t>kosten</t>
        </is>
      </c>
      <c r="F62" s="13" t="n"/>
      <c r="G62" s="13" t="inlineStr">
        <is>
          <t>Leveringskosten</t>
        </is>
      </c>
      <c r="H62" s="12" t="n">
        <v>1</v>
      </c>
      <c r="I62" s="14" t="n">
        <v>120</v>
      </c>
      <c r="J62" s="14">
        <f>H62*I62</f>
        <v/>
      </c>
      <c r="K62" s="15" t="n">
        <v>0.21</v>
      </c>
      <c r="L62" s="14">
        <f>J62*K62</f>
        <v/>
      </c>
    </row>
    <row r="63" hidden="1">
      <c r="A63" s="13" t="inlineStr">
        <is>
          <t>J2Q2V5</t>
        </is>
      </c>
      <c r="B63" s="13" t="inlineStr">
        <is>
          <t>2027-013</t>
        </is>
      </c>
      <c r="C63" s="13" t="inlineStr">
        <is>
          <t>VK</t>
        </is>
      </c>
      <c r="D63" s="13" t="n">
        <v>4</v>
      </c>
      <c r="E63" s="13" t="inlineStr">
        <is>
          <t>verpakking</t>
        </is>
      </c>
      <c r="F63" s="13" t="n"/>
      <c r="G63" s="13" t="inlineStr">
        <is>
          <t>Herbruikbaar fietsrek (waarborg)</t>
        </is>
      </c>
      <c r="H63" s="12" t="n">
        <v>2</v>
      </c>
      <c r="I63" s="14" t="n">
        <v>50</v>
      </c>
      <c r="J63" s="14">
        <f>H63*I63</f>
        <v/>
      </c>
      <c r="K63" s="15" t="n">
        <v>0</v>
      </c>
      <c r="L63" s="14">
        <f>J63*K63</f>
        <v/>
      </c>
    </row>
    <row r="64" hidden="1">
      <c r="A64" s="13" t="inlineStr">
        <is>
          <t>J2Q2V5</t>
        </is>
      </c>
      <c r="B64" s="13" t="inlineStr">
        <is>
          <t>2027-013</t>
        </is>
      </c>
      <c r="C64" s="13" t="inlineStr">
        <is>
          <t>VK</t>
        </is>
      </c>
      <c r="D64" s="13" t="n">
        <v>5</v>
      </c>
      <c r="E64" s="13" t="inlineStr">
        <is>
          <t>handelskorting</t>
        </is>
      </c>
      <c r="F64" s="13" t="n"/>
      <c r="G64" s="13" t="inlineStr">
        <is>
          <t>Handelskorting 10% op de goederen</t>
        </is>
      </c>
      <c r="H64" s="15" t="n">
        <v>0.1</v>
      </c>
      <c r="I64" s="14">
        <f>-SUMIFS(J$60:J63,E$60:E63,"artikel")</f>
        <v/>
      </c>
      <c r="J64" s="14">
        <f>H64*I64</f>
        <v/>
      </c>
      <c r="K64" s="15" t="n">
        <v>0.21</v>
      </c>
      <c r="L64" s="14">
        <f>J64*K64</f>
        <v/>
      </c>
    </row>
    <row r="65" hidden="1">
      <c r="A65" s="13" t="inlineStr">
        <is>
          <t>J2Q2D1</t>
        </is>
      </c>
      <c r="B65" s="13" t="inlineStr">
        <is>
          <t>DO-2027-03</t>
        </is>
      </c>
      <c r="C65" s="13" t="inlineStr">
        <is>
          <t>DO</t>
        </is>
      </c>
      <c r="D65" s="13" t="n">
        <v>1</v>
      </c>
      <c r="E65" s="13" t="inlineStr">
        <is>
          <t>artikel</t>
        </is>
      </c>
      <c r="F65" s="13" t="inlineStr">
        <is>
          <t>STAD</t>
        </is>
      </c>
      <c r="G65" s="13" t="inlineStr">
        <is>
          <t>Stadsfiets City, 7 versnellingen</t>
        </is>
      </c>
      <c r="H65" s="12" t="n">
        <v>2</v>
      </c>
      <c r="I65" s="14" t="n">
        <v>600</v>
      </c>
      <c r="J65" s="14">
        <f>H65*I65</f>
        <v/>
      </c>
      <c r="K65" s="15" t="n">
        <v>0.21</v>
      </c>
      <c r="L65" s="14">
        <f>J65*K65</f>
        <v/>
      </c>
    </row>
    <row r="66" hidden="1">
      <c r="A66" s="13" t="inlineStr">
        <is>
          <t>J2Q2D1</t>
        </is>
      </c>
      <c r="B66" s="13" t="inlineStr">
        <is>
          <t>DO-2027-03</t>
        </is>
      </c>
      <c r="C66" s="13" t="inlineStr">
        <is>
          <t>DO</t>
        </is>
      </c>
      <c r="D66" s="13" t="n">
        <v>2</v>
      </c>
      <c r="E66" s="13" t="inlineStr">
        <is>
          <t>artikel</t>
        </is>
      </c>
      <c r="F66" s="13" t="inlineStr">
        <is>
          <t>HELM</t>
        </is>
      </c>
      <c r="G66" s="13" t="inlineStr">
        <is>
          <t>Fietshelm Urban</t>
        </is>
      </c>
      <c r="H66" s="12" t="n">
        <v>8</v>
      </c>
      <c r="I66" s="14" t="n">
        <v>50</v>
      </c>
      <c r="J66" s="14">
        <f>H66*I66</f>
        <v/>
      </c>
      <c r="K66" s="15" t="n">
        <v>0.21</v>
      </c>
      <c r="L66" s="14">
        <f>J66*K66</f>
        <v/>
      </c>
    </row>
    <row r="67" hidden="1">
      <c r="A67" s="13" t="inlineStr">
        <is>
          <t>J2Q2D1</t>
        </is>
      </c>
      <c r="B67" s="13" t="inlineStr">
        <is>
          <t>DO-2027-03</t>
        </is>
      </c>
      <c r="C67" s="13" t="inlineStr">
        <is>
          <t>DO</t>
        </is>
      </c>
      <c r="D67" s="13" t="n">
        <v>3</v>
      </c>
      <c r="E67" s="13" t="inlineStr">
        <is>
          <t>artikel</t>
        </is>
      </c>
      <c r="F67" s="13" t="inlineStr">
        <is>
          <t>SLOT</t>
        </is>
      </c>
      <c r="G67" s="13" t="inlineStr">
        <is>
          <t>Plooislot</t>
        </is>
      </c>
      <c r="H67" s="12" t="n">
        <v>4</v>
      </c>
      <c r="I67" s="14" t="n">
        <v>35</v>
      </c>
      <c r="J67" s="14">
        <f>H67*I67</f>
        <v/>
      </c>
      <c r="K67" s="15" t="n">
        <v>0.21</v>
      </c>
      <c r="L67" s="14">
        <f>J67*K67</f>
        <v/>
      </c>
    </row>
    <row r="68" hidden="1">
      <c r="A68" s="13" t="inlineStr">
        <is>
          <t>J2Q2D1</t>
        </is>
      </c>
      <c r="B68" s="13" t="inlineStr">
        <is>
          <t>DO-2027-03</t>
        </is>
      </c>
      <c r="C68" s="13" t="inlineStr">
        <is>
          <t>DO</t>
        </is>
      </c>
      <c r="D68" s="13" t="n">
        <v>4</v>
      </c>
      <c r="E68" s="13" t="inlineStr">
        <is>
          <t>artikel</t>
        </is>
      </c>
      <c r="F68" s="13" t="inlineStr">
        <is>
          <t>KET</t>
        </is>
      </c>
      <c r="G68" s="13" t="inlineStr">
        <is>
          <t>Fietsketting 8 speed</t>
        </is>
      </c>
      <c r="H68" s="12" t="n">
        <v>3</v>
      </c>
      <c r="I68" s="14" t="n">
        <v>20</v>
      </c>
      <c r="J68" s="14">
        <f>H68*I68</f>
        <v/>
      </c>
      <c r="K68" s="15" t="n">
        <v>0.21</v>
      </c>
      <c r="L68" s="14">
        <f>J68*K68</f>
        <v/>
      </c>
    </row>
    <row r="69" hidden="1">
      <c r="A69" s="13" t="inlineStr">
        <is>
          <t>J2Q2D1</t>
        </is>
      </c>
      <c r="B69" s="13" t="inlineStr">
        <is>
          <t>DO-2027-03</t>
        </is>
      </c>
      <c r="C69" s="13" t="inlineStr">
        <is>
          <t>DO</t>
        </is>
      </c>
      <c r="D69" s="13" t="n">
        <v>5</v>
      </c>
      <c r="E69" s="13" t="inlineStr">
        <is>
          <t>dienst</t>
        </is>
      </c>
      <c r="F69" s="13" t="n"/>
      <c r="G69" s="13" t="inlineStr">
        <is>
          <t>Herstelling fiets (arbeid)</t>
        </is>
      </c>
      <c r="H69" s="12" t="n">
        <v>10</v>
      </c>
      <c r="I69" s="14" t="n">
        <v>50</v>
      </c>
      <c r="J69" s="14">
        <f>H69*I69</f>
        <v/>
      </c>
      <c r="K69" s="15" t="n">
        <v>0.06</v>
      </c>
      <c r="L69" s="14">
        <f>J69*K69</f>
        <v/>
      </c>
    </row>
    <row r="70" hidden="1">
      <c r="A70" s="13" t="inlineStr">
        <is>
          <t>J2Q2CV1</t>
        </is>
      </c>
      <c r="B70" s="13" t="inlineStr">
        <is>
          <t>CN-2027-004</t>
        </is>
      </c>
      <c r="C70" s="13" t="inlineStr">
        <is>
          <t>CN-VK</t>
        </is>
      </c>
      <c r="D70" s="13" t="n">
        <v>1</v>
      </c>
      <c r="E70" s="13" t="inlineStr">
        <is>
          <t>artikel</t>
        </is>
      </c>
      <c r="F70" s="13" t="inlineStr">
        <is>
          <t>KIND</t>
        </is>
      </c>
      <c r="G70" s="13" t="inlineStr">
        <is>
          <t>Kinderfiets 20 inch</t>
        </is>
      </c>
      <c r="H70" s="12" t="n">
        <v>4</v>
      </c>
      <c r="I70" s="14" t="n">
        <v>250</v>
      </c>
      <c r="J70" s="14">
        <f>H70*I70</f>
        <v/>
      </c>
      <c r="K70" s="15" t="n">
        <v>0.21</v>
      </c>
      <c r="L70" s="14">
        <f>J70*K70</f>
        <v/>
      </c>
    </row>
    <row r="71" hidden="1">
      <c r="A71" s="13" t="inlineStr">
        <is>
          <t>J2Q2CV1</t>
        </is>
      </c>
      <c r="B71" s="13" t="inlineStr">
        <is>
          <t>CN-2027-004</t>
        </is>
      </c>
      <c r="C71" s="13" t="inlineStr">
        <is>
          <t>CN-VK</t>
        </is>
      </c>
      <c r="D71" s="13" t="n">
        <v>2</v>
      </c>
      <c r="E71" s="13" t="inlineStr">
        <is>
          <t>handelskorting</t>
        </is>
      </c>
      <c r="F71" s="13" t="n"/>
      <c r="G71" s="13" t="inlineStr">
        <is>
          <t>Handelskorting 10% op de goederen</t>
        </is>
      </c>
      <c r="H71" s="15" t="n">
        <v>0.1</v>
      </c>
      <c r="I71" s="14">
        <f>-SUMIFS(J$70:J70,E$70:E70,"artikel")</f>
        <v/>
      </c>
      <c r="J71" s="14">
        <f>H71*I71</f>
        <v/>
      </c>
      <c r="K71" s="15" t="n">
        <v>0.21</v>
      </c>
      <c r="L71" s="14">
        <f>J71*K71</f>
        <v/>
      </c>
    </row>
    <row r="72" hidden="1">
      <c r="A72" s="13" t="inlineStr">
        <is>
          <t>J2Q2CV2</t>
        </is>
      </c>
      <c r="B72" s="13" t="inlineStr">
        <is>
          <t>CN-2027-005</t>
        </is>
      </c>
      <c r="C72" s="13" t="inlineStr">
        <is>
          <t>CN-VK</t>
        </is>
      </c>
      <c r="D72" s="13" t="n">
        <v>1</v>
      </c>
      <c r="E72" s="13" t="inlineStr">
        <is>
          <t>verpakking</t>
        </is>
      </c>
      <c r="F72" s="13" t="n"/>
      <c r="G72" s="13" t="inlineStr">
        <is>
          <t>Herbruikbaar fietsrek (waarborg)</t>
        </is>
      </c>
      <c r="H72" s="12" t="n">
        <v>2</v>
      </c>
      <c r="I72" s="14" t="n">
        <v>50</v>
      </c>
      <c r="J72" s="14">
        <f>H72*I72</f>
        <v/>
      </c>
      <c r="K72" s="15" t="n">
        <v>0</v>
      </c>
      <c r="L72" s="14">
        <f>J72*K72</f>
        <v/>
      </c>
    </row>
    <row r="73" hidden="1">
      <c r="A73" s="13" t="inlineStr">
        <is>
          <t>J2Q3A1</t>
        </is>
      </c>
      <c r="B73" s="13" t="inlineStr">
        <is>
          <t>2027-401</t>
        </is>
      </c>
      <c r="C73" s="13" t="inlineStr">
        <is>
          <t>AK</t>
        </is>
      </c>
      <c r="D73" s="13" t="n">
        <v>1</v>
      </c>
      <c r="E73" s="13" t="inlineStr">
        <is>
          <t>artikel</t>
        </is>
      </c>
      <c r="F73" s="13" t="inlineStr">
        <is>
          <t>STAD</t>
        </is>
      </c>
      <c r="G73" s="13" t="inlineStr">
        <is>
          <t>Stadsfiets City, 7 versnellingen</t>
        </is>
      </c>
      <c r="H73" s="12" t="n">
        <v>5</v>
      </c>
      <c r="I73" s="14" t="n">
        <v>400</v>
      </c>
      <c r="J73" s="14">
        <f>H73*I73</f>
        <v/>
      </c>
      <c r="K73" s="15" t="n">
        <v>0.21</v>
      </c>
      <c r="L73" s="14">
        <f>J73*K73</f>
        <v/>
      </c>
    </row>
    <row r="74" hidden="1">
      <c r="A74" s="13" t="inlineStr">
        <is>
          <t>J2Q3A1</t>
        </is>
      </c>
      <c r="B74" s="13" t="inlineStr">
        <is>
          <t>2027-401</t>
        </is>
      </c>
      <c r="C74" s="13" t="inlineStr">
        <is>
          <t>AK</t>
        </is>
      </c>
      <c r="D74" s="13" t="n">
        <v>2</v>
      </c>
      <c r="E74" s="13" t="inlineStr">
        <is>
          <t>artikel</t>
        </is>
      </c>
      <c r="F74" s="13" t="inlineStr">
        <is>
          <t>BAK</t>
        </is>
      </c>
      <c r="G74" s="13" t="inlineStr">
        <is>
          <t>Bakfiets Cargo, 2 wielen</t>
        </is>
      </c>
      <c r="H74" s="12" t="n">
        <v>2</v>
      </c>
      <c r="I74" s="14" t="n">
        <v>1800</v>
      </c>
      <c r="J74" s="14">
        <f>H74*I74</f>
        <v/>
      </c>
      <c r="K74" s="15" t="n">
        <v>0.21</v>
      </c>
      <c r="L74" s="14">
        <f>J74*K74</f>
        <v/>
      </c>
    </row>
    <row r="75" hidden="1">
      <c r="A75" s="13" t="inlineStr">
        <is>
          <t>J2Q3A1</t>
        </is>
      </c>
      <c r="B75" s="13" t="inlineStr">
        <is>
          <t>2027-401</t>
        </is>
      </c>
      <c r="C75" s="13" t="inlineStr">
        <is>
          <t>AK</t>
        </is>
      </c>
      <c r="D75" s="13" t="n">
        <v>3</v>
      </c>
      <c r="E75" s="13" t="inlineStr">
        <is>
          <t>artikel</t>
        </is>
      </c>
      <c r="F75" s="13" t="inlineStr">
        <is>
          <t>EBIKE</t>
        </is>
      </c>
      <c r="G75" s="13" t="inlineStr">
        <is>
          <t>E-bike Comfort, 500 Wh</t>
        </is>
      </c>
      <c r="H75" s="12" t="n">
        <v>1</v>
      </c>
      <c r="I75" s="14" t="n">
        <v>1400</v>
      </c>
      <c r="J75" s="14">
        <f>H75*I75</f>
        <v/>
      </c>
      <c r="K75" s="15" t="n">
        <v>0.21</v>
      </c>
      <c r="L75" s="14">
        <f>J75*K75</f>
        <v/>
      </c>
    </row>
    <row r="76" hidden="1">
      <c r="A76" s="13" t="inlineStr">
        <is>
          <t>J2Q3A1</t>
        </is>
      </c>
      <c r="B76" s="13" t="inlineStr">
        <is>
          <t>2027-401</t>
        </is>
      </c>
      <c r="C76" s="13" t="inlineStr">
        <is>
          <t>AK</t>
        </is>
      </c>
      <c r="D76" s="13" t="n">
        <v>4</v>
      </c>
      <c r="E76" s="13" t="inlineStr">
        <is>
          <t>handelskorting</t>
        </is>
      </c>
      <c r="F76" s="13" t="n"/>
      <c r="G76" s="13" t="inlineStr">
        <is>
          <t>Handelskorting 10% op de goederen</t>
        </is>
      </c>
      <c r="H76" s="15" t="n">
        <v>0.1</v>
      </c>
      <c r="I76" s="14">
        <f>-SUMIFS(J$73:J75,E$73:E75,"artikel")</f>
        <v/>
      </c>
      <c r="J76" s="14">
        <f>H76*I76</f>
        <v/>
      </c>
      <c r="K76" s="15" t="n">
        <v>0.21</v>
      </c>
      <c r="L76" s="14">
        <f>J76*K76</f>
        <v/>
      </c>
    </row>
    <row r="77" hidden="1">
      <c r="A77" s="13" t="inlineStr">
        <is>
          <t>J2A2</t>
        </is>
      </c>
      <c r="B77" s="13" t="inlineStr">
        <is>
          <t>GM-2027-119</t>
        </is>
      </c>
      <c r="C77" s="13" t="inlineStr">
        <is>
          <t>AK</t>
        </is>
      </c>
      <c r="D77" s="13" t="n">
        <v>1</v>
      </c>
      <c r="E77" s="13" t="inlineStr">
        <is>
          <t>vast actief</t>
        </is>
      </c>
      <c r="F77" s="13" t="n"/>
      <c r="G77" s="13" t="inlineStr">
        <is>
          <t>Bestelwagen (lichte vracht), elektrisch</t>
        </is>
      </c>
      <c r="H77" s="12" t="n">
        <v>1</v>
      </c>
      <c r="I77" s="14" t="n">
        <v>24000</v>
      </c>
      <c r="J77" s="14">
        <f>H77*I77</f>
        <v/>
      </c>
      <c r="K77" s="15" t="n">
        <v>0.21</v>
      </c>
      <c r="L77" s="14">
        <f>J77*K77</f>
        <v/>
      </c>
    </row>
    <row r="78" hidden="1">
      <c r="A78" s="13" t="inlineStr">
        <is>
          <t>J2Q3V1</t>
        </is>
      </c>
      <c r="B78" s="13" t="inlineStr">
        <is>
          <t>2027-015</t>
        </is>
      </c>
      <c r="C78" s="13" t="inlineStr">
        <is>
          <t>VK</t>
        </is>
      </c>
      <c r="D78" s="13" t="n">
        <v>1</v>
      </c>
      <c r="E78" s="13" t="inlineStr">
        <is>
          <t>artikel</t>
        </is>
      </c>
      <c r="F78" s="13" t="inlineStr">
        <is>
          <t>STAD</t>
        </is>
      </c>
      <c r="G78" s="13" t="inlineStr">
        <is>
          <t>Stadsfiets City, 7 versnellingen</t>
        </is>
      </c>
      <c r="H78" s="12" t="n">
        <v>6</v>
      </c>
      <c r="I78" s="14" t="n">
        <v>600</v>
      </c>
      <c r="J78" s="14">
        <f>H78*I78</f>
        <v/>
      </c>
      <c r="K78" s="15" t="n">
        <v>0.21</v>
      </c>
      <c r="L78" s="14">
        <f>J78*K78</f>
        <v/>
      </c>
    </row>
    <row r="79" hidden="1">
      <c r="A79" s="13" t="inlineStr">
        <is>
          <t>J2Q3V1</t>
        </is>
      </c>
      <c r="B79" s="13" t="inlineStr">
        <is>
          <t>2027-015</t>
        </is>
      </c>
      <c r="C79" s="13" t="inlineStr">
        <is>
          <t>VK</t>
        </is>
      </c>
      <c r="D79" s="13" t="n">
        <v>2</v>
      </c>
      <c r="E79" s="13" t="inlineStr">
        <is>
          <t>artikel</t>
        </is>
      </c>
      <c r="F79" s="13" t="inlineStr">
        <is>
          <t>HELM</t>
        </is>
      </c>
      <c r="G79" s="13" t="inlineStr">
        <is>
          <t>Fietshelm Urban</t>
        </is>
      </c>
      <c r="H79" s="12" t="n">
        <v>8</v>
      </c>
      <c r="I79" s="14" t="n">
        <v>50</v>
      </c>
      <c r="J79" s="14">
        <f>H79*I79</f>
        <v/>
      </c>
      <c r="K79" s="15" t="n">
        <v>0.21</v>
      </c>
      <c r="L79" s="14">
        <f>J79*K79</f>
        <v/>
      </c>
    </row>
    <row r="80" hidden="1">
      <c r="A80" s="13" t="inlineStr">
        <is>
          <t>J2Q3V1</t>
        </is>
      </c>
      <c r="B80" s="13" t="inlineStr">
        <is>
          <t>2027-015</t>
        </is>
      </c>
      <c r="C80" s="13" t="inlineStr">
        <is>
          <t>VK</t>
        </is>
      </c>
      <c r="D80" s="13" t="n">
        <v>3</v>
      </c>
      <c r="E80" s="13" t="inlineStr">
        <is>
          <t>handelskorting</t>
        </is>
      </c>
      <c r="F80" s="13" t="n"/>
      <c r="G80" s="13" t="inlineStr">
        <is>
          <t>Handelskorting 5% op de goederen</t>
        </is>
      </c>
      <c r="H80" s="15" t="n">
        <v>0.05</v>
      </c>
      <c r="I80" s="14">
        <f>-SUMIFS(J$78:J79,E$78:E79,"artikel")</f>
        <v/>
      </c>
      <c r="J80" s="14">
        <f>H80*I80</f>
        <v/>
      </c>
      <c r="K80" s="15" t="n">
        <v>0.21</v>
      </c>
      <c r="L80" s="14">
        <f>J80*K80</f>
        <v/>
      </c>
    </row>
    <row r="81" hidden="1">
      <c r="A81" s="13" t="inlineStr">
        <is>
          <t>J2Q3CA1</t>
        </is>
      </c>
      <c r="B81" s="13" t="inlineStr">
        <is>
          <t>CN-2027-044</t>
        </is>
      </c>
      <c r="C81" s="13" t="inlineStr">
        <is>
          <t>CN-AK</t>
        </is>
      </c>
      <c r="D81" s="13" t="n">
        <v>1</v>
      </c>
      <c r="E81" s="13" t="inlineStr">
        <is>
          <t>artikel</t>
        </is>
      </c>
      <c r="F81" s="13" t="inlineStr">
        <is>
          <t>BAK</t>
        </is>
      </c>
      <c r="G81" s="13" t="inlineStr">
        <is>
          <t>Bakfiets Cargo, 2 wielen</t>
        </is>
      </c>
      <c r="H81" s="12" t="n">
        <v>1</v>
      </c>
      <c r="I81" s="14" t="n">
        <v>1800</v>
      </c>
      <c r="J81" s="14">
        <f>H81*I81</f>
        <v/>
      </c>
      <c r="K81" s="15" t="n">
        <v>0.21</v>
      </c>
      <c r="L81" s="14">
        <f>J81*K81</f>
        <v/>
      </c>
    </row>
    <row r="82" hidden="1">
      <c r="A82" s="13" t="inlineStr">
        <is>
          <t>J2Q3CA1</t>
        </is>
      </c>
      <c r="B82" s="13" t="inlineStr">
        <is>
          <t>CN-2027-044</t>
        </is>
      </c>
      <c r="C82" s="13" t="inlineStr">
        <is>
          <t>CN-AK</t>
        </is>
      </c>
      <c r="D82" s="13" t="n">
        <v>2</v>
      </c>
      <c r="E82" s="13" t="inlineStr">
        <is>
          <t>artikel</t>
        </is>
      </c>
      <c r="F82" s="13" t="inlineStr">
        <is>
          <t>STAD</t>
        </is>
      </c>
      <c r="G82" s="13" t="inlineStr">
        <is>
          <t>Stadsfiets City, 7 versnellingen</t>
        </is>
      </c>
      <c r="H82" s="12" t="n">
        <v>3</v>
      </c>
      <c r="I82" s="14" t="n">
        <v>400</v>
      </c>
      <c r="J82" s="14">
        <f>H82*I82</f>
        <v/>
      </c>
      <c r="K82" s="15" t="n">
        <v>0.21</v>
      </c>
      <c r="L82" s="14">
        <f>J82*K82</f>
        <v/>
      </c>
    </row>
    <row r="83" hidden="1">
      <c r="A83" s="13" t="inlineStr">
        <is>
          <t>J2Q3CA1</t>
        </is>
      </c>
      <c r="B83" s="13" t="inlineStr">
        <is>
          <t>CN-2027-044</t>
        </is>
      </c>
      <c r="C83" s="13" t="inlineStr">
        <is>
          <t>CN-AK</t>
        </is>
      </c>
      <c r="D83" s="13" t="n">
        <v>3</v>
      </c>
      <c r="E83" s="13" t="inlineStr">
        <is>
          <t>handelskorting</t>
        </is>
      </c>
      <c r="F83" s="13" t="n"/>
      <c r="G83" s="13" t="inlineStr">
        <is>
          <t>Handelskorting 10% op de goederen</t>
        </is>
      </c>
      <c r="H83" s="15" t="n">
        <v>0.1</v>
      </c>
      <c r="I83" s="14">
        <f>-SUMIFS(J$81:J82,E$81:E82,"artikel")</f>
        <v/>
      </c>
      <c r="J83" s="14">
        <f>H83*I83</f>
        <v/>
      </c>
      <c r="K83" s="15" t="n">
        <v>0.21</v>
      </c>
      <c r="L83" s="14">
        <f>J83*K83</f>
        <v/>
      </c>
    </row>
    <row r="84" hidden="1">
      <c r="A84" s="13" t="inlineStr">
        <is>
          <t>J2Q3CV1</t>
        </is>
      </c>
      <c r="B84" s="13" t="inlineStr">
        <is>
          <t>CN-2027-006</t>
        </is>
      </c>
      <c r="C84" s="13" t="inlineStr">
        <is>
          <t>CN-VK</t>
        </is>
      </c>
      <c r="D84" s="13" t="n">
        <v>1</v>
      </c>
      <c r="E84" s="13" t="inlineStr">
        <is>
          <t>artikel</t>
        </is>
      </c>
      <c r="F84" s="13" t="inlineStr">
        <is>
          <t>STAD</t>
        </is>
      </c>
      <c r="G84" s="13" t="inlineStr">
        <is>
          <t>Stadsfiets City, 7 versnellingen</t>
        </is>
      </c>
      <c r="H84" s="12" t="n">
        <v>3</v>
      </c>
      <c r="I84" s="14" t="n">
        <v>600</v>
      </c>
      <c r="J84" s="14">
        <f>H84*I84</f>
        <v/>
      </c>
      <c r="K84" s="15" t="n">
        <v>0.21</v>
      </c>
      <c r="L84" s="14">
        <f>J84*K84</f>
        <v/>
      </c>
    </row>
    <row r="85" hidden="1">
      <c r="A85" s="13" t="inlineStr">
        <is>
          <t>J2Q3CV1</t>
        </is>
      </c>
      <c r="B85" s="13" t="inlineStr">
        <is>
          <t>CN-2027-006</t>
        </is>
      </c>
      <c r="C85" s="13" t="inlineStr">
        <is>
          <t>CN-VK</t>
        </is>
      </c>
      <c r="D85" s="13" t="n">
        <v>2</v>
      </c>
      <c r="E85" s="13" t="inlineStr">
        <is>
          <t>artikel</t>
        </is>
      </c>
      <c r="F85" s="13" t="inlineStr">
        <is>
          <t>HELM</t>
        </is>
      </c>
      <c r="G85" s="13" t="inlineStr">
        <is>
          <t>Fietshelm Urban</t>
        </is>
      </c>
      <c r="H85" s="12" t="n">
        <v>4</v>
      </c>
      <c r="I85" s="14" t="n">
        <v>50</v>
      </c>
      <c r="J85" s="14">
        <f>H85*I85</f>
        <v/>
      </c>
      <c r="K85" s="15" t="n">
        <v>0.21</v>
      </c>
      <c r="L85" s="14">
        <f>J85*K85</f>
        <v/>
      </c>
    </row>
    <row r="86" hidden="1">
      <c r="A86" s="13" t="inlineStr">
        <is>
          <t>J2Q3CV1</t>
        </is>
      </c>
      <c r="B86" s="13" t="inlineStr">
        <is>
          <t>CN-2027-006</t>
        </is>
      </c>
      <c r="C86" s="13" t="inlineStr">
        <is>
          <t>CN-VK</t>
        </is>
      </c>
      <c r="D86" s="13" t="n">
        <v>3</v>
      </c>
      <c r="E86" s="13" t="inlineStr">
        <is>
          <t>handelskorting</t>
        </is>
      </c>
      <c r="F86" s="13" t="n"/>
      <c r="G86" s="13" t="inlineStr">
        <is>
          <t>Handelskorting 5% op de goederen</t>
        </is>
      </c>
      <c r="H86" s="15" t="n">
        <v>0.05</v>
      </c>
      <c r="I86" s="14">
        <f>-SUMIFS(J$84:J85,E$84:E85,"artikel")</f>
        <v/>
      </c>
      <c r="J86" s="14">
        <f>H86*I86</f>
        <v/>
      </c>
      <c r="K86" s="15" t="n">
        <v>0.21</v>
      </c>
      <c r="L86" s="14">
        <f>J86*K86</f>
        <v/>
      </c>
    </row>
    <row r="87" hidden="1">
      <c r="A87" s="13" t="inlineStr">
        <is>
          <t>J2Q3V2</t>
        </is>
      </c>
      <c r="B87" s="13" t="inlineStr">
        <is>
          <t>2027-016</t>
        </is>
      </c>
      <c r="C87" s="13" t="inlineStr">
        <is>
          <t>VK</t>
        </is>
      </c>
      <c r="D87" s="13" t="n">
        <v>1</v>
      </c>
      <c r="E87" s="13" t="inlineStr">
        <is>
          <t>artikel</t>
        </is>
      </c>
      <c r="F87" s="13" t="inlineStr">
        <is>
          <t>STAD</t>
        </is>
      </c>
      <c r="G87" s="13" t="inlineStr">
        <is>
          <t>Stadsfiets City, 7 versnellingen</t>
        </is>
      </c>
      <c r="H87" s="12" t="n">
        <v>6</v>
      </c>
      <c r="I87" s="14" t="n">
        <v>600</v>
      </c>
      <c r="J87" s="14">
        <f>H87*I87</f>
        <v/>
      </c>
      <c r="K87" s="15" t="n">
        <v>0.21</v>
      </c>
      <c r="L87" s="14">
        <f>J87*K87</f>
        <v/>
      </c>
    </row>
    <row r="88" hidden="1">
      <c r="A88" s="13" t="inlineStr">
        <is>
          <t>J2Q3V2</t>
        </is>
      </c>
      <c r="B88" s="13" t="inlineStr">
        <is>
          <t>2027-016</t>
        </is>
      </c>
      <c r="C88" s="13" t="inlineStr">
        <is>
          <t>VK</t>
        </is>
      </c>
      <c r="D88" s="13" t="n">
        <v>2</v>
      </c>
      <c r="E88" s="13" t="inlineStr">
        <is>
          <t>kosten</t>
        </is>
      </c>
      <c r="F88" s="13" t="n"/>
      <c r="G88" s="13" t="inlineStr">
        <is>
          <t>Leveringskosten</t>
        </is>
      </c>
      <c r="H88" s="12" t="n">
        <v>1</v>
      </c>
      <c r="I88" s="14" t="n">
        <v>100</v>
      </c>
      <c r="J88" s="14">
        <f>H88*I88</f>
        <v/>
      </c>
      <c r="K88" s="15" t="n">
        <v>0.21</v>
      </c>
      <c r="L88" s="14">
        <f>J88*K88</f>
        <v/>
      </c>
    </row>
    <row r="89" hidden="1">
      <c r="A89" s="13" t="inlineStr">
        <is>
          <t>J2Q3V2</t>
        </is>
      </c>
      <c r="B89" s="13" t="inlineStr">
        <is>
          <t>2027-016</t>
        </is>
      </c>
      <c r="C89" s="13" t="inlineStr">
        <is>
          <t>VK</t>
        </is>
      </c>
      <c r="D89" s="13" t="n">
        <v>3</v>
      </c>
      <c r="E89" s="13" t="inlineStr">
        <is>
          <t>verpakking</t>
        </is>
      </c>
      <c r="F89" s="13" t="n"/>
      <c r="G89" s="13" t="inlineStr">
        <is>
          <t>Herbruikbaar fietsrek (waarborg)</t>
        </is>
      </c>
      <c r="H89" s="12" t="n">
        <v>3</v>
      </c>
      <c r="I89" s="14" t="n">
        <v>50</v>
      </c>
      <c r="J89" s="14">
        <f>H89*I89</f>
        <v/>
      </c>
      <c r="K89" s="15" t="n">
        <v>0</v>
      </c>
      <c r="L89" s="14">
        <f>J89*K89</f>
        <v/>
      </c>
    </row>
    <row r="90" hidden="1">
      <c r="A90" s="13" t="inlineStr">
        <is>
          <t>J2Q3A4</t>
        </is>
      </c>
      <c r="B90" s="13" t="inlineStr">
        <is>
          <t>SW-2027-301</t>
        </is>
      </c>
      <c r="C90" s="13" t="inlineStr">
        <is>
          <t>AK</t>
        </is>
      </c>
      <c r="D90" s="13" t="n">
        <v>1</v>
      </c>
      <c r="E90" s="13" t="inlineStr">
        <is>
          <t>artikel</t>
        </is>
      </c>
      <c r="F90" s="13" t="inlineStr">
        <is>
          <t>BAND</t>
        </is>
      </c>
      <c r="G90" s="13" t="inlineStr">
        <is>
          <t>Buitenband 28 inch</t>
        </is>
      </c>
      <c r="H90" s="12" t="n">
        <v>10</v>
      </c>
      <c r="I90" s="14" t="n">
        <v>15</v>
      </c>
      <c r="J90" s="14">
        <f>H90*I90</f>
        <v/>
      </c>
      <c r="K90" s="15" t="n">
        <v>0.21</v>
      </c>
      <c r="L90" s="14">
        <f>J90*K90</f>
        <v/>
      </c>
    </row>
    <row r="91" hidden="1">
      <c r="A91" s="13" t="inlineStr">
        <is>
          <t>J2Q3A4</t>
        </is>
      </c>
      <c r="B91" s="13" t="inlineStr">
        <is>
          <t>SW-2027-301</t>
        </is>
      </c>
      <c r="C91" s="13" t="inlineStr">
        <is>
          <t>AK</t>
        </is>
      </c>
      <c r="D91" s="13" t="n">
        <v>2</v>
      </c>
      <c r="E91" s="13" t="inlineStr">
        <is>
          <t>artikel</t>
        </is>
      </c>
      <c r="F91" s="13" t="inlineStr">
        <is>
          <t>LAMP</t>
        </is>
      </c>
      <c r="G91" s="13" t="inlineStr">
        <is>
          <t>Verlichtingsset LED</t>
        </is>
      </c>
      <c r="H91" s="12" t="n">
        <v>10</v>
      </c>
      <c r="I91" s="14" t="n">
        <v>25</v>
      </c>
      <c r="J91" s="14">
        <f>H91*I91</f>
        <v/>
      </c>
      <c r="K91" s="15" t="n">
        <v>0.21</v>
      </c>
      <c r="L91" s="14">
        <f>J91*K91</f>
        <v/>
      </c>
    </row>
    <row r="92" hidden="1">
      <c r="A92" s="13" t="inlineStr">
        <is>
          <t>J2Q3A4</t>
        </is>
      </c>
      <c r="B92" s="13" t="inlineStr">
        <is>
          <t>SW-2027-301</t>
        </is>
      </c>
      <c r="C92" s="13" t="inlineStr">
        <is>
          <t>AK</t>
        </is>
      </c>
      <c r="D92" s="13" t="n">
        <v>3</v>
      </c>
      <c r="E92" s="13" t="inlineStr">
        <is>
          <t>artikel</t>
        </is>
      </c>
      <c r="F92" s="13" t="inlineStr">
        <is>
          <t>KET</t>
        </is>
      </c>
      <c r="G92" s="13" t="inlineStr">
        <is>
          <t>Fietsketting 8 speed</t>
        </is>
      </c>
      <c r="H92" s="12" t="n">
        <v>10</v>
      </c>
      <c r="I92" s="14" t="n">
        <v>10</v>
      </c>
      <c r="J92" s="14">
        <f>H92*I92</f>
        <v/>
      </c>
      <c r="K92" s="15" t="n">
        <v>0.21</v>
      </c>
      <c r="L92" s="14">
        <f>J92*K92</f>
        <v/>
      </c>
    </row>
    <row r="93" hidden="1">
      <c r="A93" s="13" t="inlineStr">
        <is>
          <t>J2Q3A4</t>
        </is>
      </c>
      <c r="B93" s="13" t="inlineStr">
        <is>
          <t>SW-2027-301</t>
        </is>
      </c>
      <c r="C93" s="13" t="inlineStr">
        <is>
          <t>AK</t>
        </is>
      </c>
      <c r="D93" s="13" t="n">
        <v>4</v>
      </c>
      <c r="E93" s="13" t="inlineStr">
        <is>
          <t>verpakking</t>
        </is>
      </c>
      <c r="F93" s="13" t="n"/>
      <c r="G93" s="13" t="inlineStr">
        <is>
          <t>Transportkrat (waarborg)</t>
        </is>
      </c>
      <c r="H93" s="12" t="n">
        <v>2</v>
      </c>
      <c r="I93" s="14" t="n">
        <v>25</v>
      </c>
      <c r="J93" s="14">
        <f>H93*I93</f>
        <v/>
      </c>
      <c r="K93" s="15" t="n">
        <v>0</v>
      </c>
      <c r="L93" s="14">
        <f>J93*K93</f>
        <v/>
      </c>
    </row>
    <row r="94" hidden="1">
      <c r="A94" s="13" t="inlineStr">
        <is>
          <t>J2Q3A6</t>
        </is>
      </c>
      <c r="B94" s="13" t="inlineStr">
        <is>
          <t>2027-455</t>
        </is>
      </c>
      <c r="C94" s="13" t="inlineStr">
        <is>
          <t>AK</t>
        </is>
      </c>
      <c r="D94" s="13" t="n">
        <v>1</v>
      </c>
      <c r="E94" s="13" t="inlineStr">
        <is>
          <t>artikel</t>
        </is>
      </c>
      <c r="F94" s="13" t="inlineStr">
        <is>
          <t>STAD</t>
        </is>
      </c>
      <c r="G94" s="13" t="inlineStr">
        <is>
          <t>Stadsfiets City, 7 versnellingen</t>
        </is>
      </c>
      <c r="H94" s="12" t="n">
        <v>5</v>
      </c>
      <c r="I94" s="14" t="n">
        <v>400</v>
      </c>
      <c r="J94" s="14">
        <f>H94*I94</f>
        <v/>
      </c>
      <c r="K94" s="15" t="n">
        <v>0.21</v>
      </c>
      <c r="L94" s="14">
        <f>J94*K94</f>
        <v/>
      </c>
    </row>
    <row r="95" hidden="1">
      <c r="A95" s="13" t="inlineStr">
        <is>
          <t>J2Q3A6</t>
        </is>
      </c>
      <c r="B95" s="13" t="inlineStr">
        <is>
          <t>2027-455</t>
        </is>
      </c>
      <c r="C95" s="13" t="inlineStr">
        <is>
          <t>AK</t>
        </is>
      </c>
      <c r="D95" s="13" t="n">
        <v>2</v>
      </c>
      <c r="E95" s="13" t="inlineStr">
        <is>
          <t>financiële korting</t>
        </is>
      </c>
      <c r="F95" s="13" t="n"/>
      <c r="G95" s="13" t="inlineStr">
        <is>
          <t>Financiële korting 5% bij betaling binnen 10 dagen (btw berekend na korting)</t>
        </is>
      </c>
      <c r="H95" s="15" t="n">
        <v>0.05</v>
      </c>
      <c r="I95" s="14">
        <f>-SUMIFS(J$94:J94,E$94:E94,"&lt;&gt;verpakking")</f>
        <v/>
      </c>
      <c r="J95" s="14">
        <f>H95*I95</f>
        <v/>
      </c>
      <c r="K95" s="15" t="n">
        <v>0.21</v>
      </c>
      <c r="L95" s="14">
        <f>J95*K95</f>
        <v/>
      </c>
    </row>
    <row r="96" hidden="1">
      <c r="A96" s="13" t="inlineStr">
        <is>
          <t>J2Q3V6</t>
        </is>
      </c>
      <c r="B96" s="13" t="inlineStr">
        <is>
          <t>2027-028</t>
        </is>
      </c>
      <c r="C96" s="13" t="inlineStr">
        <is>
          <t>VK</t>
        </is>
      </c>
      <c r="D96" s="13" t="n">
        <v>1</v>
      </c>
      <c r="E96" s="13" t="inlineStr">
        <is>
          <t>artikel</t>
        </is>
      </c>
      <c r="F96" s="13" t="inlineStr">
        <is>
          <t>STAD</t>
        </is>
      </c>
      <c r="G96" s="13" t="inlineStr">
        <is>
          <t>Stadsfiets City, 7 versnellingen</t>
        </is>
      </c>
      <c r="H96" s="12" t="n">
        <v>2</v>
      </c>
      <c r="I96" s="14" t="n">
        <v>600</v>
      </c>
      <c r="J96" s="14">
        <f>H96*I96</f>
        <v/>
      </c>
      <c r="K96" s="15" t="n">
        <v>0.21</v>
      </c>
      <c r="L96" s="14">
        <f>J96*K96</f>
        <v/>
      </c>
    </row>
    <row r="97" hidden="1">
      <c r="A97" s="13" t="inlineStr">
        <is>
          <t>J2Q3V6</t>
        </is>
      </c>
      <c r="B97" s="13" t="inlineStr">
        <is>
          <t>2027-028</t>
        </is>
      </c>
      <c r="C97" s="13" t="inlineStr">
        <is>
          <t>VK</t>
        </is>
      </c>
      <c r="D97" s="13" t="n">
        <v>2</v>
      </c>
      <c r="E97" s="13" t="inlineStr">
        <is>
          <t>artikel</t>
        </is>
      </c>
      <c r="F97" s="13" t="inlineStr">
        <is>
          <t>KIND</t>
        </is>
      </c>
      <c r="G97" s="13" t="inlineStr">
        <is>
          <t>Kinderfiets 20 inch</t>
        </is>
      </c>
      <c r="H97" s="12" t="n">
        <v>2</v>
      </c>
      <c r="I97" s="14" t="n">
        <v>250</v>
      </c>
      <c r="J97" s="14">
        <f>H97*I97</f>
        <v/>
      </c>
      <c r="K97" s="15" t="n">
        <v>0.21</v>
      </c>
      <c r="L97" s="14">
        <f>J97*K97</f>
        <v/>
      </c>
    </row>
    <row r="98" hidden="1">
      <c r="A98" s="13" t="inlineStr">
        <is>
          <t>J2Q3V6</t>
        </is>
      </c>
      <c r="B98" s="13" t="inlineStr">
        <is>
          <t>2027-028</t>
        </is>
      </c>
      <c r="C98" s="13" t="inlineStr">
        <is>
          <t>VK</t>
        </is>
      </c>
      <c r="D98" s="13" t="n">
        <v>3</v>
      </c>
      <c r="E98" s="13" t="inlineStr">
        <is>
          <t>artikel</t>
        </is>
      </c>
      <c r="F98" s="13" t="inlineStr">
        <is>
          <t>HELM</t>
        </is>
      </c>
      <c r="G98" s="13" t="inlineStr">
        <is>
          <t>Fietshelm Urban</t>
        </is>
      </c>
      <c r="H98" s="12" t="n">
        <v>6</v>
      </c>
      <c r="I98" s="14" t="n">
        <v>50</v>
      </c>
      <c r="J98" s="14">
        <f>H98*I98</f>
        <v/>
      </c>
      <c r="K98" s="15" t="n">
        <v>0.21</v>
      </c>
      <c r="L98" s="14">
        <f>J98*K98</f>
        <v/>
      </c>
    </row>
    <row r="99" hidden="1">
      <c r="A99" s="13" t="inlineStr">
        <is>
          <t>J2Q3V6</t>
        </is>
      </c>
      <c r="B99" s="13" t="inlineStr">
        <is>
          <t>2027-028</t>
        </is>
      </c>
      <c r="C99" s="13" t="inlineStr">
        <is>
          <t>VK</t>
        </is>
      </c>
      <c r="D99" s="13" t="n">
        <v>4</v>
      </c>
      <c r="E99" s="13" t="inlineStr">
        <is>
          <t>financiële korting</t>
        </is>
      </c>
      <c r="F99" s="13" t="n"/>
      <c r="G99" s="13" t="inlineStr">
        <is>
          <t>Financiële korting 5% bij betaling binnen 10 dagen (btw berekend na korting)</t>
        </is>
      </c>
      <c r="H99" s="15" t="n">
        <v>0.05</v>
      </c>
      <c r="I99" s="14">
        <f>-SUMIFS(J$96:J98,E$96:E98,"&lt;&gt;verpakking")</f>
        <v/>
      </c>
      <c r="J99" s="14">
        <f>H99*I99</f>
        <v/>
      </c>
      <c r="K99" s="15" t="n">
        <v>0.21</v>
      </c>
      <c r="L99" s="14">
        <f>J99*K99</f>
        <v/>
      </c>
    </row>
    <row r="100" hidden="1">
      <c r="A100" s="13" t="inlineStr">
        <is>
          <t>J2Q3CA2</t>
        </is>
      </c>
      <c r="B100" s="13" t="inlineStr">
        <is>
          <t>SW-CN-2027-019</t>
        </is>
      </c>
      <c r="C100" s="13" t="inlineStr">
        <is>
          <t>CN-AK</t>
        </is>
      </c>
      <c r="D100" s="13" t="n">
        <v>1</v>
      </c>
      <c r="E100" s="13" t="inlineStr">
        <is>
          <t>artikel</t>
        </is>
      </c>
      <c r="F100" s="13" t="inlineStr">
        <is>
          <t>LAMP</t>
        </is>
      </c>
      <c r="G100" s="13" t="inlineStr">
        <is>
          <t>Verlichtingsset LED</t>
        </is>
      </c>
      <c r="H100" s="12" t="n">
        <v>4</v>
      </c>
      <c r="I100" s="14" t="n">
        <v>25</v>
      </c>
      <c r="J100" s="14">
        <f>H100*I100</f>
        <v/>
      </c>
      <c r="K100" s="15" t="n">
        <v>0.21</v>
      </c>
      <c r="L100" s="14">
        <f>J100*K100</f>
        <v/>
      </c>
    </row>
    <row r="101" hidden="1">
      <c r="A101" s="13" t="inlineStr">
        <is>
          <t>J2Q3CA2</t>
        </is>
      </c>
      <c r="B101" s="13" t="inlineStr">
        <is>
          <t>SW-CN-2027-019</t>
        </is>
      </c>
      <c r="C101" s="13" t="inlineStr">
        <is>
          <t>CN-AK</t>
        </is>
      </c>
      <c r="D101" s="13" t="n">
        <v>2</v>
      </c>
      <c r="E101" s="13" t="inlineStr">
        <is>
          <t>verpakking</t>
        </is>
      </c>
      <c r="F101" s="13" t="n"/>
      <c r="G101" s="13" t="inlineStr">
        <is>
          <t>Transportkrat (waarborg)</t>
        </is>
      </c>
      <c r="H101" s="12" t="n">
        <v>2</v>
      </c>
      <c r="I101" s="14" t="n">
        <v>25</v>
      </c>
      <c r="J101" s="14">
        <f>H101*I101</f>
        <v/>
      </c>
      <c r="K101" s="15" t="n">
        <v>0</v>
      </c>
      <c r="L101" s="14">
        <f>J101*K101</f>
        <v/>
      </c>
    </row>
    <row r="102" hidden="1">
      <c r="A102" s="13" t="inlineStr">
        <is>
          <t>J2Q3V4</t>
        </is>
      </c>
      <c r="B102" s="13" t="inlineStr">
        <is>
          <t>2027-018</t>
        </is>
      </c>
      <c r="C102" s="13" t="inlineStr">
        <is>
          <t>VK</t>
        </is>
      </c>
      <c r="D102" s="13" t="n">
        <v>1</v>
      </c>
      <c r="E102" s="13" t="inlineStr">
        <is>
          <t>dienst</t>
        </is>
      </c>
      <c r="F102" s="13" t="n"/>
      <c r="G102" s="13" t="inlineStr">
        <is>
          <t>Onderhoudsbeurt fiets (arbeid)</t>
        </is>
      </c>
      <c r="H102" s="12" t="n">
        <v>20</v>
      </c>
      <c r="I102" s="14" t="n">
        <v>60</v>
      </c>
      <c r="J102" s="14">
        <f>H102*I102</f>
        <v/>
      </c>
      <c r="K102" s="15" t="n">
        <v>0.06</v>
      </c>
      <c r="L102" s="14">
        <f>J102*K102</f>
        <v/>
      </c>
    </row>
    <row r="103" hidden="1">
      <c r="A103" s="13" t="inlineStr">
        <is>
          <t>J2Q3A5</t>
        </is>
      </c>
      <c r="B103" s="13" t="inlineStr">
        <is>
          <t>2027-488</t>
        </is>
      </c>
      <c r="C103" s="13" t="inlineStr">
        <is>
          <t>AK</t>
        </is>
      </c>
      <c r="D103" s="13" t="n">
        <v>1</v>
      </c>
      <c r="E103" s="13" t="inlineStr">
        <is>
          <t>artikel</t>
        </is>
      </c>
      <c r="F103" s="13" t="inlineStr">
        <is>
          <t>STAD</t>
        </is>
      </c>
      <c r="G103" s="13" t="inlineStr">
        <is>
          <t>Stadsfiets City, 7 versnellingen</t>
        </is>
      </c>
      <c r="H103" s="12" t="n">
        <v>5</v>
      </c>
      <c r="I103" s="14" t="n">
        <v>400</v>
      </c>
      <c r="J103" s="14">
        <f>H103*I103</f>
        <v/>
      </c>
      <c r="K103" s="15" t="n">
        <v>0.21</v>
      </c>
      <c r="L103" s="14">
        <f>J103*K103</f>
        <v/>
      </c>
    </row>
    <row r="104" hidden="1">
      <c r="A104" s="13" t="inlineStr">
        <is>
          <t>J2Q3A5</t>
        </is>
      </c>
      <c r="B104" s="13" t="inlineStr">
        <is>
          <t>2027-488</t>
        </is>
      </c>
      <c r="C104" s="13" t="inlineStr">
        <is>
          <t>AK</t>
        </is>
      </c>
      <c r="D104" s="13" t="n">
        <v>2</v>
      </c>
      <c r="E104" s="13" t="inlineStr">
        <is>
          <t>kosten</t>
        </is>
      </c>
      <c r="F104" s="13" t="n"/>
      <c r="G104" s="13" t="inlineStr">
        <is>
          <t>Leveringskosten</t>
        </is>
      </c>
      <c r="H104" s="12" t="n">
        <v>1</v>
      </c>
      <c r="I104" s="14" t="n">
        <v>100</v>
      </c>
      <c r="J104" s="14">
        <f>H104*I104</f>
        <v/>
      </c>
      <c r="K104" s="15" t="n">
        <v>0.21</v>
      </c>
      <c r="L104" s="14">
        <f>J104*K104</f>
        <v/>
      </c>
    </row>
    <row r="105" hidden="1">
      <c r="A105" s="13" t="inlineStr">
        <is>
          <t>J2Q3A5</t>
        </is>
      </c>
      <c r="B105" s="13" t="inlineStr">
        <is>
          <t>2027-488</t>
        </is>
      </c>
      <c r="C105" s="13" t="inlineStr">
        <is>
          <t>AK</t>
        </is>
      </c>
      <c r="D105" s="13" t="n">
        <v>3</v>
      </c>
      <c r="E105" s="13" t="inlineStr">
        <is>
          <t>verpakking</t>
        </is>
      </c>
      <c r="F105" s="13" t="n"/>
      <c r="G105" s="13" t="inlineStr">
        <is>
          <t>Herbruikbaar fietsrek (waarborg)</t>
        </is>
      </c>
      <c r="H105" s="12" t="n">
        <v>3</v>
      </c>
      <c r="I105" s="14" t="n">
        <v>50</v>
      </c>
      <c r="J105" s="14">
        <f>H105*I105</f>
        <v/>
      </c>
      <c r="K105" s="15" t="n">
        <v>0</v>
      </c>
      <c r="L105" s="14">
        <f>J105*K105</f>
        <v/>
      </c>
    </row>
    <row r="106" hidden="1">
      <c r="A106" s="13" t="inlineStr">
        <is>
          <t>J2Q3A5</t>
        </is>
      </c>
      <c r="B106" s="13" t="inlineStr">
        <is>
          <t>2027-488</t>
        </is>
      </c>
      <c r="C106" s="13" t="inlineStr">
        <is>
          <t>AK</t>
        </is>
      </c>
      <c r="D106" s="13" t="n">
        <v>4</v>
      </c>
      <c r="E106" s="13" t="inlineStr">
        <is>
          <t>handelskorting</t>
        </is>
      </c>
      <c r="F106" s="13" t="n"/>
      <c r="G106" s="13" t="inlineStr">
        <is>
          <t>Handelskorting 10% op de goederen</t>
        </is>
      </c>
      <c r="H106" s="15" t="n">
        <v>0.1</v>
      </c>
      <c r="I106" s="14">
        <f>-SUMIFS(J$103:J105,E$103:E105,"artikel")</f>
        <v/>
      </c>
      <c r="J106" s="14">
        <f>H106*I106</f>
        <v/>
      </c>
      <c r="K106" s="15" t="n">
        <v>0.21</v>
      </c>
      <c r="L106" s="14">
        <f>J106*K106</f>
        <v/>
      </c>
    </row>
    <row r="107" hidden="1">
      <c r="A107" s="13" t="inlineStr">
        <is>
          <t>J2Q3V5</t>
        </is>
      </c>
      <c r="B107" s="13" t="inlineStr">
        <is>
          <t>2027-019</t>
        </is>
      </c>
      <c r="C107" s="13" t="inlineStr">
        <is>
          <t>VK</t>
        </is>
      </c>
      <c r="D107" s="13" t="n">
        <v>1</v>
      </c>
      <c r="E107" s="13" t="inlineStr">
        <is>
          <t>artikel</t>
        </is>
      </c>
      <c r="F107" s="13" t="inlineStr">
        <is>
          <t>BAK</t>
        </is>
      </c>
      <c r="G107" s="13" t="inlineStr">
        <is>
          <t>Bakfiets Cargo, 2 wielen</t>
        </is>
      </c>
      <c r="H107" s="12" t="n">
        <v>2</v>
      </c>
      <c r="I107" s="14" t="n">
        <v>2600</v>
      </c>
      <c r="J107" s="14">
        <f>H107*I107</f>
        <v/>
      </c>
      <c r="K107" s="15" t="n">
        <v>0.21</v>
      </c>
      <c r="L107" s="14">
        <f>J107*K107</f>
        <v/>
      </c>
    </row>
    <row r="108" hidden="1">
      <c r="A108" s="13" t="inlineStr">
        <is>
          <t>J2Q3V5</t>
        </is>
      </c>
      <c r="B108" s="13" t="inlineStr">
        <is>
          <t>2027-019</t>
        </is>
      </c>
      <c r="C108" s="13" t="inlineStr">
        <is>
          <t>VK</t>
        </is>
      </c>
      <c r="D108" s="13" t="n">
        <v>2</v>
      </c>
      <c r="E108" s="13" t="inlineStr">
        <is>
          <t>artikel</t>
        </is>
      </c>
      <c r="F108" s="13" t="inlineStr">
        <is>
          <t>HELM</t>
        </is>
      </c>
      <c r="G108" s="13" t="inlineStr">
        <is>
          <t>Fietshelm Urban</t>
        </is>
      </c>
      <c r="H108" s="12" t="n">
        <v>16</v>
      </c>
      <c r="I108" s="14" t="n">
        <v>50</v>
      </c>
      <c r="J108" s="14">
        <f>H108*I108</f>
        <v/>
      </c>
      <c r="K108" s="15" t="n">
        <v>0.21</v>
      </c>
      <c r="L108" s="14">
        <f>J108*K108</f>
        <v/>
      </c>
    </row>
    <row r="109" hidden="1">
      <c r="A109" s="13" t="inlineStr">
        <is>
          <t>J2Q3V5</t>
        </is>
      </c>
      <c r="B109" s="13" t="inlineStr">
        <is>
          <t>2027-019</t>
        </is>
      </c>
      <c r="C109" s="13" t="inlineStr">
        <is>
          <t>VK</t>
        </is>
      </c>
      <c r="D109" s="13" t="n">
        <v>3</v>
      </c>
      <c r="E109" s="13" t="inlineStr">
        <is>
          <t>kosten</t>
        </is>
      </c>
      <c r="F109" s="13" t="n"/>
      <c r="G109" s="13" t="inlineStr">
        <is>
          <t>Leveringskosten</t>
        </is>
      </c>
      <c r="H109" s="12" t="n">
        <v>1</v>
      </c>
      <c r="I109" s="14" t="n">
        <v>100</v>
      </c>
      <c r="J109" s="14">
        <f>H109*I109</f>
        <v/>
      </c>
      <c r="K109" s="15" t="n">
        <v>0.21</v>
      </c>
      <c r="L109" s="14">
        <f>J109*K109</f>
        <v/>
      </c>
    </row>
    <row r="110" hidden="1">
      <c r="A110" s="13" t="inlineStr">
        <is>
          <t>J2Q3V5</t>
        </is>
      </c>
      <c r="B110" s="13" t="inlineStr">
        <is>
          <t>2027-019</t>
        </is>
      </c>
      <c r="C110" s="13" t="inlineStr">
        <is>
          <t>VK</t>
        </is>
      </c>
      <c r="D110" s="13" t="n">
        <v>4</v>
      </c>
      <c r="E110" s="13" t="inlineStr">
        <is>
          <t>handelskorting</t>
        </is>
      </c>
      <c r="F110" s="13" t="n"/>
      <c r="G110" s="13" t="inlineStr">
        <is>
          <t>Handelskorting 10% op de goederen</t>
        </is>
      </c>
      <c r="H110" s="15" t="n">
        <v>0.1</v>
      </c>
      <c r="I110" s="14">
        <f>-SUMIFS(J$107:J109,E$107:E109,"artikel")</f>
        <v/>
      </c>
      <c r="J110" s="14">
        <f>H110*I110</f>
        <v/>
      </c>
      <c r="K110" s="15" t="n">
        <v>0.21</v>
      </c>
      <c r="L110" s="14">
        <f>J110*K110</f>
        <v/>
      </c>
    </row>
    <row r="111" hidden="1">
      <c r="A111" s="13" t="inlineStr">
        <is>
          <t>J2Q3CV2</t>
        </is>
      </c>
      <c r="B111" s="13" t="inlineStr">
        <is>
          <t>CN-2027-007</t>
        </is>
      </c>
      <c r="C111" s="13" t="inlineStr">
        <is>
          <t>CN-VK</t>
        </is>
      </c>
      <c r="D111" s="13" t="n">
        <v>1</v>
      </c>
      <c r="E111" s="13" t="inlineStr">
        <is>
          <t>verpakking</t>
        </is>
      </c>
      <c r="F111" s="13" t="n"/>
      <c r="G111" s="13" t="inlineStr">
        <is>
          <t>Herbruikbaar fietsrek (waarborg)</t>
        </is>
      </c>
      <c r="H111" s="12" t="n">
        <v>3</v>
      </c>
      <c r="I111" s="14" t="n">
        <v>50</v>
      </c>
      <c r="J111" s="14">
        <f>H111*I111</f>
        <v/>
      </c>
      <c r="K111" s="15" t="n">
        <v>0</v>
      </c>
      <c r="L111" s="14">
        <f>J111*K111</f>
        <v/>
      </c>
    </row>
    <row r="112" hidden="1">
      <c r="A112" s="13" t="inlineStr">
        <is>
          <t>J2Q4A1</t>
        </is>
      </c>
      <c r="B112" s="13" t="inlineStr">
        <is>
          <t>2027-702</t>
        </is>
      </c>
      <c r="C112" s="13" t="inlineStr">
        <is>
          <t>AK</t>
        </is>
      </c>
      <c r="D112" s="13" t="n">
        <v>1</v>
      </c>
      <c r="E112" s="13" t="inlineStr">
        <is>
          <t>artikel</t>
        </is>
      </c>
      <c r="F112" s="13" t="inlineStr">
        <is>
          <t>STAD</t>
        </is>
      </c>
      <c r="G112" s="13" t="inlineStr">
        <is>
          <t>Stadsfiets City, 7 versnellingen</t>
        </is>
      </c>
      <c r="H112" s="12" t="n">
        <v>4</v>
      </c>
      <c r="I112" s="14" t="n">
        <v>400</v>
      </c>
      <c r="J112" s="14">
        <f>H112*I112</f>
        <v/>
      </c>
      <c r="K112" s="15" t="n">
        <v>0.21</v>
      </c>
      <c r="L112" s="14">
        <f>J112*K112</f>
        <v/>
      </c>
    </row>
    <row r="113" hidden="1">
      <c r="A113" s="13" t="inlineStr">
        <is>
          <t>J2Q4A1</t>
        </is>
      </c>
      <c r="B113" s="13" t="inlineStr">
        <is>
          <t>2027-702</t>
        </is>
      </c>
      <c r="C113" s="13" t="inlineStr">
        <is>
          <t>AK</t>
        </is>
      </c>
      <c r="D113" s="13" t="n">
        <v>2</v>
      </c>
      <c r="E113" s="13" t="inlineStr">
        <is>
          <t>artikel</t>
        </is>
      </c>
      <c r="F113" s="13" t="inlineStr">
        <is>
          <t>EBIKE</t>
        </is>
      </c>
      <c r="G113" s="13" t="inlineStr">
        <is>
          <t>E-bike Comfort, 500 Wh</t>
        </is>
      </c>
      <c r="H113" s="12" t="n">
        <v>3</v>
      </c>
      <c r="I113" s="14" t="n">
        <v>1400</v>
      </c>
      <c r="J113" s="14">
        <f>H113*I113</f>
        <v/>
      </c>
      <c r="K113" s="15" t="n">
        <v>0.21</v>
      </c>
      <c r="L113" s="14">
        <f>J113*K113</f>
        <v/>
      </c>
    </row>
    <row r="114" hidden="1">
      <c r="A114" s="13" t="inlineStr">
        <is>
          <t>J2Q4A1</t>
        </is>
      </c>
      <c r="B114" s="13" t="inlineStr">
        <is>
          <t>2027-702</t>
        </is>
      </c>
      <c r="C114" s="13" t="inlineStr">
        <is>
          <t>AK</t>
        </is>
      </c>
      <c r="D114" s="13" t="n">
        <v>3</v>
      </c>
      <c r="E114" s="13" t="inlineStr">
        <is>
          <t>artikel</t>
        </is>
      </c>
      <c r="F114" s="13" t="inlineStr">
        <is>
          <t>BAK</t>
        </is>
      </c>
      <c r="G114" s="13" t="inlineStr">
        <is>
          <t>Bakfiets Cargo, 2 wielen</t>
        </is>
      </c>
      <c r="H114" s="12" t="n">
        <v>2</v>
      </c>
      <c r="I114" s="14" t="n">
        <v>1800</v>
      </c>
      <c r="J114" s="14">
        <f>H114*I114</f>
        <v/>
      </c>
      <c r="K114" s="15" t="n">
        <v>0.21</v>
      </c>
      <c r="L114" s="14">
        <f>J114*K114</f>
        <v/>
      </c>
    </row>
    <row r="115" hidden="1">
      <c r="A115" s="13" t="inlineStr">
        <is>
          <t>J2Q4A1</t>
        </is>
      </c>
      <c r="B115" s="13" t="inlineStr">
        <is>
          <t>2027-702</t>
        </is>
      </c>
      <c r="C115" s="13" t="inlineStr">
        <is>
          <t>AK</t>
        </is>
      </c>
      <c r="D115" s="13" t="n">
        <v>4</v>
      </c>
      <c r="E115" s="13" t="inlineStr">
        <is>
          <t>artikel</t>
        </is>
      </c>
      <c r="F115" s="13" t="inlineStr">
        <is>
          <t>KIND</t>
        </is>
      </c>
      <c r="G115" s="13" t="inlineStr">
        <is>
          <t>Kinderfiets 20 inch</t>
        </is>
      </c>
      <c r="H115" s="12" t="n">
        <v>4</v>
      </c>
      <c r="I115" s="14" t="n">
        <v>150</v>
      </c>
      <c r="J115" s="14">
        <f>H115*I115</f>
        <v/>
      </c>
      <c r="K115" s="15" t="n">
        <v>0.21</v>
      </c>
      <c r="L115" s="14">
        <f>J115*K115</f>
        <v/>
      </c>
    </row>
    <row r="116" hidden="1">
      <c r="A116" s="13" t="inlineStr">
        <is>
          <t>J2Q4A1</t>
        </is>
      </c>
      <c r="B116" s="13" t="inlineStr">
        <is>
          <t>2027-702</t>
        </is>
      </c>
      <c r="C116" s="13" t="inlineStr">
        <is>
          <t>AK</t>
        </is>
      </c>
      <c r="D116" s="13" t="n">
        <v>5</v>
      </c>
      <c r="E116" s="13" t="inlineStr">
        <is>
          <t>verpakking</t>
        </is>
      </c>
      <c r="F116" s="13" t="n"/>
      <c r="G116" s="13" t="inlineStr">
        <is>
          <t>Herbruikbaar fietsrek (waarborg)</t>
        </is>
      </c>
      <c r="H116" s="12" t="n">
        <v>4</v>
      </c>
      <c r="I116" s="14" t="n">
        <v>50</v>
      </c>
      <c r="J116" s="14">
        <f>H116*I116</f>
        <v/>
      </c>
      <c r="K116" s="15" t="n">
        <v>0</v>
      </c>
      <c r="L116" s="14">
        <f>J116*K116</f>
        <v/>
      </c>
    </row>
    <row r="117" hidden="1">
      <c r="A117" s="13" t="inlineStr">
        <is>
          <t>J2Q4A1</t>
        </is>
      </c>
      <c r="B117" s="13" t="inlineStr">
        <is>
          <t>2027-702</t>
        </is>
      </c>
      <c r="C117" s="13" t="inlineStr">
        <is>
          <t>AK</t>
        </is>
      </c>
      <c r="D117" s="13" t="n">
        <v>6</v>
      </c>
      <c r="E117" s="13" t="inlineStr">
        <is>
          <t>handelskorting</t>
        </is>
      </c>
      <c r="F117" s="13" t="n"/>
      <c r="G117" s="13" t="inlineStr">
        <is>
          <t>Handelskorting 10% op de goederen</t>
        </is>
      </c>
      <c r="H117" s="15" t="n">
        <v>0.1</v>
      </c>
      <c r="I117" s="14">
        <f>-SUMIFS(J$112:J116,E$112:E116,"artikel")</f>
        <v/>
      </c>
      <c r="J117" s="14">
        <f>H117*I117</f>
        <v/>
      </c>
      <c r="K117" s="15" t="n">
        <v>0.21</v>
      </c>
      <c r="L117" s="14">
        <f>J117*K117</f>
        <v/>
      </c>
    </row>
    <row r="118" hidden="1">
      <c r="A118" s="13" t="inlineStr">
        <is>
          <t>J2Q4A2</t>
        </is>
      </c>
      <c r="B118" s="13" t="inlineStr">
        <is>
          <t>SK-27-3310</t>
        </is>
      </c>
      <c r="C118" s="13" t="inlineStr">
        <is>
          <t>AK</t>
        </is>
      </c>
      <c r="D118" s="13" t="n">
        <v>1</v>
      </c>
      <c r="E118" s="13" t="inlineStr">
        <is>
          <t>dienst</t>
        </is>
      </c>
      <c r="F118" s="13" t="n"/>
      <c r="G118" s="13" t="inlineStr">
        <is>
          <t>Elektriciteit juli-september 2027</t>
        </is>
      </c>
      <c r="H118" s="12" t="n">
        <v>1</v>
      </c>
      <c r="I118" s="14" t="n">
        <v>700</v>
      </c>
      <c r="J118" s="14">
        <f>H118*I118</f>
        <v/>
      </c>
      <c r="K118" s="15" t="n">
        <v>0.21</v>
      </c>
      <c r="L118" s="14">
        <f>J118*K118</f>
        <v/>
      </c>
    </row>
    <row r="119" hidden="1">
      <c r="A119" s="13" t="inlineStr">
        <is>
          <t>J2Q4V1</t>
        </is>
      </c>
      <c r="B119" s="13" t="inlineStr">
        <is>
          <t>2027-020</t>
        </is>
      </c>
      <c r="C119" s="13" t="inlineStr">
        <is>
          <t>VK</t>
        </is>
      </c>
      <c r="D119" s="13" t="n">
        <v>1</v>
      </c>
      <c r="E119" s="13" t="inlineStr">
        <is>
          <t>artikel</t>
        </is>
      </c>
      <c r="F119" s="13" t="inlineStr">
        <is>
          <t>STAD</t>
        </is>
      </c>
      <c r="G119" s="13" t="inlineStr">
        <is>
          <t>Stadsfiets City, 7 versnellingen</t>
        </is>
      </c>
      <c r="H119" s="12" t="n">
        <v>10</v>
      </c>
      <c r="I119" s="14" t="n">
        <v>600</v>
      </c>
      <c r="J119" s="14">
        <f>H119*I119</f>
        <v/>
      </c>
      <c r="K119" s="15" t="n">
        <v>0.21</v>
      </c>
      <c r="L119" s="14">
        <f>J119*K119</f>
        <v/>
      </c>
    </row>
    <row r="120" hidden="1">
      <c r="A120" s="13" t="inlineStr">
        <is>
          <t>J2Q4V1</t>
        </is>
      </c>
      <c r="B120" s="13" t="inlineStr">
        <is>
          <t>2027-020</t>
        </is>
      </c>
      <c r="C120" s="13" t="inlineStr">
        <is>
          <t>VK</t>
        </is>
      </c>
      <c r="D120" s="13" t="n">
        <v>2</v>
      </c>
      <c r="E120" s="13" t="inlineStr">
        <is>
          <t>verpakking</t>
        </is>
      </c>
      <c r="F120" s="13" t="n"/>
      <c r="G120" s="13" t="inlineStr">
        <is>
          <t>Herbruikbaar fietsrek (waarborg)</t>
        </is>
      </c>
      <c r="H120" s="12" t="n">
        <v>3</v>
      </c>
      <c r="I120" s="14" t="n">
        <v>50</v>
      </c>
      <c r="J120" s="14">
        <f>H120*I120</f>
        <v/>
      </c>
      <c r="K120" s="15" t="n">
        <v>0</v>
      </c>
      <c r="L120" s="14">
        <f>J120*K120</f>
        <v/>
      </c>
    </row>
    <row r="121" hidden="1">
      <c r="A121" s="13" t="inlineStr">
        <is>
          <t>J2Q4V1</t>
        </is>
      </c>
      <c r="B121" s="13" t="inlineStr">
        <is>
          <t>2027-020</t>
        </is>
      </c>
      <c r="C121" s="13" t="inlineStr">
        <is>
          <t>VK</t>
        </is>
      </c>
      <c r="D121" s="13" t="n">
        <v>3</v>
      </c>
      <c r="E121" s="13" t="inlineStr">
        <is>
          <t>handelskorting</t>
        </is>
      </c>
      <c r="F121" s="13" t="n"/>
      <c r="G121" s="13" t="inlineStr">
        <is>
          <t>Handelskorting 10% op de goederen</t>
        </is>
      </c>
      <c r="H121" s="15" t="n">
        <v>0.1</v>
      </c>
      <c r="I121" s="14">
        <f>-SUMIFS(J$119:J120,E$119:E120,"artikel")</f>
        <v/>
      </c>
      <c r="J121" s="14">
        <f>H121*I121</f>
        <v/>
      </c>
      <c r="K121" s="15" t="n">
        <v>0.21</v>
      </c>
      <c r="L121" s="14">
        <f>J121*K121</f>
        <v/>
      </c>
    </row>
    <row r="122" hidden="1">
      <c r="A122" s="13" t="inlineStr">
        <is>
          <t>J2Q4CA1</t>
        </is>
      </c>
      <c r="B122" s="13" t="inlineStr">
        <is>
          <t>CN-2027-061</t>
        </is>
      </c>
      <c r="C122" s="13" t="inlineStr">
        <is>
          <t>CN-AK</t>
        </is>
      </c>
      <c r="D122" s="13" t="n">
        <v>1</v>
      </c>
      <c r="E122" s="13" t="inlineStr">
        <is>
          <t>artikel</t>
        </is>
      </c>
      <c r="F122" s="13" t="inlineStr">
        <is>
          <t>KIND</t>
        </is>
      </c>
      <c r="G122" s="13" t="inlineStr">
        <is>
          <t>Kinderfiets 20 inch</t>
        </is>
      </c>
      <c r="H122" s="12" t="n">
        <v>4</v>
      </c>
      <c r="I122" s="14" t="n">
        <v>150</v>
      </c>
      <c r="J122" s="14">
        <f>H122*I122</f>
        <v/>
      </c>
      <c r="K122" s="15" t="n">
        <v>0.21</v>
      </c>
      <c r="L122" s="14">
        <f>J122*K122</f>
        <v/>
      </c>
    </row>
    <row r="123" hidden="1">
      <c r="A123" s="13" t="inlineStr">
        <is>
          <t>J2Q4CA1</t>
        </is>
      </c>
      <c r="B123" s="13" t="inlineStr">
        <is>
          <t>CN-2027-061</t>
        </is>
      </c>
      <c r="C123" s="13" t="inlineStr">
        <is>
          <t>CN-AK</t>
        </is>
      </c>
      <c r="D123" s="13" t="n">
        <v>2</v>
      </c>
      <c r="E123" s="13" t="inlineStr">
        <is>
          <t>artikel</t>
        </is>
      </c>
      <c r="F123" s="13" t="inlineStr">
        <is>
          <t>STAD</t>
        </is>
      </c>
      <c r="G123" s="13" t="inlineStr">
        <is>
          <t>Stadsfiets City, 7 versnellingen</t>
        </is>
      </c>
      <c r="H123" s="12" t="n">
        <v>1</v>
      </c>
      <c r="I123" s="14" t="n">
        <v>400</v>
      </c>
      <c r="J123" s="14">
        <f>H123*I123</f>
        <v/>
      </c>
      <c r="K123" s="15" t="n">
        <v>0.21</v>
      </c>
      <c r="L123" s="14">
        <f>J123*K123</f>
        <v/>
      </c>
    </row>
    <row r="124" hidden="1">
      <c r="A124" s="13" t="inlineStr">
        <is>
          <t>J2Q4CA1</t>
        </is>
      </c>
      <c r="B124" s="13" t="inlineStr">
        <is>
          <t>CN-2027-061</t>
        </is>
      </c>
      <c r="C124" s="13" t="inlineStr">
        <is>
          <t>CN-AK</t>
        </is>
      </c>
      <c r="D124" s="13" t="n">
        <v>3</v>
      </c>
      <c r="E124" s="13" t="inlineStr">
        <is>
          <t>handelskorting</t>
        </is>
      </c>
      <c r="F124" s="13" t="n"/>
      <c r="G124" s="13" t="inlineStr">
        <is>
          <t>Handelskorting 10% op de goederen</t>
        </is>
      </c>
      <c r="H124" s="15" t="n">
        <v>0.1</v>
      </c>
      <c r="I124" s="14">
        <f>-SUMIFS(J$122:J123,E$122:E123,"artikel")</f>
        <v/>
      </c>
      <c r="J124" s="14">
        <f>H124*I124</f>
        <v/>
      </c>
      <c r="K124" s="15" t="n">
        <v>0.21</v>
      </c>
      <c r="L124" s="14">
        <f>J124*K124</f>
        <v/>
      </c>
    </row>
    <row r="125" hidden="1">
      <c r="A125" s="13" t="inlineStr">
        <is>
          <t>J2Q4CV1</t>
        </is>
      </c>
      <c r="B125" s="13" t="inlineStr">
        <is>
          <t>CN-2027-008</t>
        </is>
      </c>
      <c r="C125" s="13" t="inlineStr">
        <is>
          <t>CN-VK</t>
        </is>
      </c>
      <c r="D125" s="13" t="n">
        <v>1</v>
      </c>
      <c r="E125" s="13" t="inlineStr">
        <is>
          <t>artikel</t>
        </is>
      </c>
      <c r="F125" s="13" t="inlineStr">
        <is>
          <t>STAD</t>
        </is>
      </c>
      <c r="G125" s="13" t="inlineStr">
        <is>
          <t>Stadsfiets City, 7 versnellingen</t>
        </is>
      </c>
      <c r="H125" s="12" t="n">
        <v>5</v>
      </c>
      <c r="I125" s="14" t="n">
        <v>600</v>
      </c>
      <c r="J125" s="14">
        <f>H125*I125</f>
        <v/>
      </c>
      <c r="K125" s="15" t="n">
        <v>0.21</v>
      </c>
      <c r="L125" s="14">
        <f>J125*K125</f>
        <v/>
      </c>
    </row>
    <row r="126" hidden="1">
      <c r="A126" s="13" t="inlineStr">
        <is>
          <t>J2Q4CV1</t>
        </is>
      </c>
      <c r="B126" s="13" t="inlineStr">
        <is>
          <t>CN-2027-008</t>
        </is>
      </c>
      <c r="C126" s="13" t="inlineStr">
        <is>
          <t>CN-VK</t>
        </is>
      </c>
      <c r="D126" s="13" t="n">
        <v>2</v>
      </c>
      <c r="E126" s="13" t="inlineStr">
        <is>
          <t>handelskorting</t>
        </is>
      </c>
      <c r="F126" s="13" t="n"/>
      <c r="G126" s="13" t="inlineStr">
        <is>
          <t>Handelskorting 10% op de goederen</t>
        </is>
      </c>
      <c r="H126" s="15" t="n">
        <v>0.1</v>
      </c>
      <c r="I126" s="14">
        <f>-SUMIFS(J$125:J125,E$125:E125,"artikel")</f>
        <v/>
      </c>
      <c r="J126" s="14">
        <f>H126*I126</f>
        <v/>
      </c>
      <c r="K126" s="15" t="n">
        <v>0.21</v>
      </c>
      <c r="L126" s="14">
        <f>J126*K126</f>
        <v/>
      </c>
    </row>
    <row r="127" hidden="1">
      <c r="A127" s="13" t="inlineStr">
        <is>
          <t>J2Q4A3</t>
        </is>
      </c>
      <c r="B127" s="13" t="inlineStr">
        <is>
          <t>HH-27-260</t>
        </is>
      </c>
      <c r="C127" s="13" t="inlineStr">
        <is>
          <t>AK</t>
        </is>
      </c>
      <c r="D127" s="13" t="n">
        <v>1</v>
      </c>
      <c r="E127" s="13" t="inlineStr">
        <is>
          <t>artikel</t>
        </is>
      </c>
      <c r="F127" s="13" t="inlineStr">
        <is>
          <t>HELM</t>
        </is>
      </c>
      <c r="G127" s="13" t="inlineStr">
        <is>
          <t>Fietshelm Urban</t>
        </is>
      </c>
      <c r="H127" s="12" t="n">
        <v>30</v>
      </c>
      <c r="I127" s="14" t="n">
        <v>30</v>
      </c>
      <c r="J127" s="14">
        <f>H127*I127</f>
        <v/>
      </c>
      <c r="K127" s="15" t="n">
        <v>0.21</v>
      </c>
      <c r="L127" s="14">
        <f>J127*K127</f>
        <v/>
      </c>
    </row>
    <row r="128" hidden="1">
      <c r="A128" s="13" t="inlineStr">
        <is>
          <t>J2Q4A3</t>
        </is>
      </c>
      <c r="B128" s="13" t="inlineStr">
        <is>
          <t>HH-27-260</t>
        </is>
      </c>
      <c r="C128" s="13" t="inlineStr">
        <is>
          <t>AK</t>
        </is>
      </c>
      <c r="D128" s="13" t="n">
        <v>2</v>
      </c>
      <c r="E128" s="13" t="inlineStr">
        <is>
          <t>artikel</t>
        </is>
      </c>
      <c r="F128" s="13" t="inlineStr">
        <is>
          <t>SLOT</t>
        </is>
      </c>
      <c r="G128" s="13" t="inlineStr">
        <is>
          <t>Plooislot</t>
        </is>
      </c>
      <c r="H128" s="12" t="n">
        <v>5</v>
      </c>
      <c r="I128" s="14" t="n">
        <v>20</v>
      </c>
      <c r="J128" s="14">
        <f>H128*I128</f>
        <v/>
      </c>
      <c r="K128" s="15" t="n">
        <v>0.21</v>
      </c>
      <c r="L128" s="14">
        <f>J128*K128</f>
        <v/>
      </c>
    </row>
    <row r="129" hidden="1">
      <c r="A129" s="13" t="inlineStr">
        <is>
          <t>J2Q4A3</t>
        </is>
      </c>
      <c r="B129" s="13" t="inlineStr">
        <is>
          <t>HH-27-260</t>
        </is>
      </c>
      <c r="C129" s="13" t="inlineStr">
        <is>
          <t>AK</t>
        </is>
      </c>
      <c r="D129" s="13" t="n">
        <v>3</v>
      </c>
      <c r="E129" s="13" t="inlineStr">
        <is>
          <t>kosten</t>
        </is>
      </c>
      <c r="F129" s="13" t="n"/>
      <c r="G129" s="13" t="inlineStr">
        <is>
          <t>Transportkosten</t>
        </is>
      </c>
      <c r="H129" s="12" t="n">
        <v>1</v>
      </c>
      <c r="I129" s="14" t="n">
        <v>100</v>
      </c>
      <c r="J129" s="14">
        <f>H129*I129</f>
        <v/>
      </c>
      <c r="K129" s="15" t="n">
        <v>0.21</v>
      </c>
      <c r="L129" s="14">
        <f>J129*K129</f>
        <v/>
      </c>
    </row>
    <row r="130" hidden="1">
      <c r="A130" s="13" t="inlineStr">
        <is>
          <t>J2Q4V2</t>
        </is>
      </c>
      <c r="B130" s="13" t="inlineStr">
        <is>
          <t>2027-021</t>
        </is>
      </c>
      <c r="C130" s="13" t="inlineStr">
        <is>
          <t>VK</t>
        </is>
      </c>
      <c r="D130" s="13" t="n">
        <v>1</v>
      </c>
      <c r="E130" s="13" t="inlineStr">
        <is>
          <t>artikel</t>
        </is>
      </c>
      <c r="F130" s="13" t="inlineStr">
        <is>
          <t>EBIKE</t>
        </is>
      </c>
      <c r="G130" s="13" t="inlineStr">
        <is>
          <t>E-bike Comfort, 500 Wh</t>
        </is>
      </c>
      <c r="H130" s="12" t="n">
        <v>2</v>
      </c>
      <c r="I130" s="14" t="n">
        <v>2000</v>
      </c>
      <c r="J130" s="14">
        <f>H130*I130</f>
        <v/>
      </c>
      <c r="K130" s="15" t="n">
        <v>0.21</v>
      </c>
      <c r="L130" s="14">
        <f>J130*K130</f>
        <v/>
      </c>
    </row>
    <row r="131" hidden="1">
      <c r="A131" s="13" t="inlineStr">
        <is>
          <t>J2Q4V2</t>
        </is>
      </c>
      <c r="B131" s="13" t="inlineStr">
        <is>
          <t>2027-021</t>
        </is>
      </c>
      <c r="C131" s="13" t="inlineStr">
        <is>
          <t>VK</t>
        </is>
      </c>
      <c r="D131" s="13" t="n">
        <v>2</v>
      </c>
      <c r="E131" s="13" t="inlineStr">
        <is>
          <t>artikel</t>
        </is>
      </c>
      <c r="F131" s="13" t="inlineStr">
        <is>
          <t>HELM</t>
        </is>
      </c>
      <c r="G131" s="13" t="inlineStr">
        <is>
          <t>Fietshelm Urban</t>
        </is>
      </c>
      <c r="H131" s="12" t="n">
        <v>6</v>
      </c>
      <c r="I131" s="14" t="n">
        <v>50</v>
      </c>
      <c r="J131" s="14">
        <f>H131*I131</f>
        <v/>
      </c>
      <c r="K131" s="15" t="n">
        <v>0.21</v>
      </c>
      <c r="L131" s="14">
        <f>J131*K131</f>
        <v/>
      </c>
    </row>
    <row r="132" hidden="1">
      <c r="A132" s="13" t="inlineStr">
        <is>
          <t>J2Q4CA2</t>
        </is>
      </c>
      <c r="B132" s="13" t="inlineStr">
        <is>
          <t>CN-2027-070</t>
        </is>
      </c>
      <c r="C132" s="13" t="inlineStr">
        <is>
          <t>CN-AK</t>
        </is>
      </c>
      <c r="D132" s="13" t="n">
        <v>1</v>
      </c>
      <c r="E132" s="13" t="inlineStr">
        <is>
          <t>verpakking</t>
        </is>
      </c>
      <c r="F132" s="13" t="n"/>
      <c r="G132" s="13" t="inlineStr">
        <is>
          <t>Herbruikbaar fietsrek (waarborg)</t>
        </is>
      </c>
      <c r="H132" s="12" t="n">
        <v>4</v>
      </c>
      <c r="I132" s="14" t="n">
        <v>50</v>
      </c>
      <c r="J132" s="14">
        <f>H132*I132</f>
        <v/>
      </c>
      <c r="K132" s="15" t="n">
        <v>0</v>
      </c>
      <c r="L132" s="14">
        <f>J132*K132</f>
        <v/>
      </c>
    </row>
    <row r="133" hidden="1">
      <c r="A133" s="13" t="inlineStr">
        <is>
          <t>J2Q4A4</t>
        </is>
      </c>
      <c r="B133" s="13" t="inlineStr">
        <is>
          <t>2027-766</t>
        </is>
      </c>
      <c r="C133" s="13" t="inlineStr">
        <is>
          <t>AK</t>
        </is>
      </c>
      <c r="D133" s="13" t="n">
        <v>1</v>
      </c>
      <c r="E133" s="13" t="inlineStr">
        <is>
          <t>artikel</t>
        </is>
      </c>
      <c r="F133" s="13" t="inlineStr">
        <is>
          <t>EBIKE</t>
        </is>
      </c>
      <c r="G133" s="13" t="inlineStr">
        <is>
          <t>E-bike Comfort, 500 Wh</t>
        </is>
      </c>
      <c r="H133" s="12" t="n">
        <v>1</v>
      </c>
      <c r="I133" s="14" t="n">
        <v>1400</v>
      </c>
      <c r="J133" s="14">
        <f>H133*I133</f>
        <v/>
      </c>
      <c r="K133" s="15" t="n">
        <v>0.21</v>
      </c>
      <c r="L133" s="14">
        <f>J133*K133</f>
        <v/>
      </c>
    </row>
    <row r="134" hidden="1">
      <c r="A134" s="13" t="inlineStr">
        <is>
          <t>J2Q4A4</t>
        </is>
      </c>
      <c r="B134" s="13" t="inlineStr">
        <is>
          <t>2027-766</t>
        </is>
      </c>
      <c r="C134" s="13" t="inlineStr">
        <is>
          <t>AK</t>
        </is>
      </c>
      <c r="D134" s="13" t="n">
        <v>2</v>
      </c>
      <c r="E134" s="13" t="inlineStr">
        <is>
          <t>artikel</t>
        </is>
      </c>
      <c r="F134" s="13" t="inlineStr">
        <is>
          <t>STAD</t>
        </is>
      </c>
      <c r="G134" s="13" t="inlineStr">
        <is>
          <t>Stadsfiets City, 7 versnellingen</t>
        </is>
      </c>
      <c r="H134" s="12" t="n">
        <v>4</v>
      </c>
      <c r="I134" s="14" t="n">
        <v>400</v>
      </c>
      <c r="J134" s="14">
        <f>H134*I134</f>
        <v/>
      </c>
      <c r="K134" s="15" t="n">
        <v>0.21</v>
      </c>
      <c r="L134" s="14">
        <f>J134*K134</f>
        <v/>
      </c>
    </row>
    <row r="135" hidden="1">
      <c r="A135" s="13" t="inlineStr">
        <is>
          <t>J2Q4A4</t>
        </is>
      </c>
      <c r="B135" s="13" t="inlineStr">
        <is>
          <t>2027-766</t>
        </is>
      </c>
      <c r="C135" s="13" t="inlineStr">
        <is>
          <t>AK</t>
        </is>
      </c>
      <c r="D135" s="13" t="n">
        <v>3</v>
      </c>
      <c r="E135" s="13" t="inlineStr">
        <is>
          <t>kosten</t>
        </is>
      </c>
      <c r="F135" s="13" t="n"/>
      <c r="G135" s="13" t="inlineStr">
        <is>
          <t>Transportkosten</t>
        </is>
      </c>
      <c r="H135" s="12" t="n">
        <v>1</v>
      </c>
      <c r="I135" s="14" t="n">
        <v>100</v>
      </c>
      <c r="J135" s="14">
        <f>H135*I135</f>
        <v/>
      </c>
      <c r="K135" s="15" t="n">
        <v>0.21</v>
      </c>
      <c r="L135" s="14">
        <f>J135*K135</f>
        <v/>
      </c>
    </row>
    <row r="136" hidden="1">
      <c r="A136" s="13" t="inlineStr">
        <is>
          <t>J2Q4A4</t>
        </is>
      </c>
      <c r="B136" s="13" t="inlineStr">
        <is>
          <t>2027-766</t>
        </is>
      </c>
      <c r="C136" s="13" t="inlineStr">
        <is>
          <t>AK</t>
        </is>
      </c>
      <c r="D136" s="13" t="n">
        <v>4</v>
      </c>
      <c r="E136" s="13" t="inlineStr">
        <is>
          <t>handelskorting</t>
        </is>
      </c>
      <c r="F136" s="13" t="n"/>
      <c r="G136" s="13" t="inlineStr">
        <is>
          <t>Handelskorting 10% op de goederen</t>
        </is>
      </c>
      <c r="H136" s="15" t="n">
        <v>0.1</v>
      </c>
      <c r="I136" s="14">
        <f>-SUMIFS(J$133:J135,E$133:E135,"artikel")</f>
        <v/>
      </c>
      <c r="J136" s="14">
        <f>H136*I136</f>
        <v/>
      </c>
      <c r="K136" s="15" t="n">
        <v>0.21</v>
      </c>
      <c r="L136" s="14">
        <f>J136*K136</f>
        <v/>
      </c>
    </row>
    <row r="137" hidden="1">
      <c r="A137" s="13" t="inlineStr">
        <is>
          <t>J2Q4V3</t>
        </is>
      </c>
      <c r="B137" s="13" t="inlineStr">
        <is>
          <t>2027-022</t>
        </is>
      </c>
      <c r="C137" s="13" t="inlineStr">
        <is>
          <t>VK</t>
        </is>
      </c>
      <c r="D137" s="13" t="n">
        <v>1</v>
      </c>
      <c r="E137" s="13" t="inlineStr">
        <is>
          <t>artikel</t>
        </is>
      </c>
      <c r="F137" s="13" t="inlineStr">
        <is>
          <t>EBIKE</t>
        </is>
      </c>
      <c r="G137" s="13" t="inlineStr">
        <is>
          <t>E-bike Comfort, 500 Wh</t>
        </is>
      </c>
      <c r="H137" s="12" t="n">
        <v>2</v>
      </c>
      <c r="I137" s="14" t="n">
        <v>2000</v>
      </c>
      <c r="J137" s="14">
        <f>H137*I137</f>
        <v/>
      </c>
      <c r="K137" s="15" t="n">
        <v>0.21</v>
      </c>
      <c r="L137" s="14">
        <f>J137*K137</f>
        <v/>
      </c>
    </row>
    <row r="138" hidden="1">
      <c r="A138" s="13" t="inlineStr">
        <is>
          <t>J2Q4V3</t>
        </is>
      </c>
      <c r="B138" s="13" t="inlineStr">
        <is>
          <t>2027-022</t>
        </is>
      </c>
      <c r="C138" s="13" t="inlineStr">
        <is>
          <t>VK</t>
        </is>
      </c>
      <c r="D138" s="13" t="n">
        <v>2</v>
      </c>
      <c r="E138" s="13" t="inlineStr">
        <is>
          <t>kosten</t>
        </is>
      </c>
      <c r="F138" s="13" t="n"/>
      <c r="G138" s="13" t="inlineStr">
        <is>
          <t>Leveringskosten</t>
        </is>
      </c>
      <c r="H138" s="12" t="n">
        <v>1</v>
      </c>
      <c r="I138" s="14" t="n">
        <v>100</v>
      </c>
      <c r="J138" s="14">
        <f>H138*I138</f>
        <v/>
      </c>
      <c r="K138" s="15" t="n">
        <v>0.21</v>
      </c>
      <c r="L138" s="14">
        <f>J138*K138</f>
        <v/>
      </c>
    </row>
    <row r="139" hidden="1">
      <c r="A139" s="13" t="inlineStr">
        <is>
          <t>J2Q4CV2</t>
        </is>
      </c>
      <c r="B139" s="13" t="inlineStr">
        <is>
          <t>CN-2027-009</t>
        </is>
      </c>
      <c r="C139" s="13" t="inlineStr">
        <is>
          <t>CN-VK</t>
        </is>
      </c>
      <c r="D139" s="13" t="n">
        <v>1</v>
      </c>
      <c r="E139" s="13" t="inlineStr">
        <is>
          <t>verpakking</t>
        </is>
      </c>
      <c r="F139" s="13" t="n"/>
      <c r="G139" s="13" t="inlineStr">
        <is>
          <t>Herbruikbaar fietsrek (waarborg)</t>
        </is>
      </c>
      <c r="H139" s="12" t="n">
        <v>3</v>
      </c>
      <c r="I139" s="14" t="n">
        <v>50</v>
      </c>
      <c r="J139" s="14">
        <f>H139*I139</f>
        <v/>
      </c>
      <c r="K139" s="15" t="n">
        <v>0</v>
      </c>
      <c r="L139" s="14">
        <f>J139*K139</f>
        <v/>
      </c>
    </row>
    <row r="140" hidden="1">
      <c r="A140" s="13" t="inlineStr">
        <is>
          <t>J2Q4A6</t>
        </is>
      </c>
      <c r="B140" s="13" t="inlineStr">
        <is>
          <t>2027-811</t>
        </is>
      </c>
      <c r="C140" s="13" t="inlineStr">
        <is>
          <t>AK</t>
        </is>
      </c>
      <c r="D140" s="13" t="n">
        <v>1</v>
      </c>
      <c r="E140" s="13" t="inlineStr">
        <is>
          <t>artikel</t>
        </is>
      </c>
      <c r="F140" s="13" t="inlineStr">
        <is>
          <t>BAK</t>
        </is>
      </c>
      <c r="G140" s="13" t="inlineStr">
        <is>
          <t>Bakfiets Cargo, 2 wielen</t>
        </is>
      </c>
      <c r="H140" s="12" t="n">
        <v>1</v>
      </c>
      <c r="I140" s="14" t="n">
        <v>1800</v>
      </c>
      <c r="J140" s="14">
        <f>H140*I140</f>
        <v/>
      </c>
      <c r="K140" s="15" t="n">
        <v>0.21</v>
      </c>
      <c r="L140" s="14">
        <f>J140*K140</f>
        <v/>
      </c>
    </row>
    <row r="141" hidden="1">
      <c r="A141" s="13" t="inlineStr">
        <is>
          <t>J2Q4A6</t>
        </is>
      </c>
      <c r="B141" s="13" t="inlineStr">
        <is>
          <t>2027-811</t>
        </is>
      </c>
      <c r="C141" s="13" t="inlineStr">
        <is>
          <t>AK</t>
        </is>
      </c>
      <c r="D141" s="13" t="n">
        <v>2</v>
      </c>
      <c r="E141" s="13" t="inlineStr">
        <is>
          <t>artikel</t>
        </is>
      </c>
      <c r="F141" s="13" t="inlineStr">
        <is>
          <t>STAD</t>
        </is>
      </c>
      <c r="G141" s="13" t="inlineStr">
        <is>
          <t>Stadsfiets City, 7 versnellingen</t>
        </is>
      </c>
      <c r="H141" s="12" t="n">
        <v>1</v>
      </c>
      <c r="I141" s="14" t="n">
        <v>400</v>
      </c>
      <c r="J141" s="14">
        <f>H141*I141</f>
        <v/>
      </c>
      <c r="K141" s="15" t="n">
        <v>0.21</v>
      </c>
      <c r="L141" s="14">
        <f>J141*K141</f>
        <v/>
      </c>
    </row>
    <row r="142" hidden="1">
      <c r="A142" s="13" t="inlineStr">
        <is>
          <t>J2Q4A6</t>
        </is>
      </c>
      <c r="B142" s="13" t="inlineStr">
        <is>
          <t>2027-811</t>
        </is>
      </c>
      <c r="C142" s="13" t="inlineStr">
        <is>
          <t>AK</t>
        </is>
      </c>
      <c r="D142" s="13" t="n">
        <v>3</v>
      </c>
      <c r="E142" s="13" t="inlineStr">
        <is>
          <t>artikel</t>
        </is>
      </c>
      <c r="F142" s="13" t="inlineStr">
        <is>
          <t>KIND</t>
        </is>
      </c>
      <c r="G142" s="13" t="inlineStr">
        <is>
          <t>Kinderfiets 20 inch</t>
        </is>
      </c>
      <c r="H142" s="12" t="n">
        <v>2</v>
      </c>
      <c r="I142" s="14" t="n">
        <v>150</v>
      </c>
      <c r="J142" s="14">
        <f>H142*I142</f>
        <v/>
      </c>
      <c r="K142" s="15" t="n">
        <v>0.21</v>
      </c>
      <c r="L142" s="14">
        <f>J142*K142</f>
        <v/>
      </c>
    </row>
    <row r="143" hidden="1">
      <c r="A143" s="13" t="inlineStr">
        <is>
          <t>J2Q4A6</t>
        </is>
      </c>
      <c r="B143" s="13" t="inlineStr">
        <is>
          <t>2027-811</t>
        </is>
      </c>
      <c r="C143" s="13" t="inlineStr">
        <is>
          <t>AK</t>
        </is>
      </c>
      <c r="D143" s="13" t="n">
        <v>4</v>
      </c>
      <c r="E143" s="13" t="inlineStr">
        <is>
          <t>financiële korting</t>
        </is>
      </c>
      <c r="F143" s="13" t="n"/>
      <c r="G143" s="13" t="inlineStr">
        <is>
          <t>Financiële korting 4% bij betaling binnen 10 dagen (btw berekend na korting)</t>
        </is>
      </c>
      <c r="H143" s="15" t="n">
        <v>0.04</v>
      </c>
      <c r="I143" s="14">
        <f>-SUMIFS(J$140:J142,E$140:E142,"&lt;&gt;verpakking")</f>
        <v/>
      </c>
      <c r="J143" s="14">
        <f>H143*I143</f>
        <v/>
      </c>
      <c r="K143" s="15" t="n">
        <v>0.21</v>
      </c>
      <c r="L143" s="14">
        <f>J143*K143</f>
        <v/>
      </c>
    </row>
    <row r="144" hidden="1">
      <c r="A144" s="13" t="inlineStr">
        <is>
          <t>J2Q4V6</t>
        </is>
      </c>
      <c r="B144" s="13" t="inlineStr">
        <is>
          <t>2027-029</t>
        </is>
      </c>
      <c r="C144" s="13" t="inlineStr">
        <is>
          <t>VK</t>
        </is>
      </c>
      <c r="D144" s="13" t="n">
        <v>1</v>
      </c>
      <c r="E144" s="13" t="inlineStr">
        <is>
          <t>artikel</t>
        </is>
      </c>
      <c r="F144" s="13" t="inlineStr">
        <is>
          <t>STAD</t>
        </is>
      </c>
      <c r="G144" s="13" t="inlineStr">
        <is>
          <t>Stadsfiets City, 7 versnellingen</t>
        </is>
      </c>
      <c r="H144" s="12" t="n">
        <v>5</v>
      </c>
      <c r="I144" s="14" t="n">
        <v>600</v>
      </c>
      <c r="J144" s="14">
        <f>H144*I144</f>
        <v/>
      </c>
      <c r="K144" s="15" t="n">
        <v>0.21</v>
      </c>
      <c r="L144" s="14">
        <f>J144*K144</f>
        <v/>
      </c>
    </row>
    <row r="145" hidden="1">
      <c r="A145" s="13" t="inlineStr">
        <is>
          <t>J2Q4V6</t>
        </is>
      </c>
      <c r="B145" s="13" t="inlineStr">
        <is>
          <t>2027-029</t>
        </is>
      </c>
      <c r="C145" s="13" t="inlineStr">
        <is>
          <t>VK</t>
        </is>
      </c>
      <c r="D145" s="13" t="n">
        <v>2</v>
      </c>
      <c r="E145" s="13" t="inlineStr">
        <is>
          <t>artikel</t>
        </is>
      </c>
      <c r="F145" s="13" t="inlineStr">
        <is>
          <t>EBIKE</t>
        </is>
      </c>
      <c r="G145" s="13" t="inlineStr">
        <is>
          <t>E-bike Comfort, 500 Wh</t>
        </is>
      </c>
      <c r="H145" s="12" t="n">
        <v>1</v>
      </c>
      <c r="I145" s="14" t="n">
        <v>2000</v>
      </c>
      <c r="J145" s="14">
        <f>H145*I145</f>
        <v/>
      </c>
      <c r="K145" s="15" t="n">
        <v>0.21</v>
      </c>
      <c r="L145" s="14">
        <f>J145*K145</f>
        <v/>
      </c>
    </row>
    <row r="146" hidden="1">
      <c r="A146" s="13" t="inlineStr">
        <is>
          <t>J2Q4V6</t>
        </is>
      </c>
      <c r="B146" s="13" t="inlineStr">
        <is>
          <t>2027-029</t>
        </is>
      </c>
      <c r="C146" s="13" t="inlineStr">
        <is>
          <t>VK</t>
        </is>
      </c>
      <c r="D146" s="13" t="n">
        <v>3</v>
      </c>
      <c r="E146" s="13" t="inlineStr">
        <is>
          <t>financiële korting</t>
        </is>
      </c>
      <c r="F146" s="13" t="n"/>
      <c r="G146" s="13" t="inlineStr">
        <is>
          <t>Financiële korting 2% bij betaling binnen 10 dagen (btw berekend na korting)</t>
        </is>
      </c>
      <c r="H146" s="15" t="n">
        <v>0.02</v>
      </c>
      <c r="I146" s="14">
        <f>-SUMIFS(J$144:J145,E$144:E145,"&lt;&gt;verpakking")</f>
        <v/>
      </c>
      <c r="J146" s="14">
        <f>H146*I146</f>
        <v/>
      </c>
      <c r="K146" s="15" t="n">
        <v>0.21</v>
      </c>
      <c r="L146" s="14">
        <f>J146*K146</f>
        <v/>
      </c>
    </row>
    <row r="147" hidden="1">
      <c r="A147" s="13" t="inlineStr">
        <is>
          <t>J2Q4V5</t>
        </is>
      </c>
      <c r="B147" s="13" t="inlineStr">
        <is>
          <t>2027-024</t>
        </is>
      </c>
      <c r="C147" s="13" t="inlineStr">
        <is>
          <t>VK</t>
        </is>
      </c>
      <c r="D147" s="13" t="n">
        <v>1</v>
      </c>
      <c r="E147" s="13" t="inlineStr">
        <is>
          <t>artikel</t>
        </is>
      </c>
      <c r="F147" s="13" t="inlineStr">
        <is>
          <t>BAK</t>
        </is>
      </c>
      <c r="G147" s="13" t="inlineStr">
        <is>
          <t>Bakfiets Cargo, 2 wielen</t>
        </is>
      </c>
      <c r="H147" s="12" t="n">
        <v>2</v>
      </c>
      <c r="I147" s="14" t="n">
        <v>2600</v>
      </c>
      <c r="J147" s="14">
        <f>H147*I147</f>
        <v/>
      </c>
      <c r="K147" s="15" t="n">
        <v>0.21</v>
      </c>
      <c r="L147" s="14">
        <f>J147*K147</f>
        <v/>
      </c>
    </row>
    <row r="148" hidden="1">
      <c r="A148" s="13" t="inlineStr">
        <is>
          <t>J2Q4V5</t>
        </is>
      </c>
      <c r="B148" s="13" t="inlineStr">
        <is>
          <t>2027-024</t>
        </is>
      </c>
      <c r="C148" s="13" t="inlineStr">
        <is>
          <t>VK</t>
        </is>
      </c>
      <c r="D148" s="13" t="n">
        <v>2</v>
      </c>
      <c r="E148" s="13" t="inlineStr">
        <is>
          <t>artikel</t>
        </is>
      </c>
      <c r="F148" s="13" t="inlineStr">
        <is>
          <t>HELM</t>
        </is>
      </c>
      <c r="G148" s="13" t="inlineStr">
        <is>
          <t>Fietshelm Urban</t>
        </is>
      </c>
      <c r="H148" s="12" t="n">
        <v>16</v>
      </c>
      <c r="I148" s="14" t="n">
        <v>50</v>
      </c>
      <c r="J148" s="14">
        <f>H148*I148</f>
        <v/>
      </c>
      <c r="K148" s="15" t="n">
        <v>0.21</v>
      </c>
      <c r="L148" s="14">
        <f>J148*K148</f>
        <v/>
      </c>
    </row>
    <row r="149" hidden="1">
      <c r="A149" s="13" t="inlineStr">
        <is>
          <t>J2Q4V5</t>
        </is>
      </c>
      <c r="B149" s="13" t="inlineStr">
        <is>
          <t>2027-024</t>
        </is>
      </c>
      <c r="C149" s="13" t="inlineStr">
        <is>
          <t>VK</t>
        </is>
      </c>
      <c r="D149" s="13" t="n">
        <v>3</v>
      </c>
      <c r="E149" s="13" t="inlineStr">
        <is>
          <t>kosten</t>
        </is>
      </c>
      <c r="F149" s="13" t="n"/>
      <c r="G149" s="13" t="inlineStr">
        <is>
          <t>Leveringskosten</t>
        </is>
      </c>
      <c r="H149" s="12" t="n">
        <v>1</v>
      </c>
      <c r="I149" s="14" t="n">
        <v>100</v>
      </c>
      <c r="J149" s="14">
        <f>H149*I149</f>
        <v/>
      </c>
      <c r="K149" s="15" t="n">
        <v>0.21</v>
      </c>
      <c r="L149" s="14">
        <f>J149*K149</f>
        <v/>
      </c>
    </row>
    <row r="150" hidden="1">
      <c r="A150" s="13" t="inlineStr">
        <is>
          <t>J2Q4V5</t>
        </is>
      </c>
      <c r="B150" s="13" t="inlineStr">
        <is>
          <t>2027-024</t>
        </is>
      </c>
      <c r="C150" s="13" t="inlineStr">
        <is>
          <t>VK</t>
        </is>
      </c>
      <c r="D150" s="13" t="n">
        <v>4</v>
      </c>
      <c r="E150" s="13" t="inlineStr">
        <is>
          <t>handelskorting</t>
        </is>
      </c>
      <c r="F150" s="13" t="n"/>
      <c r="G150" s="13" t="inlineStr">
        <is>
          <t>Handelskorting 5% op de goederen</t>
        </is>
      </c>
      <c r="H150" s="15" t="n">
        <v>0.05</v>
      </c>
      <c r="I150" s="14">
        <f>-SUMIFS(J$147:J149,E$147:E149,"artikel")</f>
        <v/>
      </c>
      <c r="J150" s="14">
        <f>H150*I150</f>
        <v/>
      </c>
      <c r="K150" s="15" t="n">
        <v>0.21</v>
      </c>
      <c r="L150" s="14">
        <f>J150*K150</f>
        <v/>
      </c>
    </row>
    <row r="151" hidden="1">
      <c r="A151" s="13" t="inlineStr">
        <is>
          <t>J2Q4D1</t>
        </is>
      </c>
      <c r="B151" s="13" t="inlineStr">
        <is>
          <t>DO-2027-04</t>
        </is>
      </c>
      <c r="C151" s="13" t="inlineStr">
        <is>
          <t>DO</t>
        </is>
      </c>
      <c r="D151" s="13" t="n">
        <v>1</v>
      </c>
      <c r="E151" s="13" t="inlineStr">
        <is>
          <t>artikel</t>
        </is>
      </c>
      <c r="F151" s="13" t="inlineStr">
        <is>
          <t>EBIKE</t>
        </is>
      </c>
      <c r="G151" s="13" t="inlineStr">
        <is>
          <t>E-bike Comfort, 500 Wh</t>
        </is>
      </c>
      <c r="H151" s="12" t="n">
        <v>1</v>
      </c>
      <c r="I151" s="14" t="n">
        <v>2000</v>
      </c>
      <c r="J151" s="14">
        <f>H151*I151</f>
        <v/>
      </c>
      <c r="K151" s="15" t="n">
        <v>0.21</v>
      </c>
      <c r="L151" s="14">
        <f>J151*K151</f>
        <v/>
      </c>
    </row>
    <row r="152" hidden="1">
      <c r="A152" s="13" t="inlineStr">
        <is>
          <t>J2Q4D1</t>
        </is>
      </c>
      <c r="B152" s="13" t="inlineStr">
        <is>
          <t>DO-2027-04</t>
        </is>
      </c>
      <c r="C152" s="13" t="inlineStr">
        <is>
          <t>DO</t>
        </is>
      </c>
      <c r="D152" s="13" t="n">
        <v>2</v>
      </c>
      <c r="E152" s="13" t="inlineStr">
        <is>
          <t>artikel</t>
        </is>
      </c>
      <c r="F152" s="13" t="inlineStr">
        <is>
          <t>HELM</t>
        </is>
      </c>
      <c r="G152" s="13" t="inlineStr">
        <is>
          <t>Fietshelm Urban</t>
        </is>
      </c>
      <c r="H152" s="12" t="n">
        <v>10</v>
      </c>
      <c r="I152" s="14" t="n">
        <v>50</v>
      </c>
      <c r="J152" s="14">
        <f>H152*I152</f>
        <v/>
      </c>
      <c r="K152" s="15" t="n">
        <v>0.21</v>
      </c>
      <c r="L152" s="14">
        <f>J152*K152</f>
        <v/>
      </c>
    </row>
    <row r="153" hidden="1">
      <c r="A153" s="13" t="inlineStr">
        <is>
          <t>J2Q4D1</t>
        </is>
      </c>
      <c r="B153" s="13" t="inlineStr">
        <is>
          <t>DO-2027-04</t>
        </is>
      </c>
      <c r="C153" s="13" t="inlineStr">
        <is>
          <t>DO</t>
        </is>
      </c>
      <c r="D153" s="13" t="n">
        <v>3</v>
      </c>
      <c r="E153" s="13" t="inlineStr">
        <is>
          <t>artikel</t>
        </is>
      </c>
      <c r="F153" s="13" t="inlineStr">
        <is>
          <t>LAMP</t>
        </is>
      </c>
      <c r="G153" s="13" t="inlineStr">
        <is>
          <t>Verlichtingsset LED</t>
        </is>
      </c>
      <c r="H153" s="12" t="n">
        <v>6</v>
      </c>
      <c r="I153" s="14" t="n">
        <v>40</v>
      </c>
      <c r="J153" s="14">
        <f>H153*I153</f>
        <v/>
      </c>
      <c r="K153" s="15" t="n">
        <v>0.21</v>
      </c>
      <c r="L153" s="14">
        <f>J153*K153</f>
        <v/>
      </c>
    </row>
    <row r="154" hidden="1">
      <c r="A154" s="13" t="inlineStr">
        <is>
          <t>J2Q4D1</t>
        </is>
      </c>
      <c r="B154" s="13" t="inlineStr">
        <is>
          <t>DO-2027-04</t>
        </is>
      </c>
      <c r="C154" s="13" t="inlineStr">
        <is>
          <t>DO</t>
        </is>
      </c>
      <c r="D154" s="13" t="n">
        <v>4</v>
      </c>
      <c r="E154" s="13" t="inlineStr">
        <is>
          <t>artikel</t>
        </is>
      </c>
      <c r="F154" s="13" t="inlineStr">
        <is>
          <t>KET</t>
        </is>
      </c>
      <c r="G154" s="13" t="inlineStr">
        <is>
          <t>Fietsketting 8 speed</t>
        </is>
      </c>
      <c r="H154" s="12" t="n">
        <v>3</v>
      </c>
      <c r="I154" s="14" t="n">
        <v>20</v>
      </c>
      <c r="J154" s="14">
        <f>H154*I154</f>
        <v/>
      </c>
      <c r="K154" s="15" t="n">
        <v>0.21</v>
      </c>
      <c r="L154" s="14">
        <f>J154*K154</f>
        <v/>
      </c>
    </row>
    <row r="155" hidden="1">
      <c r="A155" s="13" t="inlineStr">
        <is>
          <t>J2Q4D1</t>
        </is>
      </c>
      <c r="B155" s="13" t="inlineStr">
        <is>
          <t>DO-2027-04</t>
        </is>
      </c>
      <c r="C155" s="13" t="inlineStr">
        <is>
          <t>DO</t>
        </is>
      </c>
      <c r="D155" s="13" t="n">
        <v>5</v>
      </c>
      <c r="E155" s="13" t="inlineStr">
        <is>
          <t>artikel</t>
        </is>
      </c>
      <c r="F155" s="13" t="inlineStr">
        <is>
          <t>BAND</t>
        </is>
      </c>
      <c r="G155" s="13" t="inlineStr">
        <is>
          <t>Buitenband 28 inch</t>
        </is>
      </c>
      <c r="H155" s="12" t="n">
        <v>8</v>
      </c>
      <c r="I155" s="14" t="n">
        <v>25</v>
      </c>
      <c r="J155" s="14">
        <f>H155*I155</f>
        <v/>
      </c>
      <c r="K155" s="15" t="n">
        <v>0.21</v>
      </c>
      <c r="L155" s="14">
        <f>J155*K155</f>
        <v/>
      </c>
    </row>
    <row r="156" hidden="1">
      <c r="A156" s="13" t="inlineStr">
        <is>
          <t>J2Q4D1</t>
        </is>
      </c>
      <c r="B156" s="13" t="inlineStr">
        <is>
          <t>DO-2027-04</t>
        </is>
      </c>
      <c r="C156" s="13" t="inlineStr">
        <is>
          <t>DO</t>
        </is>
      </c>
      <c r="D156" s="13" t="n">
        <v>6</v>
      </c>
      <c r="E156" s="13" t="inlineStr">
        <is>
          <t>dienst</t>
        </is>
      </c>
      <c r="F156" s="13" t="n"/>
      <c r="G156" s="13" t="inlineStr">
        <is>
          <t>Herstelling fiets (arbeid)</t>
        </is>
      </c>
      <c r="H156" s="12" t="n">
        <v>12</v>
      </c>
      <c r="I156" s="14" t="n">
        <v>50</v>
      </c>
      <c r="J156" s="14">
        <f>H156*I156</f>
        <v/>
      </c>
      <c r="K156" s="15" t="n">
        <v>0.06</v>
      </c>
      <c r="L156" s="14">
        <f>J156*K156</f>
        <v/>
      </c>
    </row>
  </sheetData>
  <autoFilter ref="A1:L156">
    <filterColumn colId="0" hiddenButton="0" showButton="1">
      <filters>
        <filter val="J2Q2A5"/>
      </filters>
    </filterColumn>
  </autoFilter>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Z74"/>
  <sheetViews>
    <sheetView zoomScaleNormal="100" workbookViewId="0">
      <pane ySplit="1" topLeftCell="A2" activePane="bottomLeft" state="frozen"/>
      <selection pane="bottomLeft" activeCell="A2" sqref="A2:XFD2"/>
    </sheetView>
  </sheetViews>
  <sheetFormatPr baseColWidth="8" defaultColWidth="8.6328125" defaultRowHeight="14.5"/>
  <cols>
    <col width="8" customWidth="1" min="1" max="1"/>
    <col width="9" customWidth="1" min="2" max="2"/>
    <col width="13" customWidth="1" min="3" max="3"/>
    <col width="8" customWidth="1" min="4" max="5"/>
    <col width="24" customWidth="1" min="6" max="6"/>
    <col width="11" customWidth="1" min="7" max="8"/>
    <col width="15" customWidth="1" min="9" max="9"/>
    <col width="26" customWidth="1" min="10" max="11"/>
    <col width="14" customWidth="1" min="12" max="12"/>
    <col width="44" customWidth="1" min="13" max="13"/>
    <col width="11" customWidth="1" min="14" max="14"/>
    <col width="10" customWidth="1" min="15" max="16"/>
    <col width="9" customWidth="1" min="17" max="17"/>
    <col width="10" customWidth="1" min="18" max="18"/>
    <col width="11" customWidth="1" min="19" max="20"/>
    <col width="12" customWidth="1" min="21" max="21"/>
    <col width="10" customWidth="1" min="22" max="23"/>
    <col width="14" customWidth="1" min="24" max="24"/>
    <col width="9" customWidth="1" min="25" max="25"/>
    <col width="30" customWidth="1" min="26" max="26"/>
  </cols>
  <sheetData>
    <row r="1" ht="30" customHeight="1">
      <c r="A1" s="1" t="inlineStr">
        <is>
          <t>Volgorde in set</t>
        </is>
      </c>
      <c r="B1" s="1" t="inlineStr">
        <is>
          <t>ID</t>
        </is>
      </c>
      <c r="C1" s="1" t="inlineStr">
        <is>
          <t>Set</t>
        </is>
      </c>
      <c r="D1" s="1" t="inlineStr">
        <is>
          <t>Kwartaal</t>
        </is>
      </c>
      <c r="E1" s="1" t="inlineStr">
        <is>
          <t>Soort</t>
        </is>
      </c>
      <c r="F1" s="1" t="inlineStr">
        <is>
          <t>Subsoort</t>
        </is>
      </c>
      <c r="G1" s="1" t="inlineStr">
        <is>
          <t>Datum</t>
        </is>
      </c>
      <c r="H1" s="1" t="inlineStr">
        <is>
          <t>Vervaldag</t>
        </is>
      </c>
      <c r="I1" s="1" t="inlineStr">
        <is>
          <t>Documentnr</t>
        </is>
      </c>
      <c r="J1" s="1" t="inlineStr">
        <is>
          <t>Van</t>
        </is>
      </c>
      <c r="K1" s="1" t="inlineStr">
        <is>
          <t>Aan</t>
        </is>
      </c>
      <c r="L1" s="1" t="inlineStr">
        <is>
          <t>Verwijst naar</t>
        </is>
      </c>
      <c r="M1" s="1" t="inlineStr">
        <is>
          <t>Reden / omschrijving</t>
        </is>
      </c>
      <c r="N1" s="1" t="inlineStr">
        <is>
          <t>MvH 21%</t>
        </is>
      </c>
      <c r="O1" s="1" t="inlineStr">
        <is>
          <t>Btw 21%</t>
        </is>
      </c>
      <c r="P1" s="1" t="inlineStr">
        <is>
          <t>MvH 6%</t>
        </is>
      </c>
      <c r="Q1" s="1" t="inlineStr">
        <is>
          <t>Btw 6%</t>
        </is>
      </c>
      <c r="R1" s="1" t="inlineStr">
        <is>
          <t>Waarborg</t>
        </is>
      </c>
      <c r="S1" s="1" t="inlineStr">
        <is>
          <t>Fin. korting (niet afgetrokken)</t>
        </is>
      </c>
      <c r="T1" s="1" t="inlineStr">
        <is>
          <t>Totaal (te betalen)</t>
        </is>
      </c>
      <c r="U1" s="1" t="inlineStr">
        <is>
          <t>Te betalen binnen kortingstermijn</t>
        </is>
      </c>
      <c r="V1" s="1" t="inlineStr">
        <is>
          <t>Contant (kas)</t>
        </is>
      </c>
      <c r="W1" s="1" t="inlineStr">
        <is>
          <t>Bancontact</t>
        </is>
      </c>
      <c r="X1" s="1" t="inlineStr">
        <is>
          <t>Betaald via uittreksel</t>
        </is>
      </c>
      <c r="Y1" s="1" t="inlineStr">
        <is>
          <t>Controle D-C</t>
        </is>
      </c>
      <c r="Z1" s="1" t="inlineStr">
        <is>
          <t>Opmerking</t>
        </is>
      </c>
    </row>
    <row r="2">
      <c r="A2" s="12" t="n">
        <v>1</v>
      </c>
      <c r="B2" s="13" t="inlineStr">
        <is>
          <t>J2A1</t>
        </is>
      </c>
      <c r="C2" s="5" t="inlineStr">
        <is>
          <t>K1</t>
        </is>
      </c>
      <c r="D2" s="13" t="inlineStr">
        <is>
          <t>K1</t>
        </is>
      </c>
      <c r="E2" s="13" t="inlineStr">
        <is>
          <t>AK</t>
        </is>
      </c>
      <c r="F2" s="13" t="inlineStr">
        <is>
          <t>eenvoudig</t>
        </is>
      </c>
      <c r="G2" s="16" t="n">
        <v>46392</v>
      </c>
      <c r="H2" s="16">
        <f>G2+30</f>
        <v/>
      </c>
      <c r="I2" s="13" t="inlineStr">
        <is>
          <t>NL-27-01-0311</t>
        </is>
      </c>
      <c r="J2" s="13" t="inlineStr">
        <is>
          <t>Netlink bv</t>
        </is>
      </c>
      <c r="K2" s="13" t="inlineStr">
        <is>
          <t>Fietsatelier Noor bv</t>
        </is>
      </c>
      <c r="M2" s="13" t="n"/>
      <c r="N2" s="14">
        <f>SUMIFS('J2 Lijnen'!$J:$J,'J2 Lijnen'!$A:$A,$B2,'J2 Lijnen'!$K:$K,0.21,'J2 Lijnen'!$E:$E,"&lt;&gt;verpakking")</f>
        <v/>
      </c>
      <c r="O2" s="14">
        <f>SUMIFS('J2 Lijnen'!$L:$L,'J2 Lijnen'!$A:$A,$B2,'J2 Lijnen'!$K:$K,0.21)</f>
        <v/>
      </c>
      <c r="P2" s="14">
        <f>SUMIFS('J2 Lijnen'!$J:$J,'J2 Lijnen'!$A:$A,$B2,'J2 Lijnen'!$K:$K,0.06)</f>
        <v/>
      </c>
      <c r="Q2" s="14">
        <f>SUMIFS('J2 Lijnen'!$L:$L,'J2 Lijnen'!$A:$A,$B2,'J2 Lijnen'!$K:$K,0.06)</f>
        <v/>
      </c>
      <c r="R2" s="14">
        <f>SUMIFS('J2 Lijnen'!$J:$J,'J2 Lijnen'!$A:$A,$B2,'J2 Lijnen'!$E:$E,"verpakking")</f>
        <v/>
      </c>
      <c r="S2" s="14">
        <f>-SUMIFS('J2 Lijnen'!$J:$J,'J2 Lijnen'!$A:$A,$B2,'J2 Lijnen'!$E:$E,"financiële korting")</f>
        <v/>
      </c>
      <c r="T2" s="17">
        <f>SUM(N2:S2)</f>
        <v/>
      </c>
      <c r="X2" s="13" t="inlineStr">
        <is>
          <t>U2027-02</t>
        </is>
      </c>
      <c r="Y2" s="14">
        <f>SUMIFS('J2 Journaal'!$K:$K,'J2 Journaal'!$E:$E,$B2)-SUMIFS('J2 Journaal'!$L:$L,'J2 Journaal'!$E:$E,$B2)</f>
        <v/>
      </c>
      <c r="Z2" s="13" t="n"/>
    </row>
    <row r="3">
      <c r="A3" s="12" t="n">
        <v>2</v>
      </c>
      <c r="B3" s="13" t="inlineStr">
        <is>
          <t>J2A3</t>
        </is>
      </c>
      <c r="C3" s="5" t="inlineStr">
        <is>
          <t>K1</t>
        </is>
      </c>
      <c r="D3" s="13" t="inlineStr">
        <is>
          <t>K1</t>
        </is>
      </c>
      <c r="E3" s="13" t="inlineStr">
        <is>
          <t>AK</t>
        </is>
      </c>
      <c r="F3" s="13" t="inlineStr">
        <is>
          <t>handelskorting</t>
        </is>
      </c>
      <c r="G3" s="16" t="n">
        <v>46395</v>
      </c>
      <c r="H3" s="16">
        <f>G3+30</f>
        <v/>
      </c>
      <c r="I3" s="13" t="inlineStr">
        <is>
          <t>2027-014</t>
        </is>
      </c>
      <c r="J3" s="13" t="inlineStr">
        <is>
          <t>Velomax bv</t>
        </is>
      </c>
      <c r="K3" s="13" t="inlineStr">
        <is>
          <t>Fietsatelier Noor bv</t>
        </is>
      </c>
      <c r="M3" s="13" t="n"/>
      <c r="N3" s="14">
        <f>SUMIFS('J2 Lijnen'!$J:$J,'J2 Lijnen'!$A:$A,$B3,'J2 Lijnen'!$K:$K,0.21,'J2 Lijnen'!$E:$E,"&lt;&gt;verpakking")</f>
        <v/>
      </c>
      <c r="O3" s="14">
        <f>SUMIFS('J2 Lijnen'!$L:$L,'J2 Lijnen'!$A:$A,$B3,'J2 Lijnen'!$K:$K,0.21)</f>
        <v/>
      </c>
      <c r="P3" s="14">
        <f>SUMIFS('J2 Lijnen'!$J:$J,'J2 Lijnen'!$A:$A,$B3,'J2 Lijnen'!$K:$K,0.06)</f>
        <v/>
      </c>
      <c r="Q3" s="14">
        <f>SUMIFS('J2 Lijnen'!$L:$L,'J2 Lijnen'!$A:$A,$B3,'J2 Lijnen'!$K:$K,0.06)</f>
        <v/>
      </c>
      <c r="R3" s="14">
        <f>SUMIFS('J2 Lijnen'!$J:$J,'J2 Lijnen'!$A:$A,$B3,'J2 Lijnen'!$E:$E,"verpakking")</f>
        <v/>
      </c>
      <c r="S3" s="14">
        <f>-SUMIFS('J2 Lijnen'!$J:$J,'J2 Lijnen'!$A:$A,$B3,'J2 Lijnen'!$E:$E,"financiële korting")</f>
        <v/>
      </c>
      <c r="T3" s="17">
        <f>SUM(N3:S3)</f>
        <v/>
      </c>
      <c r="X3" s="13" t="inlineStr">
        <is>
          <t>U2027-03</t>
        </is>
      </c>
      <c r="Y3" s="14">
        <f>SUMIFS('J2 Journaal'!$K:$K,'J2 Journaal'!$E:$E,$B3)-SUMIFS('J2 Journaal'!$L:$L,'J2 Journaal'!$E:$E,$B3)</f>
        <v/>
      </c>
      <c r="Z3" s="13" t="n"/>
    </row>
    <row r="4">
      <c r="A4" s="12" t="n">
        <v>3</v>
      </c>
      <c r="B4" s="13" t="inlineStr">
        <is>
          <t>J2A5</t>
        </is>
      </c>
      <c r="C4" s="5" t="inlineStr">
        <is>
          <t>K1</t>
        </is>
      </c>
      <c r="D4" s="13" t="inlineStr">
        <is>
          <t>K1</t>
        </is>
      </c>
      <c r="E4" s="13" t="inlineStr">
        <is>
          <t>AK</t>
        </is>
      </c>
      <c r="F4" s="13" t="inlineStr">
        <is>
          <t>kosten</t>
        </is>
      </c>
      <c r="G4" s="16" t="n">
        <v>46399</v>
      </c>
      <c r="H4" s="16">
        <f>G4+30</f>
        <v/>
      </c>
      <c r="I4" s="13" t="inlineStr">
        <is>
          <t>HH-27-004</t>
        </is>
      </c>
      <c r="J4" s="13" t="inlineStr">
        <is>
          <t>HelmHuis bv</t>
        </is>
      </c>
      <c r="K4" s="13" t="inlineStr">
        <is>
          <t>Fietsatelier Noor bv</t>
        </is>
      </c>
      <c r="M4" s="13" t="n"/>
      <c r="N4" s="14">
        <f>SUMIFS('J2 Lijnen'!$J:$J,'J2 Lijnen'!$A:$A,$B4,'J2 Lijnen'!$K:$K,0.21,'J2 Lijnen'!$E:$E,"&lt;&gt;verpakking")</f>
        <v/>
      </c>
      <c r="O4" s="14">
        <f>SUMIFS('J2 Lijnen'!$L:$L,'J2 Lijnen'!$A:$A,$B4,'J2 Lijnen'!$K:$K,0.21)</f>
        <v/>
      </c>
      <c r="P4" s="14">
        <f>SUMIFS('J2 Lijnen'!$J:$J,'J2 Lijnen'!$A:$A,$B4,'J2 Lijnen'!$K:$K,0.06)</f>
        <v/>
      </c>
      <c r="Q4" s="14">
        <f>SUMIFS('J2 Lijnen'!$L:$L,'J2 Lijnen'!$A:$A,$B4,'J2 Lijnen'!$K:$K,0.06)</f>
        <v/>
      </c>
      <c r="R4" s="14">
        <f>SUMIFS('J2 Lijnen'!$J:$J,'J2 Lijnen'!$A:$A,$B4,'J2 Lijnen'!$E:$E,"verpakking")</f>
        <v/>
      </c>
      <c r="S4" s="14">
        <f>-SUMIFS('J2 Lijnen'!$J:$J,'J2 Lijnen'!$A:$A,$B4,'J2 Lijnen'!$E:$E,"financiële korting")</f>
        <v/>
      </c>
      <c r="T4" s="17">
        <f>SUM(N4:S4)</f>
        <v/>
      </c>
      <c r="X4" s="13" t="inlineStr">
        <is>
          <t>U2027-03</t>
        </is>
      </c>
      <c r="Y4" s="14">
        <f>SUMIFS('J2 Journaal'!$K:$K,'J2 Journaal'!$E:$E,$B4)-SUMIFS('J2 Journaal'!$L:$L,'J2 Journaal'!$E:$E,$B4)</f>
        <v/>
      </c>
      <c r="Z4" s="13" t="n"/>
    </row>
    <row r="5">
      <c r="A5" s="12" t="n">
        <v>4</v>
      </c>
      <c r="B5" s="13" t="inlineStr">
        <is>
          <t>J2A7</t>
        </is>
      </c>
      <c r="C5" s="5" t="inlineStr">
        <is>
          <t>K1</t>
        </is>
      </c>
      <c r="D5" s="13" t="inlineStr">
        <is>
          <t>K1</t>
        </is>
      </c>
      <c r="E5" s="13" t="inlineStr">
        <is>
          <t>AK</t>
        </is>
      </c>
      <c r="F5" s="13" t="inlineStr">
        <is>
          <t>verpakking</t>
        </is>
      </c>
      <c r="G5" s="16" t="n">
        <v>46402</v>
      </c>
      <c r="H5" s="16">
        <f>G5+30</f>
        <v/>
      </c>
      <c r="I5" s="13" t="inlineStr">
        <is>
          <t>2027-031</t>
        </is>
      </c>
      <c r="J5" s="13" t="inlineStr">
        <is>
          <t>Velomax bv</t>
        </is>
      </c>
      <c r="K5" s="13" t="inlineStr">
        <is>
          <t>Fietsatelier Noor bv</t>
        </is>
      </c>
      <c r="M5" s="13" t="n"/>
      <c r="N5" s="14">
        <f>SUMIFS('J2 Lijnen'!$J:$J,'J2 Lijnen'!$A:$A,$B5,'J2 Lijnen'!$K:$K,0.21,'J2 Lijnen'!$E:$E,"&lt;&gt;verpakking")</f>
        <v/>
      </c>
      <c r="O5" s="14">
        <f>SUMIFS('J2 Lijnen'!$L:$L,'J2 Lijnen'!$A:$A,$B5,'J2 Lijnen'!$K:$K,0.21)</f>
        <v/>
      </c>
      <c r="P5" s="14">
        <f>SUMIFS('J2 Lijnen'!$J:$J,'J2 Lijnen'!$A:$A,$B5,'J2 Lijnen'!$K:$K,0.06)</f>
        <v/>
      </c>
      <c r="Q5" s="14">
        <f>SUMIFS('J2 Lijnen'!$L:$L,'J2 Lijnen'!$A:$A,$B5,'J2 Lijnen'!$K:$K,0.06)</f>
        <v/>
      </c>
      <c r="R5" s="14">
        <f>SUMIFS('J2 Lijnen'!$J:$J,'J2 Lijnen'!$A:$A,$B5,'J2 Lijnen'!$E:$E,"verpakking")</f>
        <v/>
      </c>
      <c r="S5" s="14">
        <f>-SUMIFS('J2 Lijnen'!$J:$J,'J2 Lijnen'!$A:$A,$B5,'J2 Lijnen'!$E:$E,"financiële korting")</f>
        <v/>
      </c>
      <c r="T5" s="17">
        <f>SUM(N5:S5)</f>
        <v/>
      </c>
      <c r="X5" s="13" t="inlineStr">
        <is>
          <t>U2027-06</t>
        </is>
      </c>
      <c r="Y5" s="14">
        <f>SUMIFS('J2 Journaal'!$K:$K,'J2 Journaal'!$E:$E,$B5)-SUMIFS('J2 Journaal'!$L:$L,'J2 Journaal'!$E:$E,$B5)</f>
        <v/>
      </c>
      <c r="Z5" s="13" t="n"/>
    </row>
    <row r="6">
      <c r="A6" s="12" t="n">
        <v>5</v>
      </c>
      <c r="B6" s="13" t="inlineStr">
        <is>
          <t>J2A9</t>
        </is>
      </c>
      <c r="C6" s="5" t="inlineStr">
        <is>
          <t>K1</t>
        </is>
      </c>
      <c r="D6" s="13" t="inlineStr">
        <is>
          <t>K1</t>
        </is>
      </c>
      <c r="E6" s="13" t="inlineStr">
        <is>
          <t>AK</t>
        </is>
      </c>
      <c r="F6" s="13" t="inlineStr">
        <is>
          <t>financiële korting</t>
        </is>
      </c>
      <c r="G6" s="16" t="n">
        <v>46409</v>
      </c>
      <c r="H6" s="16">
        <f>G6+30</f>
        <v/>
      </c>
      <c r="I6" s="13" t="inlineStr">
        <is>
          <t>2027-052</t>
        </is>
      </c>
      <c r="J6" s="13" t="inlineStr">
        <is>
          <t>Velomax bv</t>
        </is>
      </c>
      <c r="K6" s="13" t="inlineStr">
        <is>
          <t>Fietsatelier Noor bv</t>
        </is>
      </c>
      <c r="M6" s="13" t="n"/>
      <c r="N6" s="14">
        <f>SUMIFS('J2 Lijnen'!$J:$J,'J2 Lijnen'!$A:$A,$B6,'J2 Lijnen'!$K:$K,0.21,'J2 Lijnen'!$E:$E,"&lt;&gt;verpakking")</f>
        <v/>
      </c>
      <c r="O6" s="14">
        <f>SUMIFS('J2 Lijnen'!$L:$L,'J2 Lijnen'!$A:$A,$B6,'J2 Lijnen'!$K:$K,0.21)</f>
        <v/>
      </c>
      <c r="P6" s="14">
        <f>SUMIFS('J2 Lijnen'!$J:$J,'J2 Lijnen'!$A:$A,$B6,'J2 Lijnen'!$K:$K,0.06)</f>
        <v/>
      </c>
      <c r="Q6" s="14">
        <f>SUMIFS('J2 Lijnen'!$L:$L,'J2 Lijnen'!$A:$A,$B6,'J2 Lijnen'!$K:$K,0.06)</f>
        <v/>
      </c>
      <c r="R6" s="14">
        <f>SUMIFS('J2 Lijnen'!$J:$J,'J2 Lijnen'!$A:$A,$B6,'J2 Lijnen'!$E:$E,"verpakking")</f>
        <v/>
      </c>
      <c r="S6" s="14">
        <f>-SUMIFS('J2 Lijnen'!$J:$J,'J2 Lijnen'!$A:$A,$B6,'J2 Lijnen'!$E:$E,"financiële korting")</f>
        <v/>
      </c>
      <c r="T6" s="17">
        <f>SUM(N6:S6)</f>
        <v/>
      </c>
      <c r="U6" s="14">
        <f>T6-S6</f>
        <v/>
      </c>
      <c r="X6" s="13" t="inlineStr">
        <is>
          <t>U2027-03</t>
        </is>
      </c>
      <c r="Y6" s="14">
        <f>SUMIFS('J2 Journaal'!$K:$K,'J2 Journaal'!$E:$E,$B6)-SUMIFS('J2 Journaal'!$L:$L,'J2 Journaal'!$E:$E,$B6)</f>
        <v/>
      </c>
      <c r="Z6" s="13" t="inlineStr">
        <is>
          <t>2% korting bij betaling binnen 10 dagen: binnen de termijn betaald</t>
        </is>
      </c>
    </row>
    <row r="7">
      <c r="A7" s="12" t="n">
        <v>6</v>
      </c>
      <c r="B7" s="13" t="inlineStr">
        <is>
          <t>J2CA2</t>
        </is>
      </c>
      <c r="C7" s="5" t="inlineStr">
        <is>
          <t>K1</t>
        </is>
      </c>
      <c r="D7" s="13" t="inlineStr">
        <is>
          <t>K1</t>
        </is>
      </c>
      <c r="E7" s="13" t="inlineStr">
        <is>
          <t>CN-AK</t>
        </is>
      </c>
      <c r="F7" s="13" t="inlineStr">
        <is>
          <t>met handelskorting</t>
        </is>
      </c>
      <c r="G7" s="16" t="n">
        <v>46401</v>
      </c>
      <c r="I7" s="13" t="inlineStr">
        <is>
          <t>CN-2027-002</t>
        </is>
      </c>
      <c r="J7" s="13" t="inlineStr">
        <is>
          <t>Velomax bv</t>
        </is>
      </c>
      <c r="K7" s="13" t="inlineStr">
        <is>
          <t>Fietsatelier Noor bv</t>
        </is>
      </c>
      <c r="L7" s="13" t="inlineStr">
        <is>
          <t>2027-014</t>
        </is>
      </c>
      <c r="M7" s="13" t="inlineStr">
        <is>
          <t>5 fietsen met herenframe i.p.v. damesframe, teruggestuurd</t>
        </is>
      </c>
      <c r="N7" s="14">
        <f>SUMIFS('J2 Lijnen'!$J:$J,'J2 Lijnen'!$A:$A,$B7,'J2 Lijnen'!$K:$K,0.21,'J2 Lijnen'!$E:$E,"&lt;&gt;verpakking")</f>
        <v/>
      </c>
      <c r="O7" s="14">
        <f>SUMIFS('J2 Lijnen'!$L:$L,'J2 Lijnen'!$A:$A,$B7,'J2 Lijnen'!$K:$K,0.21)</f>
        <v/>
      </c>
      <c r="P7" s="14">
        <f>SUMIFS('J2 Lijnen'!$J:$J,'J2 Lijnen'!$A:$A,$B7,'J2 Lijnen'!$K:$K,0.06)</f>
        <v/>
      </c>
      <c r="Q7" s="14">
        <f>SUMIFS('J2 Lijnen'!$L:$L,'J2 Lijnen'!$A:$A,$B7,'J2 Lijnen'!$K:$K,0.06)</f>
        <v/>
      </c>
      <c r="R7" s="14">
        <f>SUMIFS('J2 Lijnen'!$J:$J,'J2 Lijnen'!$A:$A,$B7,'J2 Lijnen'!$E:$E,"verpakking")</f>
        <v/>
      </c>
      <c r="S7" s="14">
        <f>-SUMIFS('J2 Lijnen'!$J:$J,'J2 Lijnen'!$A:$A,$B7,'J2 Lijnen'!$E:$E,"financiële korting")</f>
        <v/>
      </c>
      <c r="T7" s="17">
        <f>SUM(N7:S7)</f>
        <v/>
      </c>
      <c r="X7" s="13" t="inlineStr">
        <is>
          <t>U2027-03</t>
        </is>
      </c>
      <c r="Y7" s="14">
        <f>SUMIFS('J2 Journaal'!$K:$K,'J2 Journaal'!$E:$E,$B7)-SUMIFS('J2 Journaal'!$L:$L,'J2 Journaal'!$E:$E,$B7)</f>
        <v/>
      </c>
      <c r="Z7" s="13" t="n"/>
    </row>
    <row r="8">
      <c r="A8" s="12" t="n">
        <v>7</v>
      </c>
      <c r="B8" s="13" t="inlineStr">
        <is>
          <t>J2CA3</t>
        </is>
      </c>
      <c r="C8" s="5" t="inlineStr">
        <is>
          <t>K1</t>
        </is>
      </c>
      <c r="D8" s="13" t="inlineStr">
        <is>
          <t>K1</t>
        </is>
      </c>
      <c r="E8" s="13" t="inlineStr">
        <is>
          <t>CN-AK</t>
        </is>
      </c>
      <c r="F8" s="13" t="inlineStr">
        <is>
          <t>verpakking terug</t>
        </is>
      </c>
      <c r="G8" s="16" t="n">
        <v>46443</v>
      </c>
      <c r="I8" s="13" t="inlineStr">
        <is>
          <t>CN-2027-009</t>
        </is>
      </c>
      <c r="J8" s="13" t="inlineStr">
        <is>
          <t>Velomax bv</t>
        </is>
      </c>
      <c r="K8" s="13" t="inlineStr">
        <is>
          <t>Fietsatelier Noor bv</t>
        </is>
      </c>
      <c r="L8" s="13" t="inlineStr">
        <is>
          <t>2027-031</t>
        </is>
      </c>
      <c r="M8" s="13" t="inlineStr">
        <is>
          <t>2 fietsrekken teruggestuurd</t>
        </is>
      </c>
      <c r="N8" s="14">
        <f>SUMIFS('J2 Lijnen'!$J:$J,'J2 Lijnen'!$A:$A,$B8,'J2 Lijnen'!$K:$K,0.21,'J2 Lijnen'!$E:$E,"&lt;&gt;verpakking")</f>
        <v/>
      </c>
      <c r="O8" s="14">
        <f>SUMIFS('J2 Lijnen'!$L:$L,'J2 Lijnen'!$A:$A,$B8,'J2 Lijnen'!$K:$K,0.21)</f>
        <v/>
      </c>
      <c r="P8" s="14">
        <f>SUMIFS('J2 Lijnen'!$J:$J,'J2 Lijnen'!$A:$A,$B8,'J2 Lijnen'!$K:$K,0.06)</f>
        <v/>
      </c>
      <c r="Q8" s="14">
        <f>SUMIFS('J2 Lijnen'!$L:$L,'J2 Lijnen'!$A:$A,$B8,'J2 Lijnen'!$K:$K,0.06)</f>
        <v/>
      </c>
      <c r="R8" s="14">
        <f>SUMIFS('J2 Lijnen'!$J:$J,'J2 Lijnen'!$A:$A,$B8,'J2 Lijnen'!$E:$E,"verpakking")</f>
        <v/>
      </c>
      <c r="S8" s="14">
        <f>-SUMIFS('J2 Lijnen'!$J:$J,'J2 Lijnen'!$A:$A,$B8,'J2 Lijnen'!$E:$E,"financiële korting")</f>
        <v/>
      </c>
      <c r="T8" s="17">
        <f>SUM(N8:S8)</f>
        <v/>
      </c>
      <c r="X8" s="13" t="inlineStr">
        <is>
          <t>U2027-06</t>
        </is>
      </c>
      <c r="Y8" s="14">
        <f>SUMIFS('J2 Journaal'!$K:$K,'J2 Journaal'!$E:$E,$B8)-SUMIFS('J2 Journaal'!$L:$L,'J2 Journaal'!$E:$E,$B8)</f>
        <v/>
      </c>
      <c r="Z8" s="13" t="n"/>
    </row>
    <row r="9">
      <c r="A9" s="12" t="n">
        <v>8</v>
      </c>
      <c r="B9" s="13" t="inlineStr">
        <is>
          <t>J2V2</t>
        </is>
      </c>
      <c r="C9" s="5" t="inlineStr">
        <is>
          <t>K1</t>
        </is>
      </c>
      <c r="D9" s="13" t="inlineStr">
        <is>
          <t>K1</t>
        </is>
      </c>
      <c r="E9" s="13" t="inlineStr">
        <is>
          <t>VK</t>
        </is>
      </c>
      <c r="F9" s="13" t="inlineStr">
        <is>
          <t>eenvoudig</t>
        </is>
      </c>
      <c r="G9" s="16" t="n">
        <v>46400</v>
      </c>
      <c r="H9" s="16">
        <f>G9+30</f>
        <v/>
      </c>
      <c r="I9" s="13" t="inlineStr">
        <is>
          <t>2027-002</t>
        </is>
      </c>
      <c r="J9" s="13" t="inlineStr">
        <is>
          <t>Fietsatelier Noor bv</t>
        </is>
      </c>
      <c r="K9" s="13" t="inlineStr">
        <is>
          <t>Snelpost bv</t>
        </is>
      </c>
      <c r="M9" s="13" t="n"/>
      <c r="N9" s="14">
        <f>SUMIFS('J2 Lijnen'!$J:$J,'J2 Lijnen'!$A:$A,$B9,'J2 Lijnen'!$K:$K,0.21,'J2 Lijnen'!$E:$E,"&lt;&gt;verpakking")</f>
        <v/>
      </c>
      <c r="O9" s="14">
        <f>SUMIFS('J2 Lijnen'!$L:$L,'J2 Lijnen'!$A:$A,$B9,'J2 Lijnen'!$K:$K,0.21)</f>
        <v/>
      </c>
      <c r="P9" s="14">
        <f>SUMIFS('J2 Lijnen'!$J:$J,'J2 Lijnen'!$A:$A,$B9,'J2 Lijnen'!$K:$K,0.06)</f>
        <v/>
      </c>
      <c r="Q9" s="14">
        <f>SUMIFS('J2 Lijnen'!$L:$L,'J2 Lijnen'!$A:$A,$B9,'J2 Lijnen'!$K:$K,0.06)</f>
        <v/>
      </c>
      <c r="R9" s="14">
        <f>SUMIFS('J2 Lijnen'!$J:$J,'J2 Lijnen'!$A:$A,$B9,'J2 Lijnen'!$E:$E,"verpakking")</f>
        <v/>
      </c>
      <c r="S9" s="14">
        <f>-SUMIFS('J2 Lijnen'!$J:$J,'J2 Lijnen'!$A:$A,$B9,'J2 Lijnen'!$E:$E,"financiële korting")</f>
        <v/>
      </c>
      <c r="T9" s="17">
        <f>SUM(N9:S9)</f>
        <v/>
      </c>
      <c r="X9" s="13" t="inlineStr">
        <is>
          <t>U2027-03</t>
        </is>
      </c>
      <c r="Y9" s="14">
        <f>SUMIFS('J2 Journaal'!$K:$K,'J2 Journaal'!$E:$E,$B9)-SUMIFS('J2 Journaal'!$L:$L,'J2 Journaal'!$E:$E,$B9)</f>
        <v/>
      </c>
      <c r="Z9" s="13" t="n"/>
    </row>
    <row r="10">
      <c r="A10" s="12" t="n">
        <v>9</v>
      </c>
      <c r="B10" s="13" t="inlineStr">
        <is>
          <t>J2V3</t>
        </is>
      </c>
      <c r="C10" s="5" t="inlineStr">
        <is>
          <t>K1</t>
        </is>
      </c>
      <c r="D10" s="13" t="inlineStr">
        <is>
          <t>K1</t>
        </is>
      </c>
      <c r="E10" s="13" t="inlineStr">
        <is>
          <t>VK</t>
        </is>
      </c>
      <c r="F10" s="13" t="inlineStr">
        <is>
          <t>handelskorting</t>
        </is>
      </c>
      <c r="G10" s="16" t="n">
        <v>46406</v>
      </c>
      <c r="H10" s="16">
        <f>G10+30</f>
        <v/>
      </c>
      <c r="I10" s="13" t="inlineStr">
        <is>
          <t>2027-003</t>
        </is>
      </c>
      <c r="J10" s="13" t="inlineStr">
        <is>
          <t>Fietsatelier Noor bv</t>
        </is>
      </c>
      <c r="K10" s="13" t="inlineStr">
        <is>
          <t>Velocity Deelfietsen bv</t>
        </is>
      </c>
      <c r="M10" s="13" t="n"/>
      <c r="N10" s="14">
        <f>SUMIFS('J2 Lijnen'!$J:$J,'J2 Lijnen'!$A:$A,$B10,'J2 Lijnen'!$K:$K,0.21,'J2 Lijnen'!$E:$E,"&lt;&gt;verpakking")</f>
        <v/>
      </c>
      <c r="O10" s="14">
        <f>SUMIFS('J2 Lijnen'!$L:$L,'J2 Lijnen'!$A:$A,$B10,'J2 Lijnen'!$K:$K,0.21)</f>
        <v/>
      </c>
      <c r="P10" s="14">
        <f>SUMIFS('J2 Lijnen'!$J:$J,'J2 Lijnen'!$A:$A,$B10,'J2 Lijnen'!$K:$K,0.06)</f>
        <v/>
      </c>
      <c r="Q10" s="14">
        <f>SUMIFS('J2 Lijnen'!$L:$L,'J2 Lijnen'!$A:$A,$B10,'J2 Lijnen'!$K:$K,0.06)</f>
        <v/>
      </c>
      <c r="R10" s="14">
        <f>SUMIFS('J2 Lijnen'!$J:$J,'J2 Lijnen'!$A:$A,$B10,'J2 Lijnen'!$E:$E,"verpakking")</f>
        <v/>
      </c>
      <c r="S10" s="14">
        <f>-SUMIFS('J2 Lijnen'!$J:$J,'J2 Lijnen'!$A:$A,$B10,'J2 Lijnen'!$E:$E,"financiële korting")</f>
        <v/>
      </c>
      <c r="T10" s="17">
        <f>SUM(N10:S10)</f>
        <v/>
      </c>
      <c r="X10" s="13" t="inlineStr">
        <is>
          <t>U2027-05</t>
        </is>
      </c>
      <c r="Y10" s="14">
        <f>SUMIFS('J2 Journaal'!$K:$K,'J2 Journaal'!$E:$E,$B10)-SUMIFS('J2 Journaal'!$L:$L,'J2 Journaal'!$E:$E,$B10)</f>
        <v/>
      </c>
      <c r="Z10" s="13" t="n"/>
    </row>
    <row r="11">
      <c r="A11" s="12" t="n">
        <v>10</v>
      </c>
      <c r="B11" s="13" t="inlineStr">
        <is>
          <t>J2V5</t>
        </is>
      </c>
      <c r="C11" s="5" t="inlineStr">
        <is>
          <t>K1</t>
        </is>
      </c>
      <c r="D11" s="13" t="inlineStr">
        <is>
          <t>K1</t>
        </is>
      </c>
      <c r="E11" s="13" t="inlineStr">
        <is>
          <t>VK</t>
        </is>
      </c>
      <c r="F11" s="13" t="inlineStr">
        <is>
          <t>kosten</t>
        </is>
      </c>
      <c r="G11" s="16" t="n">
        <v>46434</v>
      </c>
      <c r="H11" s="16">
        <f>G11+30</f>
        <v/>
      </c>
      <c r="I11" s="13" t="inlineStr">
        <is>
          <t>2027-005</t>
        </is>
      </c>
      <c r="J11" s="13" t="inlineStr">
        <is>
          <t>Fietsatelier Noor bv</t>
        </is>
      </c>
      <c r="K11" s="13" t="inlineStr">
        <is>
          <t>Camping De Vlinder bv</t>
        </is>
      </c>
      <c r="M11" s="13" t="n"/>
      <c r="N11" s="14">
        <f>SUMIFS('J2 Lijnen'!$J:$J,'J2 Lijnen'!$A:$A,$B11,'J2 Lijnen'!$K:$K,0.21,'J2 Lijnen'!$E:$E,"&lt;&gt;verpakking")</f>
        <v/>
      </c>
      <c r="O11" s="14">
        <f>SUMIFS('J2 Lijnen'!$L:$L,'J2 Lijnen'!$A:$A,$B11,'J2 Lijnen'!$K:$K,0.21)</f>
        <v/>
      </c>
      <c r="P11" s="14">
        <f>SUMIFS('J2 Lijnen'!$J:$J,'J2 Lijnen'!$A:$A,$B11,'J2 Lijnen'!$K:$K,0.06)</f>
        <v/>
      </c>
      <c r="Q11" s="14">
        <f>SUMIFS('J2 Lijnen'!$L:$L,'J2 Lijnen'!$A:$A,$B11,'J2 Lijnen'!$K:$K,0.06)</f>
        <v/>
      </c>
      <c r="R11" s="14">
        <f>SUMIFS('J2 Lijnen'!$J:$J,'J2 Lijnen'!$A:$A,$B11,'J2 Lijnen'!$E:$E,"verpakking")</f>
        <v/>
      </c>
      <c r="S11" s="14">
        <f>-SUMIFS('J2 Lijnen'!$J:$J,'J2 Lijnen'!$A:$A,$B11,'J2 Lijnen'!$E:$E,"financiële korting")</f>
        <v/>
      </c>
      <c r="T11" s="17">
        <f>SUM(N11:S11)</f>
        <v/>
      </c>
      <c r="X11" s="13" t="inlineStr">
        <is>
          <t>U2027-08</t>
        </is>
      </c>
      <c r="Y11" s="14">
        <f>SUMIFS('J2 Journaal'!$K:$K,'J2 Journaal'!$E:$E,$B11)-SUMIFS('J2 Journaal'!$L:$L,'J2 Journaal'!$E:$E,$B11)</f>
        <v/>
      </c>
      <c r="Z11" s="13" t="n"/>
    </row>
    <row r="12">
      <c r="A12" s="12" t="n">
        <v>11</v>
      </c>
      <c r="B12" s="13" t="inlineStr">
        <is>
          <t>J2V7</t>
        </is>
      </c>
      <c r="C12" s="5" t="inlineStr">
        <is>
          <t>K1</t>
        </is>
      </c>
      <c r="D12" s="13" t="inlineStr">
        <is>
          <t>K1</t>
        </is>
      </c>
      <c r="E12" s="13" t="inlineStr">
        <is>
          <t>VK</t>
        </is>
      </c>
      <c r="F12" s="13" t="inlineStr">
        <is>
          <t>verpakking</t>
        </is>
      </c>
      <c r="G12" s="16" t="n">
        <v>46442</v>
      </c>
      <c r="H12" s="16">
        <f>G12+30</f>
        <v/>
      </c>
      <c r="I12" s="13" t="inlineStr">
        <is>
          <t>2027-007</t>
        </is>
      </c>
      <c r="J12" s="13" t="inlineStr">
        <is>
          <t>Fietsatelier Noor bv</t>
        </is>
      </c>
      <c r="K12" s="13" t="inlineStr">
        <is>
          <t>Snelpost bv</t>
        </is>
      </c>
      <c r="M12" s="13" t="n"/>
      <c r="N12" s="14">
        <f>SUMIFS('J2 Lijnen'!$J:$J,'J2 Lijnen'!$A:$A,$B12,'J2 Lijnen'!$K:$K,0.21,'J2 Lijnen'!$E:$E,"&lt;&gt;verpakking")</f>
        <v/>
      </c>
      <c r="O12" s="14">
        <f>SUMIFS('J2 Lijnen'!$L:$L,'J2 Lijnen'!$A:$A,$B12,'J2 Lijnen'!$K:$K,0.21)</f>
        <v/>
      </c>
      <c r="P12" s="14">
        <f>SUMIFS('J2 Lijnen'!$J:$J,'J2 Lijnen'!$A:$A,$B12,'J2 Lijnen'!$K:$K,0.06)</f>
        <v/>
      </c>
      <c r="Q12" s="14">
        <f>SUMIFS('J2 Lijnen'!$L:$L,'J2 Lijnen'!$A:$A,$B12,'J2 Lijnen'!$K:$K,0.06)</f>
        <v/>
      </c>
      <c r="R12" s="14">
        <f>SUMIFS('J2 Lijnen'!$J:$J,'J2 Lijnen'!$A:$A,$B12,'J2 Lijnen'!$E:$E,"verpakking")</f>
        <v/>
      </c>
      <c r="S12" s="14">
        <f>-SUMIFS('J2 Lijnen'!$J:$J,'J2 Lijnen'!$A:$A,$B12,'J2 Lijnen'!$E:$E,"financiële korting")</f>
        <v/>
      </c>
      <c r="T12" s="17">
        <f>SUM(N12:S12)</f>
        <v/>
      </c>
      <c r="X12" s="13" t="inlineStr">
        <is>
          <t>U2027-08</t>
        </is>
      </c>
      <c r="Y12" s="14">
        <f>SUMIFS('J2 Journaal'!$K:$K,'J2 Journaal'!$E:$E,$B12)-SUMIFS('J2 Journaal'!$L:$L,'J2 Journaal'!$E:$E,$B12)</f>
        <v/>
      </c>
      <c r="Z12" s="13" t="n"/>
    </row>
    <row r="13">
      <c r="A13" s="12" t="n">
        <v>12</v>
      </c>
      <c r="B13" s="13" t="inlineStr">
        <is>
          <t>J2V9</t>
        </is>
      </c>
      <c r="C13" s="5" t="inlineStr">
        <is>
          <t>K1</t>
        </is>
      </c>
      <c r="D13" s="13" t="inlineStr">
        <is>
          <t>K1</t>
        </is>
      </c>
      <c r="E13" s="13" t="inlineStr">
        <is>
          <t>VK</t>
        </is>
      </c>
      <c r="F13" s="13" t="inlineStr">
        <is>
          <t>financiële korting</t>
        </is>
      </c>
      <c r="G13" s="16" t="n">
        <v>46412</v>
      </c>
      <c r="H13" s="16">
        <f>G13+30</f>
        <v/>
      </c>
      <c r="I13" s="13" t="inlineStr">
        <is>
          <t>2027-025</t>
        </is>
      </c>
      <c r="J13" s="13" t="inlineStr">
        <is>
          <t>Fietsatelier Noor bv</t>
        </is>
      </c>
      <c r="K13" s="13" t="inlineStr">
        <is>
          <t>Studio Kowalski bv</t>
        </is>
      </c>
      <c r="M13" s="13" t="n"/>
      <c r="N13" s="14">
        <f>SUMIFS('J2 Lijnen'!$J:$J,'J2 Lijnen'!$A:$A,$B13,'J2 Lijnen'!$K:$K,0.21,'J2 Lijnen'!$E:$E,"&lt;&gt;verpakking")</f>
        <v/>
      </c>
      <c r="O13" s="14">
        <f>SUMIFS('J2 Lijnen'!$L:$L,'J2 Lijnen'!$A:$A,$B13,'J2 Lijnen'!$K:$K,0.21)</f>
        <v/>
      </c>
      <c r="P13" s="14">
        <f>SUMIFS('J2 Lijnen'!$J:$J,'J2 Lijnen'!$A:$A,$B13,'J2 Lijnen'!$K:$K,0.06)</f>
        <v/>
      </c>
      <c r="Q13" s="14">
        <f>SUMIFS('J2 Lijnen'!$L:$L,'J2 Lijnen'!$A:$A,$B13,'J2 Lijnen'!$K:$K,0.06)</f>
        <v/>
      </c>
      <c r="R13" s="14">
        <f>SUMIFS('J2 Lijnen'!$J:$J,'J2 Lijnen'!$A:$A,$B13,'J2 Lijnen'!$E:$E,"verpakking")</f>
        <v/>
      </c>
      <c r="S13" s="14">
        <f>-SUMIFS('J2 Lijnen'!$J:$J,'J2 Lijnen'!$A:$A,$B13,'J2 Lijnen'!$E:$E,"financiële korting")</f>
        <v/>
      </c>
      <c r="T13" s="17">
        <f>SUM(N13:S13)</f>
        <v/>
      </c>
      <c r="U13" s="14">
        <f>T13-S13</f>
        <v/>
      </c>
      <c r="X13" s="13" t="inlineStr">
        <is>
          <t>U2027-04</t>
        </is>
      </c>
      <c r="Y13" s="14">
        <f>SUMIFS('J2 Journaal'!$K:$K,'J2 Journaal'!$E:$E,$B13)-SUMIFS('J2 Journaal'!$L:$L,'J2 Journaal'!$E:$E,$B13)</f>
        <v/>
      </c>
      <c r="Z13" s="13" t="inlineStr">
        <is>
          <t>4% korting bij betaling binnen 10 dagen: binnen de termijn betaald</t>
        </is>
      </c>
    </row>
    <row r="14">
      <c r="A14" s="12" t="n">
        <v>13</v>
      </c>
      <c r="B14" s="13" t="inlineStr">
        <is>
          <t>J2CV2</t>
        </is>
      </c>
      <c r="C14" s="5" t="inlineStr">
        <is>
          <t>K1</t>
        </is>
      </c>
      <c r="D14" s="13" t="inlineStr">
        <is>
          <t>K1</t>
        </is>
      </c>
      <c r="E14" s="13" t="inlineStr">
        <is>
          <t>CN-VK</t>
        </is>
      </c>
      <c r="F14" s="13" t="inlineStr">
        <is>
          <t>met handelskorting</t>
        </is>
      </c>
      <c r="G14" s="16" t="n">
        <v>46413</v>
      </c>
      <c r="I14" s="13" t="inlineStr">
        <is>
          <t>CN-2027-002</t>
        </is>
      </c>
      <c r="J14" s="13" t="inlineStr">
        <is>
          <t>Fietsatelier Noor bv</t>
        </is>
      </c>
      <c r="K14" s="13" t="inlineStr">
        <is>
          <t>Velocity Deelfietsen bv</t>
        </is>
      </c>
      <c r="L14" s="13" t="inlineStr">
        <is>
          <t>2027-003</t>
        </is>
      </c>
      <c r="M14" s="13" t="inlineStr">
        <is>
          <t>5 fietsen teruggenomen: te veel besteld</t>
        </is>
      </c>
      <c r="N14" s="14">
        <f>SUMIFS('J2 Lijnen'!$J:$J,'J2 Lijnen'!$A:$A,$B14,'J2 Lijnen'!$K:$K,0.21,'J2 Lijnen'!$E:$E,"&lt;&gt;verpakking")</f>
        <v/>
      </c>
      <c r="O14" s="14">
        <f>SUMIFS('J2 Lijnen'!$L:$L,'J2 Lijnen'!$A:$A,$B14,'J2 Lijnen'!$K:$K,0.21)</f>
        <v/>
      </c>
      <c r="P14" s="14">
        <f>SUMIFS('J2 Lijnen'!$J:$J,'J2 Lijnen'!$A:$A,$B14,'J2 Lijnen'!$K:$K,0.06)</f>
        <v/>
      </c>
      <c r="Q14" s="14">
        <f>SUMIFS('J2 Lijnen'!$L:$L,'J2 Lijnen'!$A:$A,$B14,'J2 Lijnen'!$K:$K,0.06)</f>
        <v/>
      </c>
      <c r="R14" s="14">
        <f>SUMIFS('J2 Lijnen'!$J:$J,'J2 Lijnen'!$A:$A,$B14,'J2 Lijnen'!$E:$E,"verpakking")</f>
        <v/>
      </c>
      <c r="S14" s="14">
        <f>-SUMIFS('J2 Lijnen'!$J:$J,'J2 Lijnen'!$A:$A,$B14,'J2 Lijnen'!$E:$E,"financiële korting")</f>
        <v/>
      </c>
      <c r="T14" s="17">
        <f>SUM(N14:S14)</f>
        <v/>
      </c>
      <c r="X14" s="13" t="inlineStr">
        <is>
          <t>U2027-05</t>
        </is>
      </c>
      <c r="Y14" s="14">
        <f>SUMIFS('J2 Journaal'!$K:$K,'J2 Journaal'!$E:$E,$B14)-SUMIFS('J2 Journaal'!$L:$L,'J2 Journaal'!$E:$E,$B14)</f>
        <v/>
      </c>
      <c r="Z14" s="13" t="n"/>
    </row>
    <row r="15">
      <c r="A15" s="12" t="n">
        <v>14</v>
      </c>
      <c r="B15" s="13" t="inlineStr">
        <is>
          <t>J2CV3</t>
        </is>
      </c>
      <c r="C15" s="5" t="inlineStr">
        <is>
          <t>K1</t>
        </is>
      </c>
      <c r="D15" s="13" t="inlineStr">
        <is>
          <t>K1</t>
        </is>
      </c>
      <c r="E15" s="13" t="inlineStr">
        <is>
          <t>CN-VK</t>
        </is>
      </c>
      <c r="F15" s="13" t="inlineStr">
        <is>
          <t>verpakking terug</t>
        </is>
      </c>
      <c r="G15" s="16" t="n">
        <v>46456</v>
      </c>
      <c r="I15" s="13" t="inlineStr">
        <is>
          <t>CN-2027-003</t>
        </is>
      </c>
      <c r="J15" s="13" t="inlineStr">
        <is>
          <t>Fietsatelier Noor bv</t>
        </is>
      </c>
      <c r="K15" s="13" t="inlineStr">
        <is>
          <t>Snelpost bv</t>
        </is>
      </c>
      <c r="L15" s="13" t="inlineStr">
        <is>
          <t>2027-007</t>
        </is>
      </c>
      <c r="M15" s="13" t="inlineStr">
        <is>
          <t>3 fietsrekken terugontvangen</t>
        </is>
      </c>
      <c r="N15" s="14">
        <f>SUMIFS('J2 Lijnen'!$J:$J,'J2 Lijnen'!$A:$A,$B15,'J2 Lijnen'!$K:$K,0.21,'J2 Lijnen'!$E:$E,"&lt;&gt;verpakking")</f>
        <v/>
      </c>
      <c r="O15" s="14">
        <f>SUMIFS('J2 Lijnen'!$L:$L,'J2 Lijnen'!$A:$A,$B15,'J2 Lijnen'!$K:$K,0.21)</f>
        <v/>
      </c>
      <c r="P15" s="14">
        <f>SUMIFS('J2 Lijnen'!$J:$J,'J2 Lijnen'!$A:$A,$B15,'J2 Lijnen'!$K:$K,0.06)</f>
        <v/>
      </c>
      <c r="Q15" s="14">
        <f>SUMIFS('J2 Lijnen'!$L:$L,'J2 Lijnen'!$A:$A,$B15,'J2 Lijnen'!$K:$K,0.06)</f>
        <v/>
      </c>
      <c r="R15" s="14">
        <f>SUMIFS('J2 Lijnen'!$J:$J,'J2 Lijnen'!$A:$A,$B15,'J2 Lijnen'!$E:$E,"verpakking")</f>
        <v/>
      </c>
      <c r="S15" s="14">
        <f>-SUMIFS('J2 Lijnen'!$J:$J,'J2 Lijnen'!$A:$A,$B15,'J2 Lijnen'!$E:$E,"financiële korting")</f>
        <v/>
      </c>
      <c r="T15" s="17">
        <f>SUM(N15:S15)</f>
        <v/>
      </c>
      <c r="X15" s="13" t="inlineStr">
        <is>
          <t>U2027-08</t>
        </is>
      </c>
      <c r="Y15" s="14">
        <f>SUMIFS('J2 Journaal'!$K:$K,'J2 Journaal'!$E:$E,$B15)-SUMIFS('J2 Journaal'!$L:$L,'J2 Journaal'!$E:$E,$B15)</f>
        <v/>
      </c>
      <c r="Z15" s="13" t="n"/>
    </row>
    <row r="16">
      <c r="A16" s="12" t="n">
        <v>15</v>
      </c>
      <c r="B16" s="13" t="inlineStr">
        <is>
          <t>J2D1</t>
        </is>
      </c>
      <c r="C16" s="5" t="inlineStr">
        <is>
          <t>K1</t>
        </is>
      </c>
      <c r="D16" s="13" t="inlineStr">
        <is>
          <t>K1</t>
        </is>
      </c>
      <c r="E16" s="13" t="inlineStr">
        <is>
          <t>DO</t>
        </is>
      </c>
      <c r="F16" s="13" t="inlineStr">
        <is>
          <t>dagontvangst</t>
        </is>
      </c>
      <c r="G16" s="16" t="n">
        <v>46403</v>
      </c>
      <c r="I16" s="13" t="inlineStr">
        <is>
          <t>DO-2027-01</t>
        </is>
      </c>
      <c r="J16" s="13" t="inlineStr">
        <is>
          <t>Fietsatelier Noor bv</t>
        </is>
      </c>
      <c r="K16" s="13" t="inlineStr">
        <is>
          <t>particulieren (kasticket)</t>
        </is>
      </c>
      <c r="M16" s="13" t="inlineStr">
        <is>
          <t>Dagontvangsten winkel (verkopen aan particulieren)</t>
        </is>
      </c>
      <c r="N16" s="14">
        <f>SUMIFS('J2 Lijnen'!$J:$J,'J2 Lijnen'!$A:$A,$B16,'J2 Lijnen'!$K:$K,0.21,'J2 Lijnen'!$E:$E,"&lt;&gt;verpakking")</f>
        <v/>
      </c>
      <c r="O16" s="14">
        <f>SUMIFS('J2 Lijnen'!$L:$L,'J2 Lijnen'!$A:$A,$B16,'J2 Lijnen'!$K:$K,0.21)</f>
        <v/>
      </c>
      <c r="P16" s="14">
        <f>SUMIFS('J2 Lijnen'!$J:$J,'J2 Lijnen'!$A:$A,$B16,'J2 Lijnen'!$K:$K,0.06)</f>
        <v/>
      </c>
      <c r="Q16" s="14">
        <f>SUMIFS('J2 Lijnen'!$L:$L,'J2 Lijnen'!$A:$A,$B16,'J2 Lijnen'!$K:$K,0.06)</f>
        <v/>
      </c>
      <c r="R16" s="14">
        <f>SUMIFS('J2 Lijnen'!$J:$J,'J2 Lijnen'!$A:$A,$B16,'J2 Lijnen'!$E:$E,"verpakking")</f>
        <v/>
      </c>
      <c r="S16" s="14">
        <f>-SUMIFS('J2 Lijnen'!$J:$J,'J2 Lijnen'!$A:$A,$B16,'J2 Lijnen'!$E:$E,"financiële korting")</f>
        <v/>
      </c>
      <c r="T16" s="17">
        <f>SUM(N16:S16)</f>
        <v/>
      </c>
      <c r="V16" s="14">
        <f>T16-W16</f>
        <v/>
      </c>
      <c r="W16" s="14" t="n">
        <v>1000</v>
      </c>
      <c r="X16" s="13" t="inlineStr">
        <is>
          <t>J2D1K, U2027-03</t>
        </is>
      </c>
      <c r="Y16" s="14">
        <f>SUMIFS('J2 Journaal'!$K:$K,'J2 Journaal'!$E:$E,$B16)-SUMIFS('J2 Journaal'!$L:$L,'J2 Journaal'!$E:$E,$B16)</f>
        <v/>
      </c>
      <c r="Z16" s="13" t="n"/>
    </row>
    <row r="17">
      <c r="A17" s="12" t="n">
        <v>16</v>
      </c>
      <c r="B17" s="13" t="inlineStr">
        <is>
          <t>J2D1K</t>
        </is>
      </c>
      <c r="C17" s="5" t="inlineStr">
        <is>
          <t>K1</t>
        </is>
      </c>
      <c r="D17" s="13" t="inlineStr">
        <is>
          <t>K1</t>
        </is>
      </c>
      <c r="E17" s="13" t="inlineStr">
        <is>
          <t>KAS</t>
        </is>
      </c>
      <c r="F17" s="13" t="inlineStr">
        <is>
          <t>ontvangst</t>
        </is>
      </c>
      <c r="G17" s="16" t="n">
        <v>46403</v>
      </c>
      <c r="I17" s="13" t="inlineStr">
        <is>
          <t>Kasboek DO-2027-01</t>
        </is>
      </c>
      <c r="J17" s="13" t="inlineStr">
        <is>
          <t>Fietsatelier Noor bv</t>
        </is>
      </c>
      <c r="K17" s="13" t="inlineStr">
        <is>
          <t>Fietsatelier Noor bv</t>
        </is>
      </c>
      <c r="L17" s="13" t="inlineStr">
        <is>
          <t>DO-2027-01</t>
        </is>
      </c>
      <c r="M17" s="13" t="inlineStr">
        <is>
          <t>Contant deel van dagontvangst DO-2027-01 (laat de vordering op de klanten dalen)</t>
        </is>
      </c>
      <c r="T17" s="17" t="n">
        <v>891</v>
      </c>
      <c r="V17" s="14" t="n">
        <v>891</v>
      </c>
      <c r="Y17" s="14">
        <f>SUMIFS('J2 Journaal'!$K:$K,'J2 Journaal'!$E:$E,$B17)-SUMIFS('J2 Journaal'!$L:$L,'J2 Journaal'!$E:$E,$B17)</f>
        <v/>
      </c>
    </row>
    <row r="18">
      <c r="A18" s="12" t="n">
        <v>17</v>
      </c>
      <c r="B18" s="13" t="inlineStr">
        <is>
          <t>J2BTW1</t>
        </is>
      </c>
      <c r="C18" s="5" t="inlineStr">
        <is>
          <t>K1</t>
        </is>
      </c>
      <c r="D18" s="13" t="inlineStr">
        <is>
          <t>K1</t>
        </is>
      </c>
      <c r="E18" s="13" t="inlineStr">
        <is>
          <t>MEMO</t>
        </is>
      </c>
      <c r="F18" s="13" t="inlineStr">
        <is>
          <t>btw-verrekening</t>
        </is>
      </c>
      <c r="G18" s="16" t="n">
        <v>46477</v>
      </c>
      <c r="I18" s="13" t="inlineStr">
        <is>
          <t>J2BTW1</t>
        </is>
      </c>
      <c r="M18" s="13" t="inlineStr">
        <is>
          <t>Btw-verrekening 1e kwartaal 2027</t>
        </is>
      </c>
      <c r="Y18" s="14">
        <f>SUMIFS('J2 Journaal'!$K:$K,'J2 Journaal'!$E:$E,$B18)-SUMIFS('J2 Journaal'!$L:$L,'J2 Journaal'!$E:$E,$B18)</f>
        <v/>
      </c>
    </row>
    <row r="19">
      <c r="A19" s="12" t="n">
        <v>19</v>
      </c>
      <c r="B19" s="13" t="inlineStr">
        <is>
          <t>J2K1</t>
        </is>
      </c>
      <c r="C19" s="5" t="inlineStr">
        <is>
          <t>K1</t>
        </is>
      </c>
      <c r="D19" s="13" t="inlineStr">
        <is>
          <t>K1</t>
        </is>
      </c>
      <c r="E19" s="13" t="inlineStr">
        <is>
          <t>KAS</t>
        </is>
      </c>
      <c r="F19" s="13" t="inlineStr">
        <is>
          <t>storting</t>
        </is>
      </c>
      <c r="G19" s="16" t="n">
        <v>46407</v>
      </c>
      <c r="I19" s="13" t="inlineStr">
        <is>
          <t>KAS-2027-01</t>
        </is>
      </c>
      <c r="J19" s="13" t="inlineStr">
        <is>
          <t>Fietsatelier Noor bv</t>
        </is>
      </c>
      <c r="K19" s="13" t="inlineStr">
        <is>
          <t>Fietsatelier Noor bv</t>
        </is>
      </c>
      <c r="M19" s="13" t="inlineStr">
        <is>
          <t>Storting contanten van de kassa naar de bank</t>
        </is>
      </c>
      <c r="T19" s="17" t="n">
        <v>2000</v>
      </c>
      <c r="V19" s="14" t="n">
        <v>-2000</v>
      </c>
      <c r="Y19" s="14">
        <f>SUMIFS('J2 Journaal'!$K:$K,'J2 Journaal'!$E:$E,$B19)-SUMIFS('J2 Journaal'!$L:$L,'J2 Journaal'!$E:$E,$B19)</f>
        <v/>
      </c>
    </row>
    <row r="20">
      <c r="A20" s="12" t="n">
        <v>25</v>
      </c>
      <c r="B20" s="13" t="inlineStr">
        <is>
          <t>J2K2</t>
        </is>
      </c>
      <c r="C20" s="5" t="inlineStr">
        <is>
          <t>K1</t>
        </is>
      </c>
      <c r="D20" s="13" t="inlineStr">
        <is>
          <t>K1</t>
        </is>
      </c>
      <c r="E20" s="13" t="inlineStr">
        <is>
          <t>KAS</t>
        </is>
      </c>
      <c r="F20" s="13" t="inlineStr">
        <is>
          <t>afhaling</t>
        </is>
      </c>
      <c r="G20" s="16" t="n">
        <v>46447</v>
      </c>
      <c r="I20" s="13" t="inlineStr">
        <is>
          <t>KAS-2027-02</t>
        </is>
      </c>
      <c r="J20" s="13" t="inlineStr">
        <is>
          <t>Fietsatelier Noor bv</t>
        </is>
      </c>
      <c r="K20" s="13" t="inlineStr">
        <is>
          <t>Fietsatelier Noor bv</t>
        </is>
      </c>
      <c r="M20" s="13" t="inlineStr">
        <is>
          <t>Afhaling wisselgeld van de bank voor de kassa</t>
        </is>
      </c>
      <c r="T20" s="17" t="n">
        <v>300</v>
      </c>
      <c r="V20" s="14" t="n">
        <v>300</v>
      </c>
      <c r="Y20" s="14">
        <f>SUMIFS('J2 Journaal'!$K:$K,'J2 Journaal'!$E:$E,$B20)-SUMIFS('J2 Journaal'!$L:$L,'J2 Journaal'!$E:$E,$B20)</f>
        <v/>
      </c>
    </row>
    <row r="21">
      <c r="A21" s="12" t="n">
        <v>1</v>
      </c>
      <c r="B21" s="13" t="inlineStr">
        <is>
          <t>J2Q2A1</t>
        </is>
      </c>
      <c r="C21" s="6" t="inlineStr">
        <is>
          <t>K2</t>
        </is>
      </c>
      <c r="D21" s="13" t="inlineStr">
        <is>
          <t>K2</t>
        </is>
      </c>
      <c r="E21" s="13" t="inlineStr">
        <is>
          <t>AK</t>
        </is>
      </c>
      <c r="F21" s="13" t="inlineStr">
        <is>
          <t>handelskorting + verpakking</t>
        </is>
      </c>
      <c r="G21" s="16" t="n">
        <v>46478</v>
      </c>
      <c r="H21" s="16">
        <f>G21+30</f>
        <v/>
      </c>
      <c r="I21" s="13" t="inlineStr">
        <is>
          <t>2027-198</t>
        </is>
      </c>
      <c r="J21" s="13" t="inlineStr">
        <is>
          <t>Velomax bv</t>
        </is>
      </c>
      <c r="K21" s="13" t="inlineStr">
        <is>
          <t>Fietsatelier Noor bv</t>
        </is>
      </c>
      <c r="M21" s="13" t="n"/>
      <c r="N21" s="14">
        <f>SUMIFS('J2 Lijnen'!$J:$J,'J2 Lijnen'!$A:$A,$B21,'J2 Lijnen'!$K:$K,0.21,'J2 Lijnen'!$E:$E,"&lt;&gt;verpakking")</f>
        <v/>
      </c>
      <c r="O21" s="14">
        <f>SUMIFS('J2 Lijnen'!$L:$L,'J2 Lijnen'!$A:$A,$B21,'J2 Lijnen'!$K:$K,0.21)</f>
        <v/>
      </c>
      <c r="P21" s="14">
        <f>SUMIFS('J2 Lijnen'!$J:$J,'J2 Lijnen'!$A:$A,$B21,'J2 Lijnen'!$K:$K,0.06)</f>
        <v/>
      </c>
      <c r="Q21" s="14">
        <f>SUMIFS('J2 Lijnen'!$L:$L,'J2 Lijnen'!$A:$A,$B21,'J2 Lijnen'!$K:$K,0.06)</f>
        <v/>
      </c>
      <c r="R21" s="14">
        <f>SUMIFS('J2 Lijnen'!$J:$J,'J2 Lijnen'!$A:$A,$B21,'J2 Lijnen'!$E:$E,"verpakking")</f>
        <v/>
      </c>
      <c r="S21" s="14">
        <f>-SUMIFS('J2 Lijnen'!$J:$J,'J2 Lijnen'!$A:$A,$B21,'J2 Lijnen'!$E:$E,"financiële korting")</f>
        <v/>
      </c>
      <c r="T21" s="17">
        <f>SUM(N21:S21)</f>
        <v/>
      </c>
      <c r="X21" s="13" t="inlineStr">
        <is>
          <t>U2027-09</t>
        </is>
      </c>
      <c r="Y21" s="14">
        <f>SUMIFS('J2 Journaal'!$K:$K,'J2 Journaal'!$E:$E,$B21)-SUMIFS('J2 Journaal'!$L:$L,'J2 Journaal'!$E:$E,$B21)</f>
        <v/>
      </c>
      <c r="Z21" s="13" t="n"/>
    </row>
    <row r="22">
      <c r="A22" s="12" t="n">
        <v>2</v>
      </c>
      <c r="B22" s="13" t="inlineStr">
        <is>
          <t>J2Q2A2</t>
        </is>
      </c>
      <c r="C22" s="6" t="inlineStr">
        <is>
          <t>K2</t>
        </is>
      </c>
      <c r="D22" s="13" t="inlineStr">
        <is>
          <t>K2</t>
        </is>
      </c>
      <c r="E22" s="13" t="inlineStr">
        <is>
          <t>AK</t>
        </is>
      </c>
      <c r="F22" s="13" t="inlineStr">
        <is>
          <t>eenvoudig</t>
        </is>
      </c>
      <c r="G22" s="16" t="n">
        <v>46484</v>
      </c>
      <c r="H22" s="16">
        <f>G22+30</f>
        <v/>
      </c>
      <c r="I22" s="13" t="inlineStr">
        <is>
          <t>SK-27-1104</t>
        </is>
      </c>
      <c r="J22" s="13" t="inlineStr">
        <is>
          <t>Stroomkracht nv</t>
        </is>
      </c>
      <c r="K22" s="13" t="inlineStr">
        <is>
          <t>Fietsatelier Noor bv</t>
        </is>
      </c>
      <c r="M22" s="13" t="n"/>
      <c r="N22" s="14">
        <f>SUMIFS('J2 Lijnen'!$J:$J,'J2 Lijnen'!$A:$A,$B22,'J2 Lijnen'!$K:$K,0.21,'J2 Lijnen'!$E:$E,"&lt;&gt;verpakking")</f>
        <v/>
      </c>
      <c r="O22" s="14">
        <f>SUMIFS('J2 Lijnen'!$L:$L,'J2 Lijnen'!$A:$A,$B22,'J2 Lijnen'!$K:$K,0.21)</f>
        <v/>
      </c>
      <c r="P22" s="14">
        <f>SUMIFS('J2 Lijnen'!$J:$J,'J2 Lijnen'!$A:$A,$B22,'J2 Lijnen'!$K:$K,0.06)</f>
        <v/>
      </c>
      <c r="Q22" s="14">
        <f>SUMIFS('J2 Lijnen'!$L:$L,'J2 Lijnen'!$A:$A,$B22,'J2 Lijnen'!$K:$K,0.06)</f>
        <v/>
      </c>
      <c r="R22" s="14">
        <f>SUMIFS('J2 Lijnen'!$J:$J,'J2 Lijnen'!$A:$A,$B22,'J2 Lijnen'!$E:$E,"verpakking")</f>
        <v/>
      </c>
      <c r="S22" s="14">
        <f>-SUMIFS('J2 Lijnen'!$J:$J,'J2 Lijnen'!$A:$A,$B22,'J2 Lijnen'!$E:$E,"financiële korting")</f>
        <v/>
      </c>
      <c r="T22" s="17">
        <f>SUM(N22:S22)</f>
        <v/>
      </c>
      <c r="X22" s="13" t="inlineStr">
        <is>
          <t>U2027-09</t>
        </is>
      </c>
      <c r="Y22" s="14">
        <f>SUMIFS('J2 Journaal'!$K:$K,'J2 Journaal'!$E:$E,$B22)-SUMIFS('J2 Journaal'!$L:$L,'J2 Journaal'!$E:$E,$B22)</f>
        <v/>
      </c>
      <c r="Z22" s="13" t="n"/>
    </row>
    <row r="23">
      <c r="A23" s="12" t="n">
        <v>3</v>
      </c>
      <c r="B23" s="13" t="inlineStr">
        <is>
          <t>J2Q2CA1</t>
        </is>
      </c>
      <c r="C23" s="6" t="inlineStr">
        <is>
          <t>K2</t>
        </is>
      </c>
      <c r="D23" s="13" t="inlineStr">
        <is>
          <t>K2</t>
        </is>
      </c>
      <c r="E23" s="13" t="inlineStr">
        <is>
          <t>CN-AK</t>
        </is>
      </c>
      <c r="F23" s="13" t="inlineStr">
        <is>
          <t>met handelskorting</t>
        </is>
      </c>
      <c r="G23" s="16" t="n">
        <v>46487</v>
      </c>
      <c r="I23" s="13" t="inlineStr">
        <is>
          <t>CN-2027-021</t>
        </is>
      </c>
      <c r="J23" s="13" t="inlineStr">
        <is>
          <t>Velomax bv</t>
        </is>
      </c>
      <c r="K23" s="13" t="inlineStr">
        <is>
          <t>Fietsatelier Noor bv</t>
        </is>
      </c>
      <c r="L23" s="13" t="inlineStr">
        <is>
          <t>2027-198</t>
        </is>
      </c>
      <c r="M23" s="13" t="inlineStr">
        <is>
          <t>5 fietsen van het verkeerde model geleverd, teruggestuurd</t>
        </is>
      </c>
      <c r="N23" s="14">
        <f>SUMIFS('J2 Lijnen'!$J:$J,'J2 Lijnen'!$A:$A,$B23,'J2 Lijnen'!$K:$K,0.21,'J2 Lijnen'!$E:$E,"&lt;&gt;verpakking")</f>
        <v/>
      </c>
      <c r="O23" s="14">
        <f>SUMIFS('J2 Lijnen'!$L:$L,'J2 Lijnen'!$A:$A,$B23,'J2 Lijnen'!$K:$K,0.21)</f>
        <v/>
      </c>
      <c r="P23" s="14">
        <f>SUMIFS('J2 Lijnen'!$J:$J,'J2 Lijnen'!$A:$A,$B23,'J2 Lijnen'!$K:$K,0.06)</f>
        <v/>
      </c>
      <c r="Q23" s="14">
        <f>SUMIFS('J2 Lijnen'!$L:$L,'J2 Lijnen'!$A:$A,$B23,'J2 Lijnen'!$K:$K,0.06)</f>
        <v/>
      </c>
      <c r="R23" s="14">
        <f>SUMIFS('J2 Lijnen'!$J:$J,'J2 Lijnen'!$A:$A,$B23,'J2 Lijnen'!$E:$E,"verpakking")</f>
        <v/>
      </c>
      <c r="S23" s="14">
        <f>-SUMIFS('J2 Lijnen'!$J:$J,'J2 Lijnen'!$A:$A,$B23,'J2 Lijnen'!$E:$E,"financiële korting")</f>
        <v/>
      </c>
      <c r="T23" s="17">
        <f>SUM(N23:S23)</f>
        <v/>
      </c>
      <c r="X23" s="13" t="inlineStr">
        <is>
          <t>U2027-09</t>
        </is>
      </c>
      <c r="Y23" s="14">
        <f>SUMIFS('J2 Journaal'!$K:$K,'J2 Journaal'!$E:$E,$B23)-SUMIFS('J2 Journaal'!$L:$L,'J2 Journaal'!$E:$E,$B23)</f>
        <v/>
      </c>
      <c r="Z23" s="13" t="n"/>
    </row>
    <row r="24">
      <c r="A24" s="12" t="n">
        <v>4</v>
      </c>
      <c r="B24" s="13" t="inlineStr">
        <is>
          <t>J2Q2A4</t>
        </is>
      </c>
      <c r="C24" s="6" t="inlineStr">
        <is>
          <t>K2</t>
        </is>
      </c>
      <c r="D24" s="13" t="inlineStr">
        <is>
          <t>K2</t>
        </is>
      </c>
      <c r="E24" s="13" t="inlineStr">
        <is>
          <t>AK</t>
        </is>
      </c>
      <c r="F24" s="13" t="inlineStr">
        <is>
          <t>kosten</t>
        </is>
      </c>
      <c r="G24" s="16" t="n">
        <v>46513</v>
      </c>
      <c r="H24" s="16">
        <f>G24+30</f>
        <v/>
      </c>
      <c r="I24" s="13" t="inlineStr">
        <is>
          <t>HH-27-102</t>
        </is>
      </c>
      <c r="J24" s="13" t="inlineStr">
        <is>
          <t>HelmHuis bv</t>
        </is>
      </c>
      <c r="K24" s="13" t="inlineStr">
        <is>
          <t>Fietsatelier Noor bv</t>
        </is>
      </c>
      <c r="M24" s="13" t="n"/>
      <c r="N24" s="14">
        <f>SUMIFS('J2 Lijnen'!$J:$J,'J2 Lijnen'!$A:$A,$B24,'J2 Lijnen'!$K:$K,0.21,'J2 Lijnen'!$E:$E,"&lt;&gt;verpakking")</f>
        <v/>
      </c>
      <c r="O24" s="14">
        <f>SUMIFS('J2 Lijnen'!$L:$L,'J2 Lijnen'!$A:$A,$B24,'J2 Lijnen'!$K:$K,0.21)</f>
        <v/>
      </c>
      <c r="P24" s="14">
        <f>SUMIFS('J2 Lijnen'!$J:$J,'J2 Lijnen'!$A:$A,$B24,'J2 Lijnen'!$K:$K,0.06)</f>
        <v/>
      </c>
      <c r="Q24" s="14">
        <f>SUMIFS('J2 Lijnen'!$L:$L,'J2 Lijnen'!$A:$A,$B24,'J2 Lijnen'!$K:$K,0.06)</f>
        <v/>
      </c>
      <c r="R24" s="14">
        <f>SUMIFS('J2 Lijnen'!$J:$J,'J2 Lijnen'!$A:$A,$B24,'J2 Lijnen'!$E:$E,"verpakking")</f>
        <v/>
      </c>
      <c r="S24" s="14">
        <f>-SUMIFS('J2 Lijnen'!$J:$J,'J2 Lijnen'!$A:$A,$B24,'J2 Lijnen'!$E:$E,"financiële korting")</f>
        <v/>
      </c>
      <c r="T24" s="17">
        <f>SUM(N24:S24)</f>
        <v/>
      </c>
      <c r="X24" s="13" t="inlineStr">
        <is>
          <t>U2027-11</t>
        </is>
      </c>
      <c r="Y24" s="14">
        <f>SUMIFS('J2 Journaal'!$K:$K,'J2 Journaal'!$E:$E,$B24)-SUMIFS('J2 Journaal'!$L:$L,'J2 Journaal'!$E:$E,$B24)</f>
        <v/>
      </c>
      <c r="Z24" s="13" t="n"/>
    </row>
    <row r="25">
      <c r="A25" s="12" t="n">
        <v>5</v>
      </c>
      <c r="B25" s="13" t="inlineStr">
        <is>
          <t>J2Q2A7</t>
        </is>
      </c>
      <c r="C25" s="6" t="inlineStr">
        <is>
          <t>K2</t>
        </is>
      </c>
      <c r="D25" s="13" t="inlineStr">
        <is>
          <t>K2</t>
        </is>
      </c>
      <c r="E25" s="13" t="inlineStr">
        <is>
          <t>AK</t>
        </is>
      </c>
      <c r="F25" s="13" t="inlineStr">
        <is>
          <t>financiële korting</t>
        </is>
      </c>
      <c r="G25" s="16" t="n">
        <v>46519</v>
      </c>
      <c r="H25" s="16">
        <f>G25+30</f>
        <v/>
      </c>
      <c r="I25" s="13" t="inlineStr">
        <is>
          <t>2027-244</t>
        </is>
      </c>
      <c r="J25" s="13" t="inlineStr">
        <is>
          <t>Velomax bv</t>
        </is>
      </c>
      <c r="K25" s="13" t="inlineStr">
        <is>
          <t>Fietsatelier Noor bv</t>
        </is>
      </c>
      <c r="M25" s="13" t="n"/>
      <c r="N25" s="14">
        <f>SUMIFS('J2 Lijnen'!$J:$J,'J2 Lijnen'!$A:$A,$B25,'J2 Lijnen'!$K:$K,0.21,'J2 Lijnen'!$E:$E,"&lt;&gt;verpakking")</f>
        <v/>
      </c>
      <c r="O25" s="14">
        <f>SUMIFS('J2 Lijnen'!$L:$L,'J2 Lijnen'!$A:$A,$B25,'J2 Lijnen'!$K:$K,0.21)</f>
        <v/>
      </c>
      <c r="P25" s="14">
        <f>SUMIFS('J2 Lijnen'!$J:$J,'J2 Lijnen'!$A:$A,$B25,'J2 Lijnen'!$K:$K,0.06)</f>
        <v/>
      </c>
      <c r="Q25" s="14">
        <f>SUMIFS('J2 Lijnen'!$L:$L,'J2 Lijnen'!$A:$A,$B25,'J2 Lijnen'!$K:$K,0.06)</f>
        <v/>
      </c>
      <c r="R25" s="14">
        <f>SUMIFS('J2 Lijnen'!$J:$J,'J2 Lijnen'!$A:$A,$B25,'J2 Lijnen'!$E:$E,"verpakking")</f>
        <v/>
      </c>
      <c r="S25" s="14">
        <f>-SUMIFS('J2 Lijnen'!$J:$J,'J2 Lijnen'!$A:$A,$B25,'J2 Lijnen'!$E:$E,"financiële korting")</f>
        <v/>
      </c>
      <c r="T25" s="17">
        <f>SUM(N25:S25)</f>
        <v/>
      </c>
      <c r="U25" s="14">
        <f>T25-S25</f>
        <v/>
      </c>
      <c r="X25" s="13" t="inlineStr">
        <is>
          <t>U2027-11</t>
        </is>
      </c>
      <c r="Y25" s="14">
        <f>SUMIFS('J2 Journaal'!$K:$K,'J2 Journaal'!$E:$E,$B25)-SUMIFS('J2 Journaal'!$L:$L,'J2 Journaal'!$E:$E,$B25)</f>
        <v/>
      </c>
      <c r="Z25" s="13" t="inlineStr">
        <is>
          <t>5% korting binnen 10 dagen: binnen de termijn betaald</t>
        </is>
      </c>
    </row>
    <row r="26">
      <c r="A26" s="12" t="n">
        <v>6</v>
      </c>
      <c r="B26" s="13" t="inlineStr">
        <is>
          <t>J2Q2A5</t>
        </is>
      </c>
      <c r="C26" s="6" t="inlineStr">
        <is>
          <t>K2</t>
        </is>
      </c>
      <c r="D26" s="13" t="inlineStr">
        <is>
          <t>K2</t>
        </is>
      </c>
      <c r="E26" s="13" t="inlineStr">
        <is>
          <t>AK</t>
        </is>
      </c>
      <c r="F26" s="13" t="inlineStr">
        <is>
          <t>handelskorting + kosten + verpakking</t>
        </is>
      </c>
      <c r="G26" s="16" t="n">
        <v>46527</v>
      </c>
      <c r="H26" s="16">
        <f>G26+30</f>
        <v/>
      </c>
      <c r="I26" s="13" t="inlineStr">
        <is>
          <t>2027-260</t>
        </is>
      </c>
      <c r="J26" s="13" t="inlineStr">
        <is>
          <t>Velomax bv</t>
        </is>
      </c>
      <c r="K26" s="13" t="inlineStr">
        <is>
          <t>Fietsatelier Noor bv</t>
        </is>
      </c>
      <c r="M26" s="13" t="n"/>
      <c r="N26" s="14">
        <f>SUMIFS('J2 Lijnen'!$J:$J,'J2 Lijnen'!$A:$A,$B26,'J2 Lijnen'!$K:$K,0.21,'J2 Lijnen'!$E:$E,"&lt;&gt;verpakking")</f>
        <v/>
      </c>
      <c r="O26" s="14">
        <f>SUMIFS('J2 Lijnen'!$L:$L,'J2 Lijnen'!$A:$A,$B26,'J2 Lijnen'!$K:$K,0.21)</f>
        <v/>
      </c>
      <c r="P26" s="14">
        <f>SUMIFS('J2 Lijnen'!$J:$J,'J2 Lijnen'!$A:$A,$B26,'J2 Lijnen'!$K:$K,0.06)</f>
        <v/>
      </c>
      <c r="Q26" s="14">
        <f>SUMIFS('J2 Lijnen'!$L:$L,'J2 Lijnen'!$A:$A,$B26,'J2 Lijnen'!$K:$K,0.06)</f>
        <v/>
      </c>
      <c r="R26" s="14">
        <f>SUMIFS('J2 Lijnen'!$J:$J,'J2 Lijnen'!$A:$A,$B26,'J2 Lijnen'!$E:$E,"verpakking")</f>
        <v/>
      </c>
      <c r="S26" s="14">
        <f>-SUMIFS('J2 Lijnen'!$J:$J,'J2 Lijnen'!$A:$A,$B26,'J2 Lijnen'!$E:$E,"financiële korting")</f>
        <v/>
      </c>
      <c r="T26" s="17">
        <f>SUM(N26:S26)</f>
        <v/>
      </c>
      <c r="X26" s="13" t="inlineStr">
        <is>
          <t>U2027-12</t>
        </is>
      </c>
      <c r="Y26" s="14">
        <f>SUMIFS('J2 Journaal'!$K:$K,'J2 Journaal'!$E:$E,$B26)-SUMIFS('J2 Journaal'!$L:$L,'J2 Journaal'!$E:$E,$B26)</f>
        <v/>
      </c>
      <c r="Z26" s="13" t="n"/>
    </row>
    <row r="27">
      <c r="A27" s="12" t="n">
        <v>7</v>
      </c>
      <c r="B27" s="13" t="inlineStr">
        <is>
          <t>J2Q2CA2</t>
        </is>
      </c>
      <c r="C27" s="6" t="inlineStr">
        <is>
          <t>K2</t>
        </is>
      </c>
      <c r="D27" s="13" t="inlineStr">
        <is>
          <t>K2</t>
        </is>
      </c>
      <c r="E27" s="13" t="inlineStr">
        <is>
          <t>CN-AK</t>
        </is>
      </c>
      <c r="F27" s="13" t="inlineStr">
        <is>
          <t>verpakking terug</t>
        </is>
      </c>
      <c r="G27" s="16" t="n">
        <v>46532</v>
      </c>
      <c r="I27" s="13" t="inlineStr">
        <is>
          <t>CN-2027-030</t>
        </is>
      </c>
      <c r="J27" s="13" t="inlineStr">
        <is>
          <t>Velomax bv</t>
        </is>
      </c>
      <c r="K27" s="13" t="inlineStr">
        <is>
          <t>Fietsatelier Noor bv</t>
        </is>
      </c>
      <c r="L27" s="13" t="inlineStr">
        <is>
          <t>2027-198</t>
        </is>
      </c>
      <c r="M27" s="13" t="inlineStr">
        <is>
          <t>4 fietsrekken teruggestuurd</t>
        </is>
      </c>
      <c r="N27" s="14">
        <f>SUMIFS('J2 Lijnen'!$J:$J,'J2 Lijnen'!$A:$A,$B27,'J2 Lijnen'!$K:$K,0.21,'J2 Lijnen'!$E:$E,"&lt;&gt;verpakking")</f>
        <v/>
      </c>
      <c r="O27" s="14">
        <f>SUMIFS('J2 Lijnen'!$L:$L,'J2 Lijnen'!$A:$A,$B27,'J2 Lijnen'!$K:$K,0.21)</f>
        <v/>
      </c>
      <c r="P27" s="14">
        <f>SUMIFS('J2 Lijnen'!$J:$J,'J2 Lijnen'!$A:$A,$B27,'J2 Lijnen'!$K:$K,0.06)</f>
        <v/>
      </c>
      <c r="Q27" s="14">
        <f>SUMIFS('J2 Lijnen'!$L:$L,'J2 Lijnen'!$A:$A,$B27,'J2 Lijnen'!$K:$K,0.06)</f>
        <v/>
      </c>
      <c r="R27" s="14">
        <f>SUMIFS('J2 Lijnen'!$J:$J,'J2 Lijnen'!$A:$A,$B27,'J2 Lijnen'!$E:$E,"verpakking")</f>
        <v/>
      </c>
      <c r="S27" s="14">
        <f>-SUMIFS('J2 Lijnen'!$J:$J,'J2 Lijnen'!$A:$A,$B27,'J2 Lijnen'!$E:$E,"financiële korting")</f>
        <v/>
      </c>
      <c r="T27" s="17">
        <f>SUM(N27:S27)</f>
        <v/>
      </c>
      <c r="X27" s="13" t="inlineStr">
        <is>
          <t>U2027-12</t>
        </is>
      </c>
      <c r="Y27" s="14">
        <f>SUMIFS('J2 Journaal'!$K:$K,'J2 Journaal'!$E:$E,$B27)-SUMIFS('J2 Journaal'!$L:$L,'J2 Journaal'!$E:$E,$B27)</f>
        <v/>
      </c>
      <c r="Z27" s="13" t="n"/>
    </row>
    <row r="28">
      <c r="A28" s="12" t="n">
        <v>8</v>
      </c>
      <c r="B28" s="13" t="inlineStr">
        <is>
          <t>J2Q2V1</t>
        </is>
      </c>
      <c r="C28" s="6" t="inlineStr">
        <is>
          <t>K2</t>
        </is>
      </c>
      <c r="D28" s="13" t="inlineStr">
        <is>
          <t>K2</t>
        </is>
      </c>
      <c r="E28" s="13" t="inlineStr">
        <is>
          <t>VK</t>
        </is>
      </c>
      <c r="F28" s="13" t="inlineStr">
        <is>
          <t>eenvoudig</t>
        </is>
      </c>
      <c r="G28" s="16" t="n">
        <v>46485</v>
      </c>
      <c r="H28" s="16">
        <f>G28+30</f>
        <v/>
      </c>
      <c r="I28" s="13" t="inlineStr">
        <is>
          <t>2027-009</t>
        </is>
      </c>
      <c r="J28" s="13" t="inlineStr">
        <is>
          <t>Fietsatelier Noor bv</t>
        </is>
      </c>
      <c r="K28" s="13" t="inlineStr">
        <is>
          <t>Woonzorgcentrum Zonnehof vzw</t>
        </is>
      </c>
      <c r="M28" s="13" t="n"/>
      <c r="N28" s="14">
        <f>SUMIFS('J2 Lijnen'!$J:$J,'J2 Lijnen'!$A:$A,$B28,'J2 Lijnen'!$K:$K,0.21,'J2 Lijnen'!$E:$E,"&lt;&gt;verpakking")</f>
        <v/>
      </c>
      <c r="O28" s="14">
        <f>SUMIFS('J2 Lijnen'!$L:$L,'J2 Lijnen'!$A:$A,$B28,'J2 Lijnen'!$K:$K,0.21)</f>
        <v/>
      </c>
      <c r="P28" s="14">
        <f>SUMIFS('J2 Lijnen'!$J:$J,'J2 Lijnen'!$A:$A,$B28,'J2 Lijnen'!$K:$K,0.06)</f>
        <v/>
      </c>
      <c r="Q28" s="14">
        <f>SUMIFS('J2 Lijnen'!$L:$L,'J2 Lijnen'!$A:$A,$B28,'J2 Lijnen'!$K:$K,0.06)</f>
        <v/>
      </c>
      <c r="R28" s="14">
        <f>SUMIFS('J2 Lijnen'!$J:$J,'J2 Lijnen'!$A:$A,$B28,'J2 Lijnen'!$E:$E,"verpakking")</f>
        <v/>
      </c>
      <c r="S28" s="14">
        <f>-SUMIFS('J2 Lijnen'!$J:$J,'J2 Lijnen'!$A:$A,$B28,'J2 Lijnen'!$E:$E,"financiële korting")</f>
        <v/>
      </c>
      <c r="T28" s="17">
        <f>SUM(N28:S28)</f>
        <v/>
      </c>
      <c r="X28" s="13" t="inlineStr">
        <is>
          <t>U2027-11</t>
        </is>
      </c>
      <c r="Y28" s="14">
        <f>SUMIFS('J2 Journaal'!$K:$K,'J2 Journaal'!$E:$E,$B28)-SUMIFS('J2 Journaal'!$L:$L,'J2 Journaal'!$E:$E,$B28)</f>
        <v/>
      </c>
      <c r="Z28" s="13" t="n"/>
    </row>
    <row r="29">
      <c r="A29" s="12" t="n">
        <v>9</v>
      </c>
      <c r="B29" s="13" t="inlineStr">
        <is>
          <t>J2Q2V2</t>
        </is>
      </c>
      <c r="C29" s="6" t="inlineStr">
        <is>
          <t>K2</t>
        </is>
      </c>
      <c r="D29" s="13" t="inlineStr">
        <is>
          <t>K2</t>
        </is>
      </c>
      <c r="E29" s="13" t="inlineStr">
        <is>
          <t>VK</t>
        </is>
      </c>
      <c r="F29" s="13" t="inlineStr">
        <is>
          <t>handelskorting</t>
        </is>
      </c>
      <c r="G29" s="16" t="n">
        <v>46491</v>
      </c>
      <c r="H29" s="16">
        <f>G29+30</f>
        <v/>
      </c>
      <c r="I29" s="13" t="inlineStr">
        <is>
          <t>2027-010</t>
        </is>
      </c>
      <c r="J29" s="13" t="inlineStr">
        <is>
          <t>Fietsatelier Noor bv</t>
        </is>
      </c>
      <c r="K29" s="13" t="inlineStr">
        <is>
          <t>Snelpost bv</t>
        </is>
      </c>
      <c r="M29" s="13" t="n"/>
      <c r="N29" s="14">
        <f>SUMIFS('J2 Lijnen'!$J:$J,'J2 Lijnen'!$A:$A,$B29,'J2 Lijnen'!$K:$K,0.21,'J2 Lijnen'!$E:$E,"&lt;&gt;verpakking")</f>
        <v/>
      </c>
      <c r="O29" s="14">
        <f>SUMIFS('J2 Lijnen'!$L:$L,'J2 Lijnen'!$A:$A,$B29,'J2 Lijnen'!$K:$K,0.21)</f>
        <v/>
      </c>
      <c r="P29" s="14">
        <f>SUMIFS('J2 Lijnen'!$J:$J,'J2 Lijnen'!$A:$A,$B29,'J2 Lijnen'!$K:$K,0.06)</f>
        <v/>
      </c>
      <c r="Q29" s="14">
        <f>SUMIFS('J2 Lijnen'!$L:$L,'J2 Lijnen'!$A:$A,$B29,'J2 Lijnen'!$K:$K,0.06)</f>
        <v/>
      </c>
      <c r="R29" s="14">
        <f>SUMIFS('J2 Lijnen'!$J:$J,'J2 Lijnen'!$A:$A,$B29,'J2 Lijnen'!$E:$E,"verpakking")</f>
        <v/>
      </c>
      <c r="S29" s="14">
        <f>-SUMIFS('J2 Lijnen'!$J:$J,'J2 Lijnen'!$A:$A,$B29,'J2 Lijnen'!$E:$E,"financiële korting")</f>
        <v/>
      </c>
      <c r="T29" s="17">
        <f>SUM(N29:S29)</f>
        <v/>
      </c>
      <c r="X29" s="13" t="inlineStr">
        <is>
          <t>U2027-11</t>
        </is>
      </c>
      <c r="Y29" s="14">
        <f>SUMIFS('J2 Journaal'!$K:$K,'J2 Journaal'!$E:$E,$B29)-SUMIFS('J2 Journaal'!$L:$L,'J2 Journaal'!$E:$E,$B29)</f>
        <v/>
      </c>
      <c r="Z29" s="13" t="n"/>
    </row>
    <row r="30">
      <c r="A30" s="12" t="n">
        <v>10</v>
      </c>
      <c r="B30" s="13" t="inlineStr">
        <is>
          <t>J2Q2V3</t>
        </is>
      </c>
      <c r="C30" s="6" t="inlineStr">
        <is>
          <t>K2</t>
        </is>
      </c>
      <c r="D30" s="13" t="inlineStr">
        <is>
          <t>K2</t>
        </is>
      </c>
      <c r="E30" s="13" t="inlineStr">
        <is>
          <t>VK</t>
        </is>
      </c>
      <c r="F30" s="13" t="inlineStr">
        <is>
          <t>kosten</t>
        </is>
      </c>
      <c r="G30" s="16" t="n">
        <v>46505</v>
      </c>
      <c r="H30" s="16">
        <f>G30+30</f>
        <v/>
      </c>
      <c r="I30" s="13" t="inlineStr">
        <is>
          <t>2027-011</t>
        </is>
      </c>
      <c r="J30" s="13" t="inlineStr">
        <is>
          <t>Fietsatelier Noor bv</t>
        </is>
      </c>
      <c r="K30" s="13" t="inlineStr">
        <is>
          <t>Studio Kowalski bv</t>
        </is>
      </c>
      <c r="M30" s="13" t="n"/>
      <c r="N30" s="14">
        <f>SUMIFS('J2 Lijnen'!$J:$J,'J2 Lijnen'!$A:$A,$B30,'J2 Lijnen'!$K:$K,0.21,'J2 Lijnen'!$E:$E,"&lt;&gt;verpakking")</f>
        <v/>
      </c>
      <c r="O30" s="14">
        <f>SUMIFS('J2 Lijnen'!$L:$L,'J2 Lijnen'!$A:$A,$B30,'J2 Lijnen'!$K:$K,0.21)</f>
        <v/>
      </c>
      <c r="P30" s="14">
        <f>SUMIFS('J2 Lijnen'!$J:$J,'J2 Lijnen'!$A:$A,$B30,'J2 Lijnen'!$K:$K,0.06)</f>
        <v/>
      </c>
      <c r="Q30" s="14">
        <f>SUMIFS('J2 Lijnen'!$L:$L,'J2 Lijnen'!$A:$A,$B30,'J2 Lijnen'!$K:$K,0.06)</f>
        <v/>
      </c>
      <c r="R30" s="14">
        <f>SUMIFS('J2 Lijnen'!$J:$J,'J2 Lijnen'!$A:$A,$B30,'J2 Lijnen'!$E:$E,"verpakking")</f>
        <v/>
      </c>
      <c r="S30" s="14">
        <f>-SUMIFS('J2 Lijnen'!$J:$J,'J2 Lijnen'!$A:$A,$B30,'J2 Lijnen'!$E:$E,"financiële korting")</f>
        <v/>
      </c>
      <c r="T30" s="17">
        <f>SUM(N30:S30)</f>
        <v/>
      </c>
      <c r="X30" s="13" t="inlineStr">
        <is>
          <t>U2027-11</t>
        </is>
      </c>
      <c r="Y30" s="14">
        <f>SUMIFS('J2 Journaal'!$K:$K,'J2 Journaal'!$E:$E,$B30)-SUMIFS('J2 Journaal'!$L:$L,'J2 Journaal'!$E:$E,$B30)</f>
        <v/>
      </c>
      <c r="Z30" s="13" t="n"/>
    </row>
    <row r="31">
      <c r="A31" s="12" t="n">
        <v>11</v>
      </c>
      <c r="B31" s="13" t="inlineStr">
        <is>
          <t>J2Q2V7</t>
        </is>
      </c>
      <c r="C31" s="6" t="inlineStr">
        <is>
          <t>K2</t>
        </is>
      </c>
      <c r="D31" s="13" t="inlineStr">
        <is>
          <t>K2</t>
        </is>
      </c>
      <c r="E31" s="13" t="inlineStr">
        <is>
          <t>VK</t>
        </is>
      </c>
      <c r="F31" s="13" t="inlineStr">
        <is>
          <t>financiële korting</t>
        </is>
      </c>
      <c r="G31" s="16" t="n">
        <v>46527</v>
      </c>
      <c r="H31" s="16">
        <f>G31+30</f>
        <v/>
      </c>
      <c r="I31" s="13" t="inlineStr">
        <is>
          <t>2027-027</t>
        </is>
      </c>
      <c r="J31" s="13" t="inlineStr">
        <is>
          <t>Fietsatelier Noor bv</t>
        </is>
      </c>
      <c r="K31" s="13" t="inlineStr">
        <is>
          <t>Woonzorgcentrum Zonnehof vzw</t>
        </is>
      </c>
      <c r="M31" s="13" t="n"/>
      <c r="N31" s="14">
        <f>SUMIFS('J2 Lijnen'!$J:$J,'J2 Lijnen'!$A:$A,$B31,'J2 Lijnen'!$K:$K,0.21,'J2 Lijnen'!$E:$E,"&lt;&gt;verpakking")</f>
        <v/>
      </c>
      <c r="O31" s="14">
        <f>SUMIFS('J2 Lijnen'!$L:$L,'J2 Lijnen'!$A:$A,$B31,'J2 Lijnen'!$K:$K,0.21)</f>
        <v/>
      </c>
      <c r="P31" s="14">
        <f>SUMIFS('J2 Lijnen'!$J:$J,'J2 Lijnen'!$A:$A,$B31,'J2 Lijnen'!$K:$K,0.06)</f>
        <v/>
      </c>
      <c r="Q31" s="14">
        <f>SUMIFS('J2 Lijnen'!$L:$L,'J2 Lijnen'!$A:$A,$B31,'J2 Lijnen'!$K:$K,0.06)</f>
        <v/>
      </c>
      <c r="R31" s="14">
        <f>SUMIFS('J2 Lijnen'!$J:$J,'J2 Lijnen'!$A:$A,$B31,'J2 Lijnen'!$E:$E,"verpakking")</f>
        <v/>
      </c>
      <c r="S31" s="14">
        <f>-SUMIFS('J2 Lijnen'!$J:$J,'J2 Lijnen'!$A:$A,$B31,'J2 Lijnen'!$E:$E,"financiële korting")</f>
        <v/>
      </c>
      <c r="T31" s="17">
        <f>SUM(N31:S31)</f>
        <v/>
      </c>
      <c r="U31" s="14">
        <f>T31-S31</f>
        <v/>
      </c>
      <c r="X31" s="13" t="inlineStr">
        <is>
          <t>U2027-12</t>
        </is>
      </c>
      <c r="Y31" s="14">
        <f>SUMIFS('J2 Journaal'!$K:$K,'J2 Journaal'!$E:$E,$B31)-SUMIFS('J2 Journaal'!$L:$L,'J2 Journaal'!$E:$E,$B31)</f>
        <v/>
      </c>
      <c r="Z31" s="13" t="inlineStr">
        <is>
          <t>4% korting binnen 10 dagen: te laat betaald, geen korting</t>
        </is>
      </c>
    </row>
    <row r="32">
      <c r="A32" s="12" t="n">
        <v>12</v>
      </c>
      <c r="B32" s="13" t="inlineStr">
        <is>
          <t>J2Q2V5</t>
        </is>
      </c>
      <c r="C32" s="6" t="inlineStr">
        <is>
          <t>K2</t>
        </is>
      </c>
      <c r="D32" s="13" t="inlineStr">
        <is>
          <t>K2</t>
        </is>
      </c>
      <c r="E32" s="13" t="inlineStr">
        <is>
          <t>VK</t>
        </is>
      </c>
      <c r="F32" s="13" t="inlineStr">
        <is>
          <t>handelskorting + kosten + verpakking</t>
        </is>
      </c>
      <c r="G32" s="16" t="n">
        <v>46540</v>
      </c>
      <c r="H32" s="16">
        <f>G32+30</f>
        <v/>
      </c>
      <c r="I32" s="13" t="inlineStr">
        <is>
          <t>2027-013</t>
        </is>
      </c>
      <c r="J32" s="13" t="inlineStr">
        <is>
          <t>Fietsatelier Noor bv</t>
        </is>
      </c>
      <c r="K32" s="13" t="inlineStr">
        <is>
          <t>Bouwbedrijf Janssens &amp; Zonen bv</t>
        </is>
      </c>
      <c r="M32" s="13" t="n"/>
      <c r="N32" s="14">
        <f>SUMIFS('J2 Lijnen'!$J:$J,'J2 Lijnen'!$A:$A,$B32,'J2 Lijnen'!$K:$K,0.21,'J2 Lijnen'!$E:$E,"&lt;&gt;verpakking")</f>
        <v/>
      </c>
      <c r="O32" s="14">
        <f>SUMIFS('J2 Lijnen'!$L:$L,'J2 Lijnen'!$A:$A,$B32,'J2 Lijnen'!$K:$K,0.21)</f>
        <v/>
      </c>
      <c r="P32" s="14">
        <f>SUMIFS('J2 Lijnen'!$J:$J,'J2 Lijnen'!$A:$A,$B32,'J2 Lijnen'!$K:$K,0.06)</f>
        <v/>
      </c>
      <c r="Q32" s="14">
        <f>SUMIFS('J2 Lijnen'!$L:$L,'J2 Lijnen'!$A:$A,$B32,'J2 Lijnen'!$K:$K,0.06)</f>
        <v/>
      </c>
      <c r="R32" s="14">
        <f>SUMIFS('J2 Lijnen'!$J:$J,'J2 Lijnen'!$A:$A,$B32,'J2 Lijnen'!$E:$E,"verpakking")</f>
        <v/>
      </c>
      <c r="S32" s="14">
        <f>-SUMIFS('J2 Lijnen'!$J:$J,'J2 Lijnen'!$A:$A,$B32,'J2 Lijnen'!$E:$E,"financiële korting")</f>
        <v/>
      </c>
      <c r="T32" s="17">
        <f>SUM(N32:S32)</f>
        <v/>
      </c>
      <c r="X32" s="13" t="inlineStr">
        <is>
          <t>U2027-13</t>
        </is>
      </c>
      <c r="Y32" s="14">
        <f>SUMIFS('J2 Journaal'!$K:$K,'J2 Journaal'!$E:$E,$B32)-SUMIFS('J2 Journaal'!$L:$L,'J2 Journaal'!$E:$E,$B32)</f>
        <v/>
      </c>
      <c r="Z32" s="13" t="n"/>
    </row>
    <row r="33">
      <c r="A33" s="12" t="n">
        <v>13</v>
      </c>
      <c r="B33" s="13" t="inlineStr">
        <is>
          <t>J2Q2D1</t>
        </is>
      </c>
      <c r="C33" s="6" t="inlineStr">
        <is>
          <t>K2</t>
        </is>
      </c>
      <c r="D33" s="13" t="inlineStr">
        <is>
          <t>K2</t>
        </is>
      </c>
      <c r="E33" s="13" t="inlineStr">
        <is>
          <t>DO</t>
        </is>
      </c>
      <c r="F33" s="13" t="inlineStr">
        <is>
          <t>dagontvangst</t>
        </is>
      </c>
      <c r="G33" s="16" t="n">
        <v>46543</v>
      </c>
      <c r="I33" s="13" t="inlineStr">
        <is>
          <t>DO-2027-03</t>
        </is>
      </c>
      <c r="J33" s="13" t="inlineStr">
        <is>
          <t>Fietsatelier Noor bv</t>
        </is>
      </c>
      <c r="K33" s="13" t="inlineStr">
        <is>
          <t>particulieren (kasticket)</t>
        </is>
      </c>
      <c r="M33" s="13" t="inlineStr">
        <is>
          <t>Dagontvangsten winkel (verkopen aan particulieren)</t>
        </is>
      </c>
      <c r="N33" s="14">
        <f>SUMIFS('J2 Lijnen'!$J:$J,'J2 Lijnen'!$A:$A,$B33,'J2 Lijnen'!$K:$K,0.21,'J2 Lijnen'!$E:$E,"&lt;&gt;verpakking")</f>
        <v/>
      </c>
      <c r="O33" s="14">
        <f>SUMIFS('J2 Lijnen'!$L:$L,'J2 Lijnen'!$A:$A,$B33,'J2 Lijnen'!$K:$K,0.21)</f>
        <v/>
      </c>
      <c r="P33" s="14">
        <f>SUMIFS('J2 Lijnen'!$J:$J,'J2 Lijnen'!$A:$A,$B33,'J2 Lijnen'!$K:$K,0.06)</f>
        <v/>
      </c>
      <c r="Q33" s="14">
        <f>SUMIFS('J2 Lijnen'!$L:$L,'J2 Lijnen'!$A:$A,$B33,'J2 Lijnen'!$K:$K,0.06)</f>
        <v/>
      </c>
      <c r="R33" s="14">
        <f>SUMIFS('J2 Lijnen'!$J:$J,'J2 Lijnen'!$A:$A,$B33,'J2 Lijnen'!$E:$E,"verpakking")</f>
        <v/>
      </c>
      <c r="S33" s="14">
        <f>-SUMIFS('J2 Lijnen'!$J:$J,'J2 Lijnen'!$A:$A,$B33,'J2 Lijnen'!$E:$E,"financiële korting")</f>
        <v/>
      </c>
      <c r="T33" s="17">
        <f>SUM(N33:S33)</f>
        <v/>
      </c>
      <c r="V33" s="14">
        <f>T33-W33</f>
        <v/>
      </c>
      <c r="W33" s="14" t="n">
        <v>2000</v>
      </c>
      <c r="X33" s="13" t="inlineStr">
        <is>
          <t>J2Q2D1K, U2027-12</t>
        </is>
      </c>
      <c r="Y33" s="14">
        <f>SUMIFS('J2 Journaal'!$K:$K,'J2 Journaal'!$E:$E,$B33)-SUMIFS('J2 Journaal'!$L:$L,'J2 Journaal'!$E:$E,$B33)</f>
        <v/>
      </c>
      <c r="Z33" s="13" t="n"/>
    </row>
    <row r="34">
      <c r="A34" s="12" t="n">
        <v>14</v>
      </c>
      <c r="B34" s="13" t="inlineStr">
        <is>
          <t>J2Q2D1K</t>
        </is>
      </c>
      <c r="C34" s="6" t="inlineStr">
        <is>
          <t>K2</t>
        </is>
      </c>
      <c r="D34" s="13" t="inlineStr">
        <is>
          <t>K2</t>
        </is>
      </c>
      <c r="E34" s="13" t="inlineStr">
        <is>
          <t>KAS</t>
        </is>
      </c>
      <c r="F34" s="13" t="inlineStr">
        <is>
          <t>ontvangst</t>
        </is>
      </c>
      <c r="G34" s="16" t="n">
        <v>46543</v>
      </c>
      <c r="I34" s="13" t="inlineStr">
        <is>
          <t>Kasboek DO-2027-03</t>
        </is>
      </c>
      <c r="J34" s="13" t="inlineStr">
        <is>
          <t>Fietsatelier Noor bv</t>
        </is>
      </c>
      <c r="K34" s="13" t="inlineStr">
        <is>
          <t>Fietsatelier Noor bv</t>
        </is>
      </c>
      <c r="L34" s="13" t="inlineStr">
        <is>
          <t>DO-2027-03</t>
        </is>
      </c>
      <c r="M34" s="13" t="inlineStr">
        <is>
          <t>Contant deel van dagontvangst DO-2027-03 (laat de vordering op de klanten dalen)</t>
        </is>
      </c>
      <c r="T34" s="17" t="n">
        <v>708</v>
      </c>
      <c r="V34" s="14" t="n">
        <v>708</v>
      </c>
      <c r="Y34" s="14">
        <f>SUMIFS('J2 Journaal'!$K:$K,'J2 Journaal'!$E:$E,$B34)-SUMIFS('J2 Journaal'!$L:$L,'J2 Journaal'!$E:$E,$B34)</f>
        <v/>
      </c>
    </row>
    <row r="35">
      <c r="A35" s="12" t="n">
        <v>15</v>
      </c>
      <c r="B35" s="13" t="inlineStr">
        <is>
          <t>J2Q2CV1</t>
        </is>
      </c>
      <c r="C35" s="6" t="inlineStr">
        <is>
          <t>K2</t>
        </is>
      </c>
      <c r="D35" s="13" t="inlineStr">
        <is>
          <t>K2</t>
        </is>
      </c>
      <c r="E35" s="13" t="inlineStr">
        <is>
          <t>CN-VK</t>
        </is>
      </c>
      <c r="F35" s="13" t="inlineStr">
        <is>
          <t>met handelskorting</t>
        </is>
      </c>
      <c r="G35" s="16" t="n">
        <v>46547</v>
      </c>
      <c r="I35" s="13" t="inlineStr">
        <is>
          <t>CN-2027-004</t>
        </is>
      </c>
      <c r="J35" s="13" t="inlineStr">
        <is>
          <t>Fietsatelier Noor bv</t>
        </is>
      </c>
      <c r="K35" s="13" t="inlineStr">
        <is>
          <t>Bouwbedrijf Janssens &amp; Zonen bv</t>
        </is>
      </c>
      <c r="L35" s="13" t="inlineStr">
        <is>
          <t>2027-013</t>
        </is>
      </c>
      <c r="M35" s="13" t="inlineStr">
        <is>
          <t>4 kinderfietsen niet besteld, teruggenomen</t>
        </is>
      </c>
      <c r="N35" s="14">
        <f>SUMIFS('J2 Lijnen'!$J:$J,'J2 Lijnen'!$A:$A,$B35,'J2 Lijnen'!$K:$K,0.21,'J2 Lijnen'!$E:$E,"&lt;&gt;verpakking")</f>
        <v/>
      </c>
      <c r="O35" s="14">
        <f>SUMIFS('J2 Lijnen'!$L:$L,'J2 Lijnen'!$A:$A,$B35,'J2 Lijnen'!$K:$K,0.21)</f>
        <v/>
      </c>
      <c r="P35" s="14">
        <f>SUMIFS('J2 Lijnen'!$J:$J,'J2 Lijnen'!$A:$A,$B35,'J2 Lijnen'!$K:$K,0.06)</f>
        <v/>
      </c>
      <c r="Q35" s="14">
        <f>SUMIFS('J2 Lijnen'!$L:$L,'J2 Lijnen'!$A:$A,$B35,'J2 Lijnen'!$K:$K,0.06)</f>
        <v/>
      </c>
      <c r="R35" s="14">
        <f>SUMIFS('J2 Lijnen'!$J:$J,'J2 Lijnen'!$A:$A,$B35,'J2 Lijnen'!$E:$E,"verpakking")</f>
        <v/>
      </c>
      <c r="S35" s="14">
        <f>-SUMIFS('J2 Lijnen'!$J:$J,'J2 Lijnen'!$A:$A,$B35,'J2 Lijnen'!$E:$E,"financiële korting")</f>
        <v/>
      </c>
      <c r="T35" s="17">
        <f>SUM(N35:S35)</f>
        <v/>
      </c>
      <c r="X35" s="13" t="inlineStr">
        <is>
          <t>U2027-13</t>
        </is>
      </c>
      <c r="Y35" s="14">
        <f>SUMIFS('J2 Journaal'!$K:$K,'J2 Journaal'!$E:$E,$B35)-SUMIFS('J2 Journaal'!$L:$L,'J2 Journaal'!$E:$E,$B35)</f>
        <v/>
      </c>
      <c r="Z35" s="13" t="n"/>
    </row>
    <row r="36">
      <c r="A36" s="12" t="n">
        <v>16</v>
      </c>
      <c r="B36" s="13" t="inlineStr">
        <is>
          <t>J2Q2CV2</t>
        </is>
      </c>
      <c r="C36" s="6" t="inlineStr">
        <is>
          <t>K2</t>
        </is>
      </c>
      <c r="D36" s="13" t="inlineStr">
        <is>
          <t>K2</t>
        </is>
      </c>
      <c r="E36" s="13" t="inlineStr">
        <is>
          <t>CN-VK</t>
        </is>
      </c>
      <c r="F36" s="13" t="inlineStr">
        <is>
          <t>verpakking terug</t>
        </is>
      </c>
      <c r="G36" s="16" t="n">
        <v>46559</v>
      </c>
      <c r="I36" s="13" t="inlineStr">
        <is>
          <t>CN-2027-005</t>
        </is>
      </c>
      <c r="J36" s="13" t="inlineStr">
        <is>
          <t>Fietsatelier Noor bv</t>
        </is>
      </c>
      <c r="K36" s="13" t="inlineStr">
        <is>
          <t>Bouwbedrijf Janssens &amp; Zonen bv</t>
        </is>
      </c>
      <c r="L36" s="13" t="inlineStr">
        <is>
          <t>2027-013</t>
        </is>
      </c>
      <c r="M36" s="13" t="inlineStr">
        <is>
          <t>2 fietsrekken terugontvangen</t>
        </is>
      </c>
      <c r="N36" s="14">
        <f>SUMIFS('J2 Lijnen'!$J:$J,'J2 Lijnen'!$A:$A,$B36,'J2 Lijnen'!$K:$K,0.21,'J2 Lijnen'!$E:$E,"&lt;&gt;verpakking")</f>
        <v/>
      </c>
      <c r="O36" s="14">
        <f>SUMIFS('J2 Lijnen'!$L:$L,'J2 Lijnen'!$A:$A,$B36,'J2 Lijnen'!$K:$K,0.21)</f>
        <v/>
      </c>
      <c r="P36" s="14">
        <f>SUMIFS('J2 Lijnen'!$J:$J,'J2 Lijnen'!$A:$A,$B36,'J2 Lijnen'!$K:$K,0.06)</f>
        <v/>
      </c>
      <c r="Q36" s="14">
        <f>SUMIFS('J2 Lijnen'!$L:$L,'J2 Lijnen'!$A:$A,$B36,'J2 Lijnen'!$K:$K,0.06)</f>
        <v/>
      </c>
      <c r="R36" s="14">
        <f>SUMIFS('J2 Lijnen'!$J:$J,'J2 Lijnen'!$A:$A,$B36,'J2 Lijnen'!$E:$E,"verpakking")</f>
        <v/>
      </c>
      <c r="S36" s="14">
        <f>-SUMIFS('J2 Lijnen'!$J:$J,'J2 Lijnen'!$A:$A,$B36,'J2 Lijnen'!$E:$E,"financiële korting")</f>
        <v/>
      </c>
      <c r="T36" s="17">
        <f>SUM(N36:S36)</f>
        <v/>
      </c>
      <c r="X36" s="13" t="inlineStr">
        <is>
          <t>U2027-13</t>
        </is>
      </c>
      <c r="Y36" s="14">
        <f>SUMIFS('J2 Journaal'!$K:$K,'J2 Journaal'!$E:$E,$B36)-SUMIFS('J2 Journaal'!$L:$L,'J2 Journaal'!$E:$E,$B36)</f>
        <v/>
      </c>
      <c r="Z36" s="13" t="n"/>
    </row>
    <row r="37">
      <c r="A37" s="12" t="n">
        <v>17</v>
      </c>
      <c r="B37" s="13" t="inlineStr">
        <is>
          <t>J2BTW2</t>
        </is>
      </c>
      <c r="C37" s="6" t="inlineStr">
        <is>
          <t>K2</t>
        </is>
      </c>
      <c r="D37" s="13" t="inlineStr">
        <is>
          <t>K2</t>
        </is>
      </c>
      <c r="E37" s="13" t="inlineStr">
        <is>
          <t>MEMO</t>
        </is>
      </c>
      <c r="F37" s="13" t="inlineStr">
        <is>
          <t>btw-verrekening</t>
        </is>
      </c>
      <c r="G37" s="16" t="n">
        <v>46568</v>
      </c>
      <c r="I37" s="13" t="inlineStr">
        <is>
          <t>J2BTW2</t>
        </is>
      </c>
      <c r="M37" s="13" t="inlineStr">
        <is>
          <t>Btw-verrekening 2e kwartaal 2027</t>
        </is>
      </c>
      <c r="Y37" s="14">
        <f>SUMIFS('J2 Journaal'!$K:$K,'J2 Journaal'!$E:$E,$B37)-SUMIFS('J2 Journaal'!$L:$L,'J2 Journaal'!$E:$E,$B37)</f>
        <v/>
      </c>
    </row>
    <row r="38">
      <c r="A38" s="12" t="n">
        <v>22</v>
      </c>
      <c r="B38" s="13" t="inlineStr">
        <is>
          <t>J2Q2K1</t>
        </is>
      </c>
      <c r="C38" s="6" t="inlineStr">
        <is>
          <t>K2</t>
        </is>
      </c>
      <c r="D38" s="13" t="inlineStr">
        <is>
          <t>K2</t>
        </is>
      </c>
      <c r="E38" s="13" t="inlineStr">
        <is>
          <t>KAS</t>
        </is>
      </c>
      <c r="F38" s="13" t="inlineStr">
        <is>
          <t>storting</t>
        </is>
      </c>
      <c r="G38" s="16" t="n">
        <v>46562</v>
      </c>
      <c r="I38" s="13" t="inlineStr">
        <is>
          <t>KAS-2027-03</t>
        </is>
      </c>
      <c r="J38" s="13" t="inlineStr">
        <is>
          <t>Fietsatelier Noor bv</t>
        </is>
      </c>
      <c r="K38" s="13" t="inlineStr">
        <is>
          <t>Fietsatelier Noor bv</t>
        </is>
      </c>
      <c r="M38" s="13" t="inlineStr">
        <is>
          <t>Storting contanten van de kassa naar de bank</t>
        </is>
      </c>
      <c r="T38" s="17" t="n">
        <v>3000</v>
      </c>
      <c r="V38" s="14" t="n">
        <v>-3000</v>
      </c>
      <c r="Y38" s="14">
        <f>SUMIFS('J2 Journaal'!$K:$K,'J2 Journaal'!$E:$E,$B38)-SUMIFS('J2 Journaal'!$L:$L,'J2 Journaal'!$E:$E,$B38)</f>
        <v/>
      </c>
    </row>
    <row r="39">
      <c r="A39" s="12" t="n">
        <v>1</v>
      </c>
      <c r="B39" s="13" t="inlineStr">
        <is>
          <t>J2Q3A1</t>
        </is>
      </c>
      <c r="C39" s="7" t="inlineStr">
        <is>
          <t>K3</t>
        </is>
      </c>
      <c r="D39" s="13" t="inlineStr">
        <is>
          <t>K3</t>
        </is>
      </c>
      <c r="E39" s="13" t="inlineStr">
        <is>
          <t>AK</t>
        </is>
      </c>
      <c r="F39" s="13" t="inlineStr">
        <is>
          <t>handelskorting</t>
        </is>
      </c>
      <c r="G39" s="16" t="n">
        <v>46569</v>
      </c>
      <c r="H39" s="16">
        <f>G39+30</f>
        <v/>
      </c>
      <c r="I39" s="13" t="inlineStr">
        <is>
          <t>2027-401</t>
        </is>
      </c>
      <c r="J39" s="13" t="inlineStr">
        <is>
          <t>Velomax bv</t>
        </is>
      </c>
      <c r="K39" s="13" t="inlineStr">
        <is>
          <t>Fietsatelier Noor bv</t>
        </is>
      </c>
      <c r="M39" s="13" t="n"/>
      <c r="N39" s="14">
        <f>SUMIFS('J2 Lijnen'!$J:$J,'J2 Lijnen'!$A:$A,$B39,'J2 Lijnen'!$K:$K,0.21,'J2 Lijnen'!$E:$E,"&lt;&gt;verpakking")</f>
        <v/>
      </c>
      <c r="O39" s="14">
        <f>SUMIFS('J2 Lijnen'!$L:$L,'J2 Lijnen'!$A:$A,$B39,'J2 Lijnen'!$K:$K,0.21)</f>
        <v/>
      </c>
      <c r="P39" s="14">
        <f>SUMIFS('J2 Lijnen'!$J:$J,'J2 Lijnen'!$A:$A,$B39,'J2 Lijnen'!$K:$K,0.06)</f>
        <v/>
      </c>
      <c r="Q39" s="14">
        <f>SUMIFS('J2 Lijnen'!$L:$L,'J2 Lijnen'!$A:$A,$B39,'J2 Lijnen'!$K:$K,0.06)</f>
        <v/>
      </c>
      <c r="R39" s="14">
        <f>SUMIFS('J2 Lijnen'!$J:$J,'J2 Lijnen'!$A:$A,$B39,'J2 Lijnen'!$E:$E,"verpakking")</f>
        <v/>
      </c>
      <c r="S39" s="14">
        <f>-SUMIFS('J2 Lijnen'!$J:$J,'J2 Lijnen'!$A:$A,$B39,'J2 Lijnen'!$E:$E,"financiële korting")</f>
        <v/>
      </c>
      <c r="T39" s="17">
        <f>SUM(N39:S39)</f>
        <v/>
      </c>
      <c r="X39" s="13" t="inlineStr">
        <is>
          <t>U2027-14</t>
        </is>
      </c>
      <c r="Y39" s="14">
        <f>SUMIFS('J2 Journaal'!$K:$K,'J2 Journaal'!$E:$E,$B39)-SUMIFS('J2 Journaal'!$L:$L,'J2 Journaal'!$E:$E,$B39)</f>
        <v/>
      </c>
      <c r="Z39" s="13" t="n"/>
    </row>
    <row r="40">
      <c r="A40" s="12" t="n">
        <v>2</v>
      </c>
      <c r="B40" s="13" t="inlineStr">
        <is>
          <t>J2A2</t>
        </is>
      </c>
      <c r="C40" s="7" t="inlineStr">
        <is>
          <t>K3</t>
        </is>
      </c>
      <c r="D40" s="13" t="inlineStr">
        <is>
          <t>K3</t>
        </is>
      </c>
      <c r="E40" s="13" t="inlineStr">
        <is>
          <t>AK</t>
        </is>
      </c>
      <c r="F40" s="13" t="inlineStr">
        <is>
          <t>eenvoudig</t>
        </is>
      </c>
      <c r="G40" s="16" t="n">
        <v>46573</v>
      </c>
      <c r="H40" s="16">
        <f>G40+30</f>
        <v/>
      </c>
      <c r="I40" s="13" t="inlineStr">
        <is>
          <t>GM-2027-119</t>
        </is>
      </c>
      <c r="J40" s="13" t="inlineStr">
        <is>
          <t>Garage Moreau bv</t>
        </is>
      </c>
      <c r="K40" s="13" t="inlineStr">
        <is>
          <t>Fietsatelier Noor bv</t>
        </is>
      </c>
      <c r="M40" s="13" t="n"/>
      <c r="N40" s="14">
        <f>SUMIFS('J2 Lijnen'!$J:$J,'J2 Lijnen'!$A:$A,$B40,'J2 Lijnen'!$K:$K,0.21,'J2 Lijnen'!$E:$E,"&lt;&gt;verpakking")</f>
        <v/>
      </c>
      <c r="O40" s="14">
        <f>SUMIFS('J2 Lijnen'!$L:$L,'J2 Lijnen'!$A:$A,$B40,'J2 Lijnen'!$K:$K,0.21)</f>
        <v/>
      </c>
      <c r="P40" s="14">
        <f>SUMIFS('J2 Lijnen'!$J:$J,'J2 Lijnen'!$A:$A,$B40,'J2 Lijnen'!$K:$K,0.06)</f>
        <v/>
      </c>
      <c r="Q40" s="14">
        <f>SUMIFS('J2 Lijnen'!$L:$L,'J2 Lijnen'!$A:$A,$B40,'J2 Lijnen'!$K:$K,0.06)</f>
        <v/>
      </c>
      <c r="R40" s="14">
        <f>SUMIFS('J2 Lijnen'!$J:$J,'J2 Lijnen'!$A:$A,$B40,'J2 Lijnen'!$E:$E,"verpakking")</f>
        <v/>
      </c>
      <c r="S40" s="14">
        <f>-SUMIFS('J2 Lijnen'!$J:$J,'J2 Lijnen'!$A:$A,$B40,'J2 Lijnen'!$E:$E,"financiële korting")</f>
        <v/>
      </c>
      <c r="T40" s="17">
        <f>SUM(N40:S40)</f>
        <v/>
      </c>
      <c r="X40" s="13" t="inlineStr">
        <is>
          <t>U2027-14</t>
        </is>
      </c>
      <c r="Y40" s="14">
        <f>SUMIFS('J2 Journaal'!$K:$K,'J2 Journaal'!$E:$E,$B40)-SUMIFS('J2 Journaal'!$L:$L,'J2 Journaal'!$E:$E,$B40)</f>
        <v/>
      </c>
      <c r="Z40" s="13" t="inlineStr">
        <is>
          <t>lening van februari is voor deze bestelwagen</t>
        </is>
      </c>
    </row>
    <row r="41">
      <c r="A41" s="12" t="n">
        <v>3</v>
      </c>
      <c r="B41" s="13" t="inlineStr">
        <is>
          <t>J2Q3V1</t>
        </is>
      </c>
      <c r="C41" s="7" t="inlineStr">
        <is>
          <t>K3</t>
        </is>
      </c>
      <c r="D41" s="13" t="inlineStr">
        <is>
          <t>K3</t>
        </is>
      </c>
      <c r="E41" s="13" t="inlineStr">
        <is>
          <t>VK</t>
        </is>
      </c>
      <c r="F41" s="13" t="inlineStr">
        <is>
          <t>handelskorting</t>
        </is>
      </c>
      <c r="G41" s="16" t="n">
        <v>46574</v>
      </c>
      <c r="H41" s="16">
        <f>G41+30</f>
        <v/>
      </c>
      <c r="I41" s="13" t="inlineStr">
        <is>
          <t>2027-015</t>
        </is>
      </c>
      <c r="J41" s="13" t="inlineStr">
        <is>
          <t>Fietsatelier Noor bv</t>
        </is>
      </c>
      <c r="K41" s="13" t="inlineStr">
        <is>
          <t>Hotel De Linde bv</t>
        </is>
      </c>
      <c r="M41" s="13" t="n"/>
      <c r="N41" s="14">
        <f>SUMIFS('J2 Lijnen'!$J:$J,'J2 Lijnen'!$A:$A,$B41,'J2 Lijnen'!$K:$K,0.21,'J2 Lijnen'!$E:$E,"&lt;&gt;verpakking")</f>
        <v/>
      </c>
      <c r="O41" s="14">
        <f>SUMIFS('J2 Lijnen'!$L:$L,'J2 Lijnen'!$A:$A,$B41,'J2 Lijnen'!$K:$K,0.21)</f>
        <v/>
      </c>
      <c r="P41" s="14">
        <f>SUMIFS('J2 Lijnen'!$J:$J,'J2 Lijnen'!$A:$A,$B41,'J2 Lijnen'!$K:$K,0.06)</f>
        <v/>
      </c>
      <c r="Q41" s="14">
        <f>SUMIFS('J2 Lijnen'!$L:$L,'J2 Lijnen'!$A:$A,$B41,'J2 Lijnen'!$K:$K,0.06)</f>
        <v/>
      </c>
      <c r="R41" s="14">
        <f>SUMIFS('J2 Lijnen'!$J:$J,'J2 Lijnen'!$A:$A,$B41,'J2 Lijnen'!$E:$E,"verpakking")</f>
        <v/>
      </c>
      <c r="S41" s="14">
        <f>-SUMIFS('J2 Lijnen'!$J:$J,'J2 Lijnen'!$A:$A,$B41,'J2 Lijnen'!$E:$E,"financiële korting")</f>
        <v/>
      </c>
      <c r="T41" s="17">
        <f>SUM(N41:S41)</f>
        <v/>
      </c>
      <c r="X41" s="13" t="inlineStr">
        <is>
          <t>U2027-14</t>
        </is>
      </c>
      <c r="Y41" s="14">
        <f>SUMIFS('J2 Journaal'!$K:$K,'J2 Journaal'!$E:$E,$B41)-SUMIFS('J2 Journaal'!$L:$L,'J2 Journaal'!$E:$E,$B41)</f>
        <v/>
      </c>
      <c r="Z41" s="13" t="n"/>
    </row>
    <row r="42">
      <c r="A42" s="12" t="n">
        <v>4</v>
      </c>
      <c r="B42" s="13" t="inlineStr">
        <is>
          <t>J2Q3CA1</t>
        </is>
      </c>
      <c r="C42" s="7" t="inlineStr">
        <is>
          <t>K3</t>
        </is>
      </c>
      <c r="D42" s="13" t="inlineStr">
        <is>
          <t>K3</t>
        </is>
      </c>
      <c r="E42" s="13" t="inlineStr">
        <is>
          <t>CN-AK</t>
        </is>
      </c>
      <c r="F42" s="13" t="inlineStr">
        <is>
          <t>met handelskorting</t>
        </is>
      </c>
      <c r="G42" s="16" t="n">
        <v>46578</v>
      </c>
      <c r="I42" s="13" t="inlineStr">
        <is>
          <t>CN-2027-044</t>
        </is>
      </c>
      <c r="J42" s="13" t="inlineStr">
        <is>
          <t>Velomax bv</t>
        </is>
      </c>
      <c r="K42" s="13" t="inlineStr">
        <is>
          <t>Fietsatelier Noor bv</t>
        </is>
      </c>
      <c r="L42" s="13" t="inlineStr">
        <is>
          <t>2027-401</t>
        </is>
      </c>
      <c r="M42" s="13" t="inlineStr">
        <is>
          <t>1 bakfiets en 3 fietsen met transportschade, teruggestuurd</t>
        </is>
      </c>
      <c r="N42" s="14">
        <f>SUMIFS('J2 Lijnen'!$J:$J,'J2 Lijnen'!$A:$A,$B42,'J2 Lijnen'!$K:$K,0.21,'J2 Lijnen'!$E:$E,"&lt;&gt;verpakking")</f>
        <v/>
      </c>
      <c r="O42" s="14">
        <f>SUMIFS('J2 Lijnen'!$L:$L,'J2 Lijnen'!$A:$A,$B42,'J2 Lijnen'!$K:$K,0.21)</f>
        <v/>
      </c>
      <c r="P42" s="14">
        <f>SUMIFS('J2 Lijnen'!$J:$J,'J2 Lijnen'!$A:$A,$B42,'J2 Lijnen'!$K:$K,0.06)</f>
        <v/>
      </c>
      <c r="Q42" s="14">
        <f>SUMIFS('J2 Lijnen'!$L:$L,'J2 Lijnen'!$A:$A,$B42,'J2 Lijnen'!$K:$K,0.06)</f>
        <v/>
      </c>
      <c r="R42" s="14">
        <f>SUMIFS('J2 Lijnen'!$J:$J,'J2 Lijnen'!$A:$A,$B42,'J2 Lijnen'!$E:$E,"verpakking")</f>
        <v/>
      </c>
      <c r="S42" s="14">
        <f>-SUMIFS('J2 Lijnen'!$J:$J,'J2 Lijnen'!$A:$A,$B42,'J2 Lijnen'!$E:$E,"financiële korting")</f>
        <v/>
      </c>
      <c r="T42" s="17">
        <f>SUM(N42:S42)</f>
        <v/>
      </c>
      <c r="X42" s="13" t="inlineStr">
        <is>
          <t>U2027-14</t>
        </is>
      </c>
      <c r="Y42" s="14">
        <f>SUMIFS('J2 Journaal'!$K:$K,'J2 Journaal'!$E:$E,$B42)-SUMIFS('J2 Journaal'!$L:$L,'J2 Journaal'!$E:$E,$B42)</f>
        <v/>
      </c>
      <c r="Z42" s="13" t="n"/>
    </row>
    <row r="43">
      <c r="A43" s="12" t="n">
        <v>5</v>
      </c>
      <c r="B43" s="13" t="inlineStr">
        <is>
          <t>J2Q3CV1</t>
        </is>
      </c>
      <c r="C43" s="7" t="inlineStr">
        <is>
          <t>K3</t>
        </is>
      </c>
      <c r="D43" s="13" t="inlineStr">
        <is>
          <t>K3</t>
        </is>
      </c>
      <c r="E43" s="13" t="inlineStr">
        <is>
          <t>CN-VK</t>
        </is>
      </c>
      <c r="F43" s="13" t="inlineStr">
        <is>
          <t>met handelskorting</t>
        </is>
      </c>
      <c r="G43" s="16" t="n">
        <v>46580</v>
      </c>
      <c r="I43" s="13" t="inlineStr">
        <is>
          <t>CN-2027-006</t>
        </is>
      </c>
      <c r="J43" s="13" t="inlineStr">
        <is>
          <t>Fietsatelier Noor bv</t>
        </is>
      </c>
      <c r="K43" s="13" t="inlineStr">
        <is>
          <t>Hotel De Linde bv</t>
        </is>
      </c>
      <c r="L43" s="13" t="inlineStr">
        <is>
          <t>2027-015</t>
        </is>
      </c>
      <c r="M43" s="13" t="inlineStr">
        <is>
          <t>3 fietsen en 4 helmen teruggenomen: groep geannuleerd</t>
        </is>
      </c>
      <c r="N43" s="14">
        <f>SUMIFS('J2 Lijnen'!$J:$J,'J2 Lijnen'!$A:$A,$B43,'J2 Lijnen'!$K:$K,0.21,'J2 Lijnen'!$E:$E,"&lt;&gt;verpakking")</f>
        <v/>
      </c>
      <c r="O43" s="14">
        <f>SUMIFS('J2 Lijnen'!$L:$L,'J2 Lijnen'!$A:$A,$B43,'J2 Lijnen'!$K:$K,0.21)</f>
        <v/>
      </c>
      <c r="P43" s="14">
        <f>SUMIFS('J2 Lijnen'!$J:$J,'J2 Lijnen'!$A:$A,$B43,'J2 Lijnen'!$K:$K,0.06)</f>
        <v/>
      </c>
      <c r="Q43" s="14">
        <f>SUMIFS('J2 Lijnen'!$L:$L,'J2 Lijnen'!$A:$A,$B43,'J2 Lijnen'!$K:$K,0.06)</f>
        <v/>
      </c>
      <c r="R43" s="14">
        <f>SUMIFS('J2 Lijnen'!$J:$J,'J2 Lijnen'!$A:$A,$B43,'J2 Lijnen'!$E:$E,"verpakking")</f>
        <v/>
      </c>
      <c r="S43" s="14">
        <f>-SUMIFS('J2 Lijnen'!$J:$J,'J2 Lijnen'!$A:$A,$B43,'J2 Lijnen'!$E:$E,"financiële korting")</f>
        <v/>
      </c>
      <c r="T43" s="17">
        <f>SUM(N43:S43)</f>
        <v/>
      </c>
      <c r="X43" s="13" t="inlineStr">
        <is>
          <t>U2027-14</t>
        </is>
      </c>
      <c r="Y43" s="14">
        <f>SUMIFS('J2 Journaal'!$K:$K,'J2 Journaal'!$E:$E,$B43)-SUMIFS('J2 Journaal'!$L:$L,'J2 Journaal'!$E:$E,$B43)</f>
        <v/>
      </c>
      <c r="Z43" s="13" t="n"/>
    </row>
    <row r="44">
      <c r="A44" s="12" t="n">
        <v>6</v>
      </c>
      <c r="B44" s="13" t="inlineStr">
        <is>
          <t>J2Q3V2</t>
        </is>
      </c>
      <c r="C44" s="7" t="inlineStr">
        <is>
          <t>K3</t>
        </is>
      </c>
      <c r="D44" s="13" t="inlineStr">
        <is>
          <t>K3</t>
        </is>
      </c>
      <c r="E44" s="13" t="inlineStr">
        <is>
          <t>VK</t>
        </is>
      </c>
      <c r="F44" s="13" t="inlineStr">
        <is>
          <t>kosten + verpakking</t>
        </is>
      </c>
      <c r="G44" s="16" t="n">
        <v>46588</v>
      </c>
      <c r="H44" s="16">
        <f>G44+30</f>
        <v/>
      </c>
      <c r="I44" s="13" t="inlineStr">
        <is>
          <t>2027-016</t>
        </is>
      </c>
      <c r="J44" s="13" t="inlineStr">
        <is>
          <t>Fietsatelier Noor bv</t>
        </is>
      </c>
      <c r="K44" s="13" t="inlineStr">
        <is>
          <t>Camping De Vlinder bv</t>
        </is>
      </c>
      <c r="M44" s="13" t="n"/>
      <c r="N44" s="14">
        <f>SUMIFS('J2 Lijnen'!$J:$J,'J2 Lijnen'!$A:$A,$B44,'J2 Lijnen'!$K:$K,0.21,'J2 Lijnen'!$E:$E,"&lt;&gt;verpakking")</f>
        <v/>
      </c>
      <c r="O44" s="14">
        <f>SUMIFS('J2 Lijnen'!$L:$L,'J2 Lijnen'!$A:$A,$B44,'J2 Lijnen'!$K:$K,0.21)</f>
        <v/>
      </c>
      <c r="P44" s="14">
        <f>SUMIFS('J2 Lijnen'!$J:$J,'J2 Lijnen'!$A:$A,$B44,'J2 Lijnen'!$K:$K,0.06)</f>
        <v/>
      </c>
      <c r="Q44" s="14">
        <f>SUMIFS('J2 Lijnen'!$L:$L,'J2 Lijnen'!$A:$A,$B44,'J2 Lijnen'!$K:$K,0.06)</f>
        <v/>
      </c>
      <c r="R44" s="14">
        <f>SUMIFS('J2 Lijnen'!$J:$J,'J2 Lijnen'!$A:$A,$B44,'J2 Lijnen'!$E:$E,"verpakking")</f>
        <v/>
      </c>
      <c r="S44" s="14">
        <f>-SUMIFS('J2 Lijnen'!$J:$J,'J2 Lijnen'!$A:$A,$B44,'J2 Lijnen'!$E:$E,"financiële korting")</f>
        <v/>
      </c>
      <c r="T44" s="17">
        <f>SUM(N44:S44)</f>
        <v/>
      </c>
      <c r="X44" s="13" t="inlineStr">
        <is>
          <t>U2027-16</t>
        </is>
      </c>
      <c r="Y44" s="14">
        <f>SUMIFS('J2 Journaal'!$K:$K,'J2 Journaal'!$E:$E,$B44)-SUMIFS('J2 Journaal'!$L:$L,'J2 Journaal'!$E:$E,$B44)</f>
        <v/>
      </c>
      <c r="Z44" s="13" t="n"/>
    </row>
    <row r="45">
      <c r="A45" s="12" t="n">
        <v>7</v>
      </c>
      <c r="B45" s="13" t="inlineStr">
        <is>
          <t>J2Q3A4</t>
        </is>
      </c>
      <c r="C45" s="7" t="inlineStr">
        <is>
          <t>K3</t>
        </is>
      </c>
      <c r="D45" s="13" t="inlineStr">
        <is>
          <t>K3</t>
        </is>
      </c>
      <c r="E45" s="13" t="inlineStr">
        <is>
          <t>AK</t>
        </is>
      </c>
      <c r="F45" s="13" t="inlineStr">
        <is>
          <t>verpakking</t>
        </is>
      </c>
      <c r="G45" s="16" t="n">
        <v>46604</v>
      </c>
      <c r="H45" s="16">
        <f>G45+30</f>
        <v/>
      </c>
      <c r="I45" s="13" t="inlineStr">
        <is>
          <t>SW-2027-301</t>
        </is>
      </c>
      <c r="J45" s="13" t="inlineStr">
        <is>
          <t>Spaakwerk bv</t>
        </is>
      </c>
      <c r="K45" s="13" t="inlineStr">
        <is>
          <t>Fietsatelier Noor bv</t>
        </is>
      </c>
      <c r="M45" s="13" t="n"/>
      <c r="N45" s="14">
        <f>SUMIFS('J2 Lijnen'!$J:$J,'J2 Lijnen'!$A:$A,$B45,'J2 Lijnen'!$K:$K,0.21,'J2 Lijnen'!$E:$E,"&lt;&gt;verpakking")</f>
        <v/>
      </c>
      <c r="O45" s="14">
        <f>SUMIFS('J2 Lijnen'!$L:$L,'J2 Lijnen'!$A:$A,$B45,'J2 Lijnen'!$K:$K,0.21)</f>
        <v/>
      </c>
      <c r="P45" s="14">
        <f>SUMIFS('J2 Lijnen'!$J:$J,'J2 Lijnen'!$A:$A,$B45,'J2 Lijnen'!$K:$K,0.06)</f>
        <v/>
      </c>
      <c r="Q45" s="14">
        <f>SUMIFS('J2 Lijnen'!$L:$L,'J2 Lijnen'!$A:$A,$B45,'J2 Lijnen'!$K:$K,0.06)</f>
        <v/>
      </c>
      <c r="R45" s="14">
        <f>SUMIFS('J2 Lijnen'!$J:$J,'J2 Lijnen'!$A:$A,$B45,'J2 Lijnen'!$E:$E,"verpakking")</f>
        <v/>
      </c>
      <c r="S45" s="14">
        <f>-SUMIFS('J2 Lijnen'!$J:$J,'J2 Lijnen'!$A:$A,$B45,'J2 Lijnen'!$E:$E,"financiële korting")</f>
        <v/>
      </c>
      <c r="T45" s="17">
        <f>SUM(N45:S45)</f>
        <v/>
      </c>
      <c r="X45" s="13" t="inlineStr">
        <is>
          <t>U2027-16</t>
        </is>
      </c>
      <c r="Y45" s="14">
        <f>SUMIFS('J2 Journaal'!$K:$K,'J2 Journaal'!$E:$E,$B45)-SUMIFS('J2 Journaal'!$L:$L,'J2 Journaal'!$E:$E,$B45)</f>
        <v/>
      </c>
      <c r="Z45" s="13" t="n"/>
    </row>
    <row r="46">
      <c r="A46" s="12" t="n">
        <v>8</v>
      </c>
      <c r="B46" s="13" t="inlineStr">
        <is>
          <t>J2Q3A6</t>
        </is>
      </c>
      <c r="C46" s="7" t="inlineStr">
        <is>
          <t>K3</t>
        </is>
      </c>
      <c r="D46" s="13" t="inlineStr">
        <is>
          <t>K3</t>
        </is>
      </c>
      <c r="E46" s="13" t="inlineStr">
        <is>
          <t>AK</t>
        </is>
      </c>
      <c r="F46" s="13" t="inlineStr">
        <is>
          <t>financiële korting</t>
        </is>
      </c>
      <c r="G46" s="16" t="n">
        <v>46611</v>
      </c>
      <c r="H46" s="16">
        <f>G46+30</f>
        <v/>
      </c>
      <c r="I46" s="13" t="inlineStr">
        <is>
          <t>2027-455</t>
        </is>
      </c>
      <c r="J46" s="13" t="inlineStr">
        <is>
          <t>Velomax bv</t>
        </is>
      </c>
      <c r="K46" s="13" t="inlineStr">
        <is>
          <t>Fietsatelier Noor bv</t>
        </is>
      </c>
      <c r="M46" s="13" t="n"/>
      <c r="N46" s="14">
        <f>SUMIFS('J2 Lijnen'!$J:$J,'J2 Lijnen'!$A:$A,$B46,'J2 Lijnen'!$K:$K,0.21,'J2 Lijnen'!$E:$E,"&lt;&gt;verpakking")</f>
        <v/>
      </c>
      <c r="O46" s="14">
        <f>SUMIFS('J2 Lijnen'!$L:$L,'J2 Lijnen'!$A:$A,$B46,'J2 Lijnen'!$K:$K,0.21)</f>
        <v/>
      </c>
      <c r="P46" s="14">
        <f>SUMIFS('J2 Lijnen'!$J:$J,'J2 Lijnen'!$A:$A,$B46,'J2 Lijnen'!$K:$K,0.06)</f>
        <v/>
      </c>
      <c r="Q46" s="14">
        <f>SUMIFS('J2 Lijnen'!$L:$L,'J2 Lijnen'!$A:$A,$B46,'J2 Lijnen'!$K:$K,0.06)</f>
        <v/>
      </c>
      <c r="R46" s="14">
        <f>SUMIFS('J2 Lijnen'!$J:$J,'J2 Lijnen'!$A:$A,$B46,'J2 Lijnen'!$E:$E,"verpakking")</f>
        <v/>
      </c>
      <c r="S46" s="14">
        <f>-SUMIFS('J2 Lijnen'!$J:$J,'J2 Lijnen'!$A:$A,$B46,'J2 Lijnen'!$E:$E,"financiële korting")</f>
        <v/>
      </c>
      <c r="T46" s="17">
        <f>SUM(N46:S46)</f>
        <v/>
      </c>
      <c r="U46" s="14">
        <f>T46-S46</f>
        <v/>
      </c>
      <c r="X46" s="13" t="inlineStr">
        <is>
          <t>U2027-16</t>
        </is>
      </c>
      <c r="Y46" s="14">
        <f>SUMIFS('J2 Journaal'!$K:$K,'J2 Journaal'!$E:$E,$B46)-SUMIFS('J2 Journaal'!$L:$L,'J2 Journaal'!$E:$E,$B46)</f>
        <v/>
      </c>
      <c r="Z46" s="13" t="inlineStr">
        <is>
          <t>5% korting binnen 10 dagen: binnen de termijn betaald</t>
        </is>
      </c>
    </row>
    <row r="47">
      <c r="A47" s="12" t="n">
        <v>9</v>
      </c>
      <c r="B47" s="13" t="inlineStr">
        <is>
          <t>J2Q3V6</t>
        </is>
      </c>
      <c r="C47" s="7" t="inlineStr">
        <is>
          <t>K3</t>
        </is>
      </c>
      <c r="D47" s="13" t="inlineStr">
        <is>
          <t>K3</t>
        </is>
      </c>
      <c r="E47" s="13" t="inlineStr">
        <is>
          <t>VK</t>
        </is>
      </c>
      <c r="F47" s="13" t="inlineStr">
        <is>
          <t>financiële korting</t>
        </is>
      </c>
      <c r="G47" s="16" t="n">
        <v>46617</v>
      </c>
      <c r="H47" s="16">
        <f>G47+30</f>
        <v/>
      </c>
      <c r="I47" s="13" t="inlineStr">
        <is>
          <t>2027-028</t>
        </is>
      </c>
      <c r="J47" s="13" t="inlineStr">
        <is>
          <t>Fietsatelier Noor bv</t>
        </is>
      </c>
      <c r="K47" s="13" t="inlineStr">
        <is>
          <t>Camping De Vlinder bv</t>
        </is>
      </c>
      <c r="M47" s="13" t="n"/>
      <c r="N47" s="14">
        <f>SUMIFS('J2 Lijnen'!$J:$J,'J2 Lijnen'!$A:$A,$B47,'J2 Lijnen'!$K:$K,0.21,'J2 Lijnen'!$E:$E,"&lt;&gt;verpakking")</f>
        <v/>
      </c>
      <c r="O47" s="14">
        <f>SUMIFS('J2 Lijnen'!$L:$L,'J2 Lijnen'!$A:$A,$B47,'J2 Lijnen'!$K:$K,0.21)</f>
        <v/>
      </c>
      <c r="P47" s="14">
        <f>SUMIFS('J2 Lijnen'!$J:$J,'J2 Lijnen'!$A:$A,$B47,'J2 Lijnen'!$K:$K,0.06)</f>
        <v/>
      </c>
      <c r="Q47" s="14">
        <f>SUMIFS('J2 Lijnen'!$L:$L,'J2 Lijnen'!$A:$A,$B47,'J2 Lijnen'!$K:$K,0.06)</f>
        <v/>
      </c>
      <c r="R47" s="14">
        <f>SUMIFS('J2 Lijnen'!$J:$J,'J2 Lijnen'!$A:$A,$B47,'J2 Lijnen'!$E:$E,"verpakking")</f>
        <v/>
      </c>
      <c r="S47" s="14">
        <f>-SUMIFS('J2 Lijnen'!$J:$J,'J2 Lijnen'!$A:$A,$B47,'J2 Lijnen'!$E:$E,"financiële korting")</f>
        <v/>
      </c>
      <c r="T47" s="17">
        <f>SUM(N47:S47)</f>
        <v/>
      </c>
      <c r="U47" s="14">
        <f>T47-S47</f>
        <v/>
      </c>
      <c r="X47" s="13" t="inlineStr">
        <is>
          <t>U2027-17</t>
        </is>
      </c>
      <c r="Y47" s="14">
        <f>SUMIFS('J2 Journaal'!$K:$K,'J2 Journaal'!$E:$E,$B47)-SUMIFS('J2 Journaal'!$L:$L,'J2 Journaal'!$E:$E,$B47)</f>
        <v/>
      </c>
      <c r="Z47" s="13" t="inlineStr">
        <is>
          <t>5% korting binnen 10 dagen: te laat betaald, geen korting</t>
        </is>
      </c>
    </row>
    <row r="48">
      <c r="A48" s="12" t="n">
        <v>10</v>
      </c>
      <c r="B48" s="13" t="inlineStr">
        <is>
          <t>J2Q3CA2</t>
        </is>
      </c>
      <c r="C48" s="7" t="inlineStr">
        <is>
          <t>K3</t>
        </is>
      </c>
      <c r="D48" s="13" t="inlineStr">
        <is>
          <t>K3</t>
        </is>
      </c>
      <c r="E48" s="13" t="inlineStr">
        <is>
          <t>CN-AK</t>
        </is>
      </c>
      <c r="F48" s="13" t="inlineStr">
        <is>
          <t>zonder handelskorting + verpakking terug</t>
        </is>
      </c>
      <c r="G48" s="16" t="n">
        <v>46619</v>
      </c>
      <c r="I48" s="13" t="inlineStr">
        <is>
          <t>SW-CN-2027-019</t>
        </is>
      </c>
      <c r="J48" s="13" t="inlineStr">
        <is>
          <t>Spaakwerk bv</t>
        </is>
      </c>
      <c r="K48" s="13" t="inlineStr">
        <is>
          <t>Fietsatelier Noor bv</t>
        </is>
      </c>
      <c r="L48" s="13" t="inlineStr">
        <is>
          <t>SW-2027-301</t>
        </is>
      </c>
      <c r="M48" s="13" t="inlineStr">
        <is>
          <t>4 verlichtingssets defect en 2 kratten teruggestuurd (factuur was al betaald)</t>
        </is>
      </c>
      <c r="N48" s="14">
        <f>SUMIFS('J2 Lijnen'!$J:$J,'J2 Lijnen'!$A:$A,$B48,'J2 Lijnen'!$K:$K,0.21,'J2 Lijnen'!$E:$E,"&lt;&gt;verpakking")</f>
        <v/>
      </c>
      <c r="O48" s="14">
        <f>SUMIFS('J2 Lijnen'!$L:$L,'J2 Lijnen'!$A:$A,$B48,'J2 Lijnen'!$K:$K,0.21)</f>
        <v/>
      </c>
      <c r="P48" s="14">
        <f>SUMIFS('J2 Lijnen'!$J:$J,'J2 Lijnen'!$A:$A,$B48,'J2 Lijnen'!$K:$K,0.06)</f>
        <v/>
      </c>
      <c r="Q48" s="14">
        <f>SUMIFS('J2 Lijnen'!$L:$L,'J2 Lijnen'!$A:$A,$B48,'J2 Lijnen'!$K:$K,0.06)</f>
        <v/>
      </c>
      <c r="R48" s="14">
        <f>SUMIFS('J2 Lijnen'!$J:$J,'J2 Lijnen'!$A:$A,$B48,'J2 Lijnen'!$E:$E,"verpakking")</f>
        <v/>
      </c>
      <c r="S48" s="14">
        <f>-SUMIFS('J2 Lijnen'!$J:$J,'J2 Lijnen'!$A:$A,$B48,'J2 Lijnen'!$E:$E,"financiële korting")</f>
        <v/>
      </c>
      <c r="T48" s="17">
        <f>SUM(N48:S48)</f>
        <v/>
      </c>
      <c r="X48" s="13" t="inlineStr">
        <is>
          <t>U2027-17</t>
        </is>
      </c>
      <c r="Y48" s="14">
        <f>SUMIFS('J2 Journaal'!$K:$K,'J2 Journaal'!$E:$E,$B48)-SUMIFS('J2 Journaal'!$L:$L,'J2 Journaal'!$E:$E,$B48)</f>
        <v/>
      </c>
      <c r="Z48" s="13" t="n"/>
    </row>
    <row r="49">
      <c r="A49" s="12" t="n">
        <v>11</v>
      </c>
      <c r="B49" s="13" t="inlineStr">
        <is>
          <t>J2Q3V4</t>
        </is>
      </c>
      <c r="C49" s="7" t="inlineStr">
        <is>
          <t>K3</t>
        </is>
      </c>
      <c r="D49" s="13" t="inlineStr">
        <is>
          <t>K3</t>
        </is>
      </c>
      <c r="E49" s="13" t="inlineStr">
        <is>
          <t>VK</t>
        </is>
      </c>
      <c r="F49" s="13" t="inlineStr">
        <is>
          <t>eenvoudig</t>
        </is>
      </c>
      <c r="G49" s="16" t="n">
        <v>46624</v>
      </c>
      <c r="H49" s="16">
        <f>G49+30</f>
        <v/>
      </c>
      <c r="I49" s="13" t="inlineStr">
        <is>
          <t>2027-018</t>
        </is>
      </c>
      <c r="J49" s="13" t="inlineStr">
        <is>
          <t>Fietsatelier Noor bv</t>
        </is>
      </c>
      <c r="K49" s="13" t="inlineStr">
        <is>
          <t>Snelpost bv</t>
        </is>
      </c>
      <c r="M49" s="13" t="n"/>
      <c r="N49" s="14">
        <f>SUMIFS('J2 Lijnen'!$J:$J,'J2 Lijnen'!$A:$A,$B49,'J2 Lijnen'!$K:$K,0.21,'J2 Lijnen'!$E:$E,"&lt;&gt;verpakking")</f>
        <v/>
      </c>
      <c r="O49" s="14">
        <f>SUMIFS('J2 Lijnen'!$L:$L,'J2 Lijnen'!$A:$A,$B49,'J2 Lijnen'!$K:$K,0.21)</f>
        <v/>
      </c>
      <c r="P49" s="14">
        <f>SUMIFS('J2 Lijnen'!$J:$J,'J2 Lijnen'!$A:$A,$B49,'J2 Lijnen'!$K:$K,0.06)</f>
        <v/>
      </c>
      <c r="Q49" s="14">
        <f>SUMIFS('J2 Lijnen'!$L:$L,'J2 Lijnen'!$A:$A,$B49,'J2 Lijnen'!$K:$K,0.06)</f>
        <v/>
      </c>
      <c r="R49" s="14">
        <f>SUMIFS('J2 Lijnen'!$J:$J,'J2 Lijnen'!$A:$A,$B49,'J2 Lijnen'!$E:$E,"verpakking")</f>
        <v/>
      </c>
      <c r="S49" s="14">
        <f>-SUMIFS('J2 Lijnen'!$J:$J,'J2 Lijnen'!$A:$A,$B49,'J2 Lijnen'!$E:$E,"financiële korting")</f>
        <v/>
      </c>
      <c r="T49" s="17">
        <f>SUM(N49:S49)</f>
        <v/>
      </c>
      <c r="X49" s="13" t="inlineStr">
        <is>
          <t>U2027-17</t>
        </is>
      </c>
      <c r="Y49" s="14">
        <f>SUMIFS('J2 Journaal'!$K:$K,'J2 Journaal'!$E:$E,$B49)-SUMIFS('J2 Journaal'!$L:$L,'J2 Journaal'!$E:$E,$B49)</f>
        <v/>
      </c>
      <c r="Z49" s="13" t="n"/>
    </row>
    <row r="50">
      <c r="A50" s="12" t="n">
        <v>12</v>
      </c>
      <c r="B50" s="13" t="inlineStr">
        <is>
          <t>J2Q3A5</t>
        </is>
      </c>
      <c r="C50" s="7" t="inlineStr">
        <is>
          <t>K3</t>
        </is>
      </c>
      <c r="D50" s="13" t="inlineStr">
        <is>
          <t>K3</t>
        </is>
      </c>
      <c r="E50" s="13" t="inlineStr">
        <is>
          <t>AK</t>
        </is>
      </c>
      <c r="F50" s="13" t="inlineStr">
        <is>
          <t>handelskorting + kosten + verpakking</t>
        </is>
      </c>
      <c r="G50" s="16" t="n">
        <v>46632</v>
      </c>
      <c r="H50" s="16">
        <f>G50+30</f>
        <v/>
      </c>
      <c r="I50" s="13" t="inlineStr">
        <is>
          <t>2027-488</t>
        </is>
      </c>
      <c r="J50" s="13" t="inlineStr">
        <is>
          <t>Velomax bv</t>
        </is>
      </c>
      <c r="K50" s="13" t="inlineStr">
        <is>
          <t>Fietsatelier Noor bv</t>
        </is>
      </c>
      <c r="M50" s="13" t="n"/>
      <c r="N50" s="14">
        <f>SUMIFS('J2 Lijnen'!$J:$J,'J2 Lijnen'!$A:$A,$B50,'J2 Lijnen'!$K:$K,0.21,'J2 Lijnen'!$E:$E,"&lt;&gt;verpakking")</f>
        <v/>
      </c>
      <c r="O50" s="14">
        <f>SUMIFS('J2 Lijnen'!$L:$L,'J2 Lijnen'!$A:$A,$B50,'J2 Lijnen'!$K:$K,0.21)</f>
        <v/>
      </c>
      <c r="P50" s="14">
        <f>SUMIFS('J2 Lijnen'!$J:$J,'J2 Lijnen'!$A:$A,$B50,'J2 Lijnen'!$K:$K,0.06)</f>
        <v/>
      </c>
      <c r="Q50" s="14">
        <f>SUMIFS('J2 Lijnen'!$L:$L,'J2 Lijnen'!$A:$A,$B50,'J2 Lijnen'!$K:$K,0.06)</f>
        <v/>
      </c>
      <c r="R50" s="14">
        <f>SUMIFS('J2 Lijnen'!$J:$J,'J2 Lijnen'!$A:$A,$B50,'J2 Lijnen'!$E:$E,"verpakking")</f>
        <v/>
      </c>
      <c r="S50" s="14">
        <f>-SUMIFS('J2 Lijnen'!$J:$J,'J2 Lijnen'!$A:$A,$B50,'J2 Lijnen'!$E:$E,"financiële korting")</f>
        <v/>
      </c>
      <c r="T50" s="17">
        <f>SUM(N50:S50)</f>
        <v/>
      </c>
      <c r="X50" s="13" t="inlineStr">
        <is>
          <t>U2027-17</t>
        </is>
      </c>
      <c r="Y50" s="14">
        <f>SUMIFS('J2 Journaal'!$K:$K,'J2 Journaal'!$E:$E,$B50)-SUMIFS('J2 Journaal'!$L:$L,'J2 Journaal'!$E:$E,$B50)</f>
        <v/>
      </c>
      <c r="Z50" s="13" t="n"/>
    </row>
    <row r="51">
      <c r="A51" s="12" t="n">
        <v>13</v>
      </c>
      <c r="B51" s="13" t="inlineStr">
        <is>
          <t>J2Q3V5</t>
        </is>
      </c>
      <c r="C51" s="7" t="inlineStr">
        <is>
          <t>K3</t>
        </is>
      </c>
      <c r="D51" s="13" t="inlineStr">
        <is>
          <t>K3</t>
        </is>
      </c>
      <c r="E51" s="13" t="inlineStr">
        <is>
          <t>VK</t>
        </is>
      </c>
      <c r="F51" s="13" t="inlineStr">
        <is>
          <t>handelskorting + kosten</t>
        </is>
      </c>
      <c r="G51" s="16" t="n">
        <v>46639</v>
      </c>
      <c r="H51" s="16">
        <f>G51+30</f>
        <v/>
      </c>
      <c r="I51" s="13" t="inlineStr">
        <is>
          <t>2027-019</t>
        </is>
      </c>
      <c r="J51" s="13" t="inlineStr">
        <is>
          <t>Fietsatelier Noor bv</t>
        </is>
      </c>
      <c r="K51" s="13" t="inlineStr">
        <is>
          <t>Brouwerij Van Acker bv</t>
        </is>
      </c>
      <c r="M51" s="13" t="n"/>
      <c r="N51" s="14">
        <f>SUMIFS('J2 Lijnen'!$J:$J,'J2 Lijnen'!$A:$A,$B51,'J2 Lijnen'!$K:$K,0.21,'J2 Lijnen'!$E:$E,"&lt;&gt;verpakking")</f>
        <v/>
      </c>
      <c r="O51" s="14">
        <f>SUMIFS('J2 Lijnen'!$L:$L,'J2 Lijnen'!$A:$A,$B51,'J2 Lijnen'!$K:$K,0.21)</f>
        <v/>
      </c>
      <c r="P51" s="14">
        <f>SUMIFS('J2 Lijnen'!$J:$J,'J2 Lijnen'!$A:$A,$B51,'J2 Lijnen'!$K:$K,0.06)</f>
        <v/>
      </c>
      <c r="Q51" s="14">
        <f>SUMIFS('J2 Lijnen'!$L:$L,'J2 Lijnen'!$A:$A,$B51,'J2 Lijnen'!$K:$K,0.06)</f>
        <v/>
      </c>
      <c r="R51" s="14">
        <f>SUMIFS('J2 Lijnen'!$J:$J,'J2 Lijnen'!$A:$A,$B51,'J2 Lijnen'!$E:$E,"verpakking")</f>
        <v/>
      </c>
      <c r="S51" s="14">
        <f>-SUMIFS('J2 Lijnen'!$J:$J,'J2 Lijnen'!$A:$A,$B51,'J2 Lijnen'!$E:$E,"financiële korting")</f>
        <v/>
      </c>
      <c r="T51" s="17">
        <f>SUM(N51:S51)</f>
        <v/>
      </c>
      <c r="X51" s="13" t="inlineStr">
        <is>
          <t>U2027-18</t>
        </is>
      </c>
      <c r="Y51" s="14">
        <f>SUMIFS('J2 Journaal'!$K:$K,'J2 Journaal'!$E:$E,$B51)-SUMIFS('J2 Journaal'!$L:$L,'J2 Journaal'!$E:$E,$B51)</f>
        <v/>
      </c>
      <c r="Z51" s="13" t="n"/>
    </row>
    <row r="52">
      <c r="A52" s="12" t="n">
        <v>14</v>
      </c>
      <c r="B52" s="13" t="inlineStr">
        <is>
          <t>J2Q3CV2</t>
        </is>
      </c>
      <c r="C52" s="7" t="inlineStr">
        <is>
          <t>K3</t>
        </is>
      </c>
      <c r="D52" s="13" t="inlineStr">
        <is>
          <t>K3</t>
        </is>
      </c>
      <c r="E52" s="13" t="inlineStr">
        <is>
          <t>CN-VK</t>
        </is>
      </c>
      <c r="F52" s="13" t="inlineStr">
        <is>
          <t>verpakking terug</t>
        </is>
      </c>
      <c r="G52" s="16" t="n">
        <v>46645</v>
      </c>
      <c r="I52" s="13" t="inlineStr">
        <is>
          <t>CN-2027-007</t>
        </is>
      </c>
      <c r="J52" s="13" t="inlineStr">
        <is>
          <t>Fietsatelier Noor bv</t>
        </is>
      </c>
      <c r="K52" s="13" t="inlineStr">
        <is>
          <t>Camping De Vlinder bv</t>
        </is>
      </c>
      <c r="L52" s="13" t="inlineStr">
        <is>
          <t>2027-016</t>
        </is>
      </c>
      <c r="M52" s="13" t="inlineStr">
        <is>
          <t>3 fietsrekken terugontvangen (factuur was al betaald)</t>
        </is>
      </c>
      <c r="N52" s="14">
        <f>SUMIFS('J2 Lijnen'!$J:$J,'J2 Lijnen'!$A:$A,$B52,'J2 Lijnen'!$K:$K,0.21,'J2 Lijnen'!$E:$E,"&lt;&gt;verpakking")</f>
        <v/>
      </c>
      <c r="O52" s="14">
        <f>SUMIFS('J2 Lijnen'!$L:$L,'J2 Lijnen'!$A:$A,$B52,'J2 Lijnen'!$K:$K,0.21)</f>
        <v/>
      </c>
      <c r="P52" s="14">
        <f>SUMIFS('J2 Lijnen'!$J:$J,'J2 Lijnen'!$A:$A,$B52,'J2 Lijnen'!$K:$K,0.06)</f>
        <v/>
      </c>
      <c r="Q52" s="14">
        <f>SUMIFS('J2 Lijnen'!$L:$L,'J2 Lijnen'!$A:$A,$B52,'J2 Lijnen'!$K:$K,0.06)</f>
        <v/>
      </c>
      <c r="R52" s="14">
        <f>SUMIFS('J2 Lijnen'!$J:$J,'J2 Lijnen'!$A:$A,$B52,'J2 Lijnen'!$E:$E,"verpakking")</f>
        <v/>
      </c>
      <c r="S52" s="14">
        <f>-SUMIFS('J2 Lijnen'!$J:$J,'J2 Lijnen'!$A:$A,$B52,'J2 Lijnen'!$E:$E,"financiële korting")</f>
        <v/>
      </c>
      <c r="T52" s="17">
        <f>SUM(N52:S52)</f>
        <v/>
      </c>
      <c r="X52" s="13" t="inlineStr">
        <is>
          <t>U2027-18</t>
        </is>
      </c>
      <c r="Y52" s="14">
        <f>SUMIFS('J2 Journaal'!$K:$K,'J2 Journaal'!$E:$E,$B52)-SUMIFS('J2 Journaal'!$L:$L,'J2 Journaal'!$E:$E,$B52)</f>
        <v/>
      </c>
      <c r="Z52" s="13" t="n"/>
    </row>
    <row r="53">
      <c r="A53" s="12" t="n">
        <v>15</v>
      </c>
      <c r="B53" s="13" t="inlineStr">
        <is>
          <t>J2BTW3</t>
        </is>
      </c>
      <c r="C53" s="7" t="inlineStr">
        <is>
          <t>K3</t>
        </is>
      </c>
      <c r="D53" s="13" t="inlineStr">
        <is>
          <t>K3</t>
        </is>
      </c>
      <c r="E53" s="13" t="inlineStr">
        <is>
          <t>MEMO</t>
        </is>
      </c>
      <c r="F53" s="13" t="inlineStr">
        <is>
          <t>btw-verrekening</t>
        </is>
      </c>
      <c r="G53" s="16" t="n">
        <v>46660</v>
      </c>
      <c r="I53" s="13" t="inlineStr">
        <is>
          <t>J2BTW3</t>
        </is>
      </c>
      <c r="M53" s="13" t="inlineStr">
        <is>
          <t>Btw-verrekening 3e kwartaal 2027</t>
        </is>
      </c>
      <c r="Y53" s="14">
        <f>SUMIFS('J2 Journaal'!$K:$K,'J2 Journaal'!$E:$E,$B53)-SUMIFS('J2 Journaal'!$L:$L,'J2 Journaal'!$E:$E,$B53)</f>
        <v/>
      </c>
    </row>
    <row r="54">
      <c r="A54" s="12" t="n">
        <v>1</v>
      </c>
      <c r="B54" s="13" t="inlineStr">
        <is>
          <t>J2Q4A1</t>
        </is>
      </c>
      <c r="C54" s="8" t="inlineStr">
        <is>
          <t>K4</t>
        </is>
      </c>
      <c r="D54" s="13" t="inlineStr">
        <is>
          <t>K4</t>
        </is>
      </c>
      <c r="E54" s="13" t="inlineStr">
        <is>
          <t>AK</t>
        </is>
      </c>
      <c r="F54" s="13" t="inlineStr">
        <is>
          <t>handelskorting + verpakking</t>
        </is>
      </c>
      <c r="G54" s="16" t="n">
        <v>46661</v>
      </c>
      <c r="H54" s="16">
        <f>G54+30</f>
        <v/>
      </c>
      <c r="I54" s="13" t="inlineStr">
        <is>
          <t>2027-702</t>
        </is>
      </c>
      <c r="J54" s="13" t="inlineStr">
        <is>
          <t>Velomax bv</t>
        </is>
      </c>
      <c r="K54" s="13" t="inlineStr">
        <is>
          <t>Fietsatelier Noor bv</t>
        </is>
      </c>
      <c r="M54" s="13" t="n"/>
      <c r="N54" s="14">
        <f>SUMIFS('J2 Lijnen'!$J:$J,'J2 Lijnen'!$A:$A,$B54,'J2 Lijnen'!$K:$K,0.21,'J2 Lijnen'!$E:$E,"&lt;&gt;verpakking")</f>
        <v/>
      </c>
      <c r="O54" s="14">
        <f>SUMIFS('J2 Lijnen'!$L:$L,'J2 Lijnen'!$A:$A,$B54,'J2 Lijnen'!$K:$K,0.21)</f>
        <v/>
      </c>
      <c r="P54" s="14">
        <f>SUMIFS('J2 Lijnen'!$J:$J,'J2 Lijnen'!$A:$A,$B54,'J2 Lijnen'!$K:$K,0.06)</f>
        <v/>
      </c>
      <c r="Q54" s="14">
        <f>SUMIFS('J2 Lijnen'!$L:$L,'J2 Lijnen'!$A:$A,$B54,'J2 Lijnen'!$K:$K,0.06)</f>
        <v/>
      </c>
      <c r="R54" s="14">
        <f>SUMIFS('J2 Lijnen'!$J:$J,'J2 Lijnen'!$A:$A,$B54,'J2 Lijnen'!$E:$E,"verpakking")</f>
        <v/>
      </c>
      <c r="S54" s="14">
        <f>-SUMIFS('J2 Lijnen'!$J:$J,'J2 Lijnen'!$A:$A,$B54,'J2 Lijnen'!$E:$E,"financiële korting")</f>
        <v/>
      </c>
      <c r="T54" s="17">
        <f>SUM(N54:S54)</f>
        <v/>
      </c>
      <c r="X54" s="13" t="inlineStr">
        <is>
          <t>U2027-19</t>
        </is>
      </c>
      <c r="Y54" s="14">
        <f>SUMIFS('J2 Journaal'!$K:$K,'J2 Journaal'!$E:$E,$B54)-SUMIFS('J2 Journaal'!$L:$L,'J2 Journaal'!$E:$E,$B54)</f>
        <v/>
      </c>
      <c r="Z54" s="13" t="n"/>
    </row>
    <row r="55">
      <c r="A55" s="12" t="n">
        <v>2</v>
      </c>
      <c r="B55" s="13" t="inlineStr">
        <is>
          <t>J2Q4A2</t>
        </is>
      </c>
      <c r="C55" s="8" t="inlineStr">
        <is>
          <t>K4</t>
        </is>
      </c>
      <c r="D55" s="13" t="inlineStr">
        <is>
          <t>K4</t>
        </is>
      </c>
      <c r="E55" s="13" t="inlineStr">
        <is>
          <t>AK</t>
        </is>
      </c>
      <c r="F55" s="13" t="inlineStr">
        <is>
          <t>eenvoudig</t>
        </is>
      </c>
      <c r="G55" s="16" t="n">
        <v>46666</v>
      </c>
      <c r="H55" s="16">
        <f>G55+30</f>
        <v/>
      </c>
      <c r="I55" s="13" t="inlineStr">
        <is>
          <t>SK-27-3310</t>
        </is>
      </c>
      <c r="J55" s="13" t="inlineStr">
        <is>
          <t>Stroomkracht nv</t>
        </is>
      </c>
      <c r="K55" s="13" t="inlineStr">
        <is>
          <t>Fietsatelier Noor bv</t>
        </is>
      </c>
      <c r="M55" s="13" t="n"/>
      <c r="N55" s="14">
        <f>SUMIFS('J2 Lijnen'!$J:$J,'J2 Lijnen'!$A:$A,$B55,'J2 Lijnen'!$K:$K,0.21,'J2 Lijnen'!$E:$E,"&lt;&gt;verpakking")</f>
        <v/>
      </c>
      <c r="O55" s="14">
        <f>SUMIFS('J2 Lijnen'!$L:$L,'J2 Lijnen'!$A:$A,$B55,'J2 Lijnen'!$K:$K,0.21)</f>
        <v/>
      </c>
      <c r="P55" s="14">
        <f>SUMIFS('J2 Lijnen'!$J:$J,'J2 Lijnen'!$A:$A,$B55,'J2 Lijnen'!$K:$K,0.06)</f>
        <v/>
      </c>
      <c r="Q55" s="14">
        <f>SUMIFS('J2 Lijnen'!$L:$L,'J2 Lijnen'!$A:$A,$B55,'J2 Lijnen'!$K:$K,0.06)</f>
        <v/>
      </c>
      <c r="R55" s="14">
        <f>SUMIFS('J2 Lijnen'!$J:$J,'J2 Lijnen'!$A:$A,$B55,'J2 Lijnen'!$E:$E,"verpakking")</f>
        <v/>
      </c>
      <c r="S55" s="14">
        <f>-SUMIFS('J2 Lijnen'!$J:$J,'J2 Lijnen'!$A:$A,$B55,'J2 Lijnen'!$E:$E,"financiële korting")</f>
        <v/>
      </c>
      <c r="T55" s="17">
        <f>SUM(N55:S55)</f>
        <v/>
      </c>
      <c r="X55" s="13" t="inlineStr">
        <is>
          <t>U2027-19</t>
        </is>
      </c>
      <c r="Y55" s="14">
        <f>SUMIFS('J2 Journaal'!$K:$K,'J2 Journaal'!$E:$E,$B55)-SUMIFS('J2 Journaal'!$L:$L,'J2 Journaal'!$E:$E,$B55)</f>
        <v/>
      </c>
      <c r="Z55" s="13" t="n"/>
    </row>
    <row r="56">
      <c r="A56" s="12" t="n">
        <v>3</v>
      </c>
      <c r="B56" s="13" t="inlineStr">
        <is>
          <t>J2Q4V1</t>
        </is>
      </c>
      <c r="C56" s="8" t="inlineStr">
        <is>
          <t>K4</t>
        </is>
      </c>
      <c r="D56" s="13" t="inlineStr">
        <is>
          <t>K4</t>
        </is>
      </c>
      <c r="E56" s="13" t="inlineStr">
        <is>
          <t>VK</t>
        </is>
      </c>
      <c r="F56" s="13" t="inlineStr">
        <is>
          <t>handelskorting + verpakking</t>
        </is>
      </c>
      <c r="G56" s="16" t="n">
        <v>46667</v>
      </c>
      <c r="H56" s="16">
        <f>G56+30</f>
        <v/>
      </c>
      <c r="I56" s="13" t="inlineStr">
        <is>
          <t>2027-020</t>
        </is>
      </c>
      <c r="J56" s="13" t="inlineStr">
        <is>
          <t>Fietsatelier Noor bv</t>
        </is>
      </c>
      <c r="K56" s="13" t="inlineStr">
        <is>
          <t>Velocity Deelfietsen bv</t>
        </is>
      </c>
      <c r="M56" s="13" t="n"/>
      <c r="N56" s="14">
        <f>SUMIFS('J2 Lijnen'!$J:$J,'J2 Lijnen'!$A:$A,$B56,'J2 Lijnen'!$K:$K,0.21,'J2 Lijnen'!$E:$E,"&lt;&gt;verpakking")</f>
        <v/>
      </c>
      <c r="O56" s="14">
        <f>SUMIFS('J2 Lijnen'!$L:$L,'J2 Lijnen'!$A:$A,$B56,'J2 Lijnen'!$K:$K,0.21)</f>
        <v/>
      </c>
      <c r="P56" s="14">
        <f>SUMIFS('J2 Lijnen'!$J:$J,'J2 Lijnen'!$A:$A,$B56,'J2 Lijnen'!$K:$K,0.06)</f>
        <v/>
      </c>
      <c r="Q56" s="14">
        <f>SUMIFS('J2 Lijnen'!$L:$L,'J2 Lijnen'!$A:$A,$B56,'J2 Lijnen'!$K:$K,0.06)</f>
        <v/>
      </c>
      <c r="R56" s="14">
        <f>SUMIFS('J2 Lijnen'!$J:$J,'J2 Lijnen'!$A:$A,$B56,'J2 Lijnen'!$E:$E,"verpakking")</f>
        <v/>
      </c>
      <c r="S56" s="14">
        <f>-SUMIFS('J2 Lijnen'!$J:$J,'J2 Lijnen'!$A:$A,$B56,'J2 Lijnen'!$E:$E,"financiële korting")</f>
        <v/>
      </c>
      <c r="T56" s="17">
        <f>SUM(N56:S56)</f>
        <v/>
      </c>
      <c r="X56" s="13" t="inlineStr">
        <is>
          <t>U2027-19</t>
        </is>
      </c>
      <c r="Y56" s="14">
        <f>SUMIFS('J2 Journaal'!$K:$K,'J2 Journaal'!$E:$E,$B56)-SUMIFS('J2 Journaal'!$L:$L,'J2 Journaal'!$E:$E,$B56)</f>
        <v/>
      </c>
      <c r="Z56" s="13" t="n"/>
    </row>
    <row r="57">
      <c r="A57" s="12" t="n">
        <v>4</v>
      </c>
      <c r="B57" s="13" t="inlineStr">
        <is>
          <t>J2Q4CA1</t>
        </is>
      </c>
      <c r="C57" s="8" t="inlineStr">
        <is>
          <t>K4</t>
        </is>
      </c>
      <c r="D57" s="13" t="inlineStr">
        <is>
          <t>K4</t>
        </is>
      </c>
      <c r="E57" s="13" t="inlineStr">
        <is>
          <t>CN-AK</t>
        </is>
      </c>
      <c r="F57" s="13" t="inlineStr">
        <is>
          <t>met handelskorting</t>
        </is>
      </c>
      <c r="G57" s="16" t="n">
        <v>46668</v>
      </c>
      <c r="I57" s="13" t="inlineStr">
        <is>
          <t>CN-2027-061</t>
        </is>
      </c>
      <c r="J57" s="13" t="inlineStr">
        <is>
          <t>Velomax bv</t>
        </is>
      </c>
      <c r="K57" s="13" t="inlineStr">
        <is>
          <t>Fietsatelier Noor bv</t>
        </is>
      </c>
      <c r="L57" s="13" t="inlineStr">
        <is>
          <t>2027-702</t>
        </is>
      </c>
      <c r="M57" s="13" t="inlineStr">
        <is>
          <t>4 kinderfietsen en 1 fiets niet besteld, teruggestuurd</t>
        </is>
      </c>
      <c r="N57" s="14">
        <f>SUMIFS('J2 Lijnen'!$J:$J,'J2 Lijnen'!$A:$A,$B57,'J2 Lijnen'!$K:$K,0.21,'J2 Lijnen'!$E:$E,"&lt;&gt;verpakking")</f>
        <v/>
      </c>
      <c r="O57" s="14">
        <f>SUMIFS('J2 Lijnen'!$L:$L,'J2 Lijnen'!$A:$A,$B57,'J2 Lijnen'!$K:$K,0.21)</f>
        <v/>
      </c>
      <c r="P57" s="14">
        <f>SUMIFS('J2 Lijnen'!$J:$J,'J2 Lijnen'!$A:$A,$B57,'J2 Lijnen'!$K:$K,0.06)</f>
        <v/>
      </c>
      <c r="Q57" s="14">
        <f>SUMIFS('J2 Lijnen'!$L:$L,'J2 Lijnen'!$A:$A,$B57,'J2 Lijnen'!$K:$K,0.06)</f>
        <v/>
      </c>
      <c r="R57" s="14">
        <f>SUMIFS('J2 Lijnen'!$J:$J,'J2 Lijnen'!$A:$A,$B57,'J2 Lijnen'!$E:$E,"verpakking")</f>
        <v/>
      </c>
      <c r="S57" s="14">
        <f>-SUMIFS('J2 Lijnen'!$J:$J,'J2 Lijnen'!$A:$A,$B57,'J2 Lijnen'!$E:$E,"financiële korting")</f>
        <v/>
      </c>
      <c r="T57" s="17">
        <f>SUM(N57:S57)</f>
        <v/>
      </c>
      <c r="X57" s="13" t="inlineStr">
        <is>
          <t>U2027-19</t>
        </is>
      </c>
      <c r="Y57" s="14">
        <f>SUMIFS('J2 Journaal'!$K:$K,'J2 Journaal'!$E:$E,$B57)-SUMIFS('J2 Journaal'!$L:$L,'J2 Journaal'!$E:$E,$B57)</f>
        <v/>
      </c>
      <c r="Z57" s="13" t="n"/>
    </row>
    <row r="58">
      <c r="A58" s="12" t="n">
        <v>5</v>
      </c>
      <c r="B58" s="13" t="inlineStr">
        <is>
          <t>J2Q4CV1</t>
        </is>
      </c>
      <c r="C58" s="8" t="inlineStr">
        <is>
          <t>K4</t>
        </is>
      </c>
      <c r="D58" s="13" t="inlineStr">
        <is>
          <t>K4</t>
        </is>
      </c>
      <c r="E58" s="13" t="inlineStr">
        <is>
          <t>CN-VK</t>
        </is>
      </c>
      <c r="F58" s="13" t="inlineStr">
        <is>
          <t>met handelskorting</t>
        </is>
      </c>
      <c r="G58" s="16" t="n">
        <v>46672</v>
      </c>
      <c r="I58" s="13" t="inlineStr">
        <is>
          <t>CN-2027-008</t>
        </is>
      </c>
      <c r="J58" s="13" t="inlineStr">
        <is>
          <t>Fietsatelier Noor bv</t>
        </is>
      </c>
      <c r="K58" s="13" t="inlineStr">
        <is>
          <t>Velocity Deelfietsen bv</t>
        </is>
      </c>
      <c r="L58" s="13" t="inlineStr">
        <is>
          <t>2027-020</t>
        </is>
      </c>
      <c r="M58" s="13" t="inlineStr">
        <is>
          <t>5 fietsen teruggenomen: te veel besteld</t>
        </is>
      </c>
      <c r="N58" s="14">
        <f>SUMIFS('J2 Lijnen'!$J:$J,'J2 Lijnen'!$A:$A,$B58,'J2 Lijnen'!$K:$K,0.21,'J2 Lijnen'!$E:$E,"&lt;&gt;verpakking")</f>
        <v/>
      </c>
      <c r="O58" s="14">
        <f>SUMIFS('J2 Lijnen'!$L:$L,'J2 Lijnen'!$A:$A,$B58,'J2 Lijnen'!$K:$K,0.21)</f>
        <v/>
      </c>
      <c r="P58" s="14">
        <f>SUMIFS('J2 Lijnen'!$J:$J,'J2 Lijnen'!$A:$A,$B58,'J2 Lijnen'!$K:$K,0.06)</f>
        <v/>
      </c>
      <c r="Q58" s="14">
        <f>SUMIFS('J2 Lijnen'!$L:$L,'J2 Lijnen'!$A:$A,$B58,'J2 Lijnen'!$K:$K,0.06)</f>
        <v/>
      </c>
      <c r="R58" s="14">
        <f>SUMIFS('J2 Lijnen'!$J:$J,'J2 Lijnen'!$A:$A,$B58,'J2 Lijnen'!$E:$E,"verpakking")</f>
        <v/>
      </c>
      <c r="S58" s="14">
        <f>-SUMIFS('J2 Lijnen'!$J:$J,'J2 Lijnen'!$A:$A,$B58,'J2 Lijnen'!$E:$E,"financiële korting")</f>
        <v/>
      </c>
      <c r="T58" s="17">
        <f>SUM(N58:S58)</f>
        <v/>
      </c>
      <c r="X58" s="13" t="inlineStr">
        <is>
          <t>U2027-19</t>
        </is>
      </c>
      <c r="Y58" s="14">
        <f>SUMIFS('J2 Journaal'!$K:$K,'J2 Journaal'!$E:$E,$B58)-SUMIFS('J2 Journaal'!$L:$L,'J2 Journaal'!$E:$E,$B58)</f>
        <v/>
      </c>
      <c r="Z58" s="13" t="n"/>
    </row>
    <row r="59">
      <c r="A59" s="12" t="n">
        <v>6</v>
      </c>
      <c r="B59" s="13" t="inlineStr">
        <is>
          <t>J2Q4A3</t>
        </is>
      </c>
      <c r="C59" s="8" t="inlineStr">
        <is>
          <t>K4</t>
        </is>
      </c>
      <c r="D59" s="13" t="inlineStr">
        <is>
          <t>K4</t>
        </is>
      </c>
      <c r="E59" s="13" t="inlineStr">
        <is>
          <t>AK</t>
        </is>
      </c>
      <c r="F59" s="13" t="inlineStr">
        <is>
          <t>kosten</t>
        </is>
      </c>
      <c r="G59" s="16" t="n">
        <v>46680</v>
      </c>
      <c r="H59" s="16">
        <f>G59+30</f>
        <v/>
      </c>
      <c r="I59" s="13" t="inlineStr">
        <is>
          <t>HH-27-260</t>
        </is>
      </c>
      <c r="J59" s="13" t="inlineStr">
        <is>
          <t>HelmHuis bv</t>
        </is>
      </c>
      <c r="K59" s="13" t="inlineStr">
        <is>
          <t>Fietsatelier Noor bv</t>
        </is>
      </c>
      <c r="M59" s="13" t="n"/>
      <c r="N59" s="14">
        <f>SUMIFS('J2 Lijnen'!$J:$J,'J2 Lijnen'!$A:$A,$B59,'J2 Lijnen'!$K:$K,0.21,'J2 Lijnen'!$E:$E,"&lt;&gt;verpakking")</f>
        <v/>
      </c>
      <c r="O59" s="14">
        <f>SUMIFS('J2 Lijnen'!$L:$L,'J2 Lijnen'!$A:$A,$B59,'J2 Lijnen'!$K:$K,0.21)</f>
        <v/>
      </c>
      <c r="P59" s="14">
        <f>SUMIFS('J2 Lijnen'!$J:$J,'J2 Lijnen'!$A:$A,$B59,'J2 Lijnen'!$K:$K,0.06)</f>
        <v/>
      </c>
      <c r="Q59" s="14">
        <f>SUMIFS('J2 Lijnen'!$L:$L,'J2 Lijnen'!$A:$A,$B59,'J2 Lijnen'!$K:$K,0.06)</f>
        <v/>
      </c>
      <c r="R59" s="14">
        <f>SUMIFS('J2 Lijnen'!$J:$J,'J2 Lijnen'!$A:$A,$B59,'J2 Lijnen'!$E:$E,"verpakking")</f>
        <v/>
      </c>
      <c r="S59" s="14">
        <f>-SUMIFS('J2 Lijnen'!$J:$J,'J2 Lijnen'!$A:$A,$B59,'J2 Lijnen'!$E:$E,"financiële korting")</f>
        <v/>
      </c>
      <c r="T59" s="17">
        <f>SUM(N59:S59)</f>
        <v/>
      </c>
      <c r="X59" s="13" t="inlineStr">
        <is>
          <t>U2027-21</t>
        </is>
      </c>
      <c r="Y59" s="14">
        <f>SUMIFS('J2 Journaal'!$K:$K,'J2 Journaal'!$E:$E,$B59)-SUMIFS('J2 Journaal'!$L:$L,'J2 Journaal'!$E:$E,$B59)</f>
        <v/>
      </c>
      <c r="Z59" s="13" t="n"/>
    </row>
    <row r="60">
      <c r="A60" s="12" t="n">
        <v>8</v>
      </c>
      <c r="B60" s="13" t="inlineStr">
        <is>
          <t>J2Q4V2</t>
        </is>
      </c>
      <c r="C60" s="8" t="inlineStr">
        <is>
          <t>K4</t>
        </is>
      </c>
      <c r="D60" s="13" t="inlineStr">
        <is>
          <t>K4</t>
        </is>
      </c>
      <c r="E60" s="13" t="inlineStr">
        <is>
          <t>VK</t>
        </is>
      </c>
      <c r="F60" s="13" t="inlineStr">
        <is>
          <t>eenvoudig</t>
        </is>
      </c>
      <c r="G60" s="16" t="n">
        <v>46681</v>
      </c>
      <c r="H60" s="16">
        <f>G60+30</f>
        <v/>
      </c>
      <c r="I60" s="13" t="inlineStr">
        <is>
          <t>2027-021</t>
        </is>
      </c>
      <c r="J60" s="13" t="inlineStr">
        <is>
          <t>Fietsatelier Noor bv</t>
        </is>
      </c>
      <c r="K60" s="13" t="inlineStr">
        <is>
          <t>Woonzorgcentrum Zonnehof vzw</t>
        </is>
      </c>
      <c r="M60" s="13" t="n"/>
      <c r="N60" s="14">
        <f>SUMIFS('J2 Lijnen'!$J:$J,'J2 Lijnen'!$A:$A,$B60,'J2 Lijnen'!$K:$K,0.21,'J2 Lijnen'!$E:$E,"&lt;&gt;verpakking")</f>
        <v/>
      </c>
      <c r="O60" s="14">
        <f>SUMIFS('J2 Lijnen'!$L:$L,'J2 Lijnen'!$A:$A,$B60,'J2 Lijnen'!$K:$K,0.21)</f>
        <v/>
      </c>
      <c r="P60" s="14">
        <f>SUMIFS('J2 Lijnen'!$J:$J,'J2 Lijnen'!$A:$A,$B60,'J2 Lijnen'!$K:$K,0.06)</f>
        <v/>
      </c>
      <c r="Q60" s="14">
        <f>SUMIFS('J2 Lijnen'!$L:$L,'J2 Lijnen'!$A:$A,$B60,'J2 Lijnen'!$K:$K,0.06)</f>
        <v/>
      </c>
      <c r="R60" s="14">
        <f>SUMIFS('J2 Lijnen'!$J:$J,'J2 Lijnen'!$A:$A,$B60,'J2 Lijnen'!$E:$E,"verpakking")</f>
        <v/>
      </c>
      <c r="S60" s="14">
        <f>-SUMIFS('J2 Lijnen'!$J:$J,'J2 Lijnen'!$A:$A,$B60,'J2 Lijnen'!$E:$E,"financiële korting")</f>
        <v/>
      </c>
      <c r="T60" s="17">
        <f>SUM(N60:S60)</f>
        <v/>
      </c>
      <c r="X60" s="13" t="inlineStr">
        <is>
          <t>U2027-21</t>
        </is>
      </c>
      <c r="Y60" s="14">
        <f>SUMIFS('J2 Journaal'!$K:$K,'J2 Journaal'!$E:$E,$B60)-SUMIFS('J2 Journaal'!$L:$L,'J2 Journaal'!$E:$E,$B60)</f>
        <v/>
      </c>
      <c r="Z60" s="13" t="n"/>
    </row>
    <row r="61">
      <c r="A61" s="12" t="n">
        <v>9</v>
      </c>
      <c r="B61" s="13" t="inlineStr">
        <is>
          <t>J2Q4CA2</t>
        </is>
      </c>
      <c r="C61" s="8" t="inlineStr">
        <is>
          <t>K4</t>
        </is>
      </c>
      <c r="D61" s="13" t="inlineStr">
        <is>
          <t>K4</t>
        </is>
      </c>
      <c r="E61" s="13" t="inlineStr">
        <is>
          <t>CN-AK</t>
        </is>
      </c>
      <c r="F61" s="13" t="inlineStr">
        <is>
          <t>verpakking terug</t>
        </is>
      </c>
      <c r="G61" s="16" t="n">
        <v>46690</v>
      </c>
      <c r="I61" s="13" t="inlineStr">
        <is>
          <t>CN-2027-070</t>
        </is>
      </c>
      <c r="J61" s="13" t="inlineStr">
        <is>
          <t>Velomax bv</t>
        </is>
      </c>
      <c r="K61" s="13" t="inlineStr">
        <is>
          <t>Fietsatelier Noor bv</t>
        </is>
      </c>
      <c r="L61" s="13" t="inlineStr">
        <is>
          <t>2027-702</t>
        </is>
      </c>
      <c r="M61" s="13" t="inlineStr">
        <is>
          <t>4 fietsrekken teruggestuurd (factuur was al betaald)</t>
        </is>
      </c>
      <c r="N61" s="14">
        <f>SUMIFS('J2 Lijnen'!$J:$J,'J2 Lijnen'!$A:$A,$B61,'J2 Lijnen'!$K:$K,0.21,'J2 Lijnen'!$E:$E,"&lt;&gt;verpakking")</f>
        <v/>
      </c>
      <c r="O61" s="14">
        <f>SUMIFS('J2 Lijnen'!$L:$L,'J2 Lijnen'!$A:$A,$B61,'J2 Lijnen'!$K:$K,0.21)</f>
        <v/>
      </c>
      <c r="P61" s="14">
        <f>SUMIFS('J2 Lijnen'!$J:$J,'J2 Lijnen'!$A:$A,$B61,'J2 Lijnen'!$K:$K,0.06)</f>
        <v/>
      </c>
      <c r="Q61" s="14">
        <f>SUMIFS('J2 Lijnen'!$L:$L,'J2 Lijnen'!$A:$A,$B61,'J2 Lijnen'!$K:$K,0.06)</f>
        <v/>
      </c>
      <c r="R61" s="14">
        <f>SUMIFS('J2 Lijnen'!$J:$J,'J2 Lijnen'!$A:$A,$B61,'J2 Lijnen'!$E:$E,"verpakking")</f>
        <v/>
      </c>
      <c r="S61" s="14">
        <f>-SUMIFS('J2 Lijnen'!$J:$J,'J2 Lijnen'!$A:$A,$B61,'J2 Lijnen'!$E:$E,"financiële korting")</f>
        <v/>
      </c>
      <c r="T61" s="17">
        <f>SUM(N61:S61)</f>
        <v/>
      </c>
      <c r="X61" s="13" t="inlineStr">
        <is>
          <t>U2027-21</t>
        </is>
      </c>
      <c r="Y61" s="14">
        <f>SUMIFS('J2 Journaal'!$K:$K,'J2 Journaal'!$E:$E,$B61)-SUMIFS('J2 Journaal'!$L:$L,'J2 Journaal'!$E:$E,$B61)</f>
        <v/>
      </c>
      <c r="Z61" s="13" t="n"/>
    </row>
    <row r="62">
      <c r="A62" s="12" t="n">
        <v>11</v>
      </c>
      <c r="B62" s="13" t="inlineStr">
        <is>
          <t>J2Q4A4</t>
        </is>
      </c>
      <c r="C62" s="8" t="inlineStr">
        <is>
          <t>K4</t>
        </is>
      </c>
      <c r="D62" s="13" t="inlineStr">
        <is>
          <t>K4</t>
        </is>
      </c>
      <c r="E62" s="13" t="inlineStr">
        <is>
          <t>AK</t>
        </is>
      </c>
      <c r="F62" s="13" t="inlineStr">
        <is>
          <t>handelskorting + kosten</t>
        </is>
      </c>
      <c r="G62" s="16" t="n">
        <v>46695</v>
      </c>
      <c r="H62" s="16">
        <f>G62+30</f>
        <v/>
      </c>
      <c r="I62" s="13" t="inlineStr">
        <is>
          <t>2027-766</t>
        </is>
      </c>
      <c r="J62" s="13" t="inlineStr">
        <is>
          <t>Velomax bv</t>
        </is>
      </c>
      <c r="K62" s="13" t="inlineStr">
        <is>
          <t>Fietsatelier Noor bv</t>
        </is>
      </c>
      <c r="M62" s="13" t="n"/>
      <c r="N62" s="14">
        <f>SUMIFS('J2 Lijnen'!$J:$J,'J2 Lijnen'!$A:$A,$B62,'J2 Lijnen'!$K:$K,0.21,'J2 Lijnen'!$E:$E,"&lt;&gt;verpakking")</f>
        <v/>
      </c>
      <c r="O62" s="14">
        <f>SUMIFS('J2 Lijnen'!$L:$L,'J2 Lijnen'!$A:$A,$B62,'J2 Lijnen'!$K:$K,0.21)</f>
        <v/>
      </c>
      <c r="P62" s="14">
        <f>SUMIFS('J2 Lijnen'!$J:$J,'J2 Lijnen'!$A:$A,$B62,'J2 Lijnen'!$K:$K,0.06)</f>
        <v/>
      </c>
      <c r="Q62" s="14">
        <f>SUMIFS('J2 Lijnen'!$L:$L,'J2 Lijnen'!$A:$A,$B62,'J2 Lijnen'!$K:$K,0.06)</f>
        <v/>
      </c>
      <c r="R62" s="14">
        <f>SUMIFS('J2 Lijnen'!$J:$J,'J2 Lijnen'!$A:$A,$B62,'J2 Lijnen'!$E:$E,"verpakking")</f>
        <v/>
      </c>
      <c r="S62" s="14">
        <f>-SUMIFS('J2 Lijnen'!$J:$J,'J2 Lijnen'!$A:$A,$B62,'J2 Lijnen'!$E:$E,"financiële korting")</f>
        <v/>
      </c>
      <c r="T62" s="17">
        <f>SUM(N62:S62)</f>
        <v/>
      </c>
      <c r="X62" s="13" t="inlineStr">
        <is>
          <t>U2027-22</t>
        </is>
      </c>
      <c r="Y62" s="14">
        <f>SUMIFS('J2 Journaal'!$K:$K,'J2 Journaal'!$E:$E,$B62)-SUMIFS('J2 Journaal'!$L:$L,'J2 Journaal'!$E:$E,$B62)</f>
        <v/>
      </c>
      <c r="Z62" s="13" t="n"/>
    </row>
    <row r="63">
      <c r="A63" s="12" t="n">
        <v>12</v>
      </c>
      <c r="B63" s="13" t="inlineStr">
        <is>
          <t>J2Q4V3</t>
        </is>
      </c>
      <c r="C63" s="8" t="inlineStr">
        <is>
          <t>K4</t>
        </is>
      </c>
      <c r="D63" s="13" t="inlineStr">
        <is>
          <t>K4</t>
        </is>
      </c>
      <c r="E63" s="13" t="inlineStr">
        <is>
          <t>VK</t>
        </is>
      </c>
      <c r="F63" s="13" t="inlineStr">
        <is>
          <t>kosten</t>
        </is>
      </c>
      <c r="G63" s="16" t="n">
        <v>46696</v>
      </c>
      <c r="H63" s="16">
        <f>G63+30</f>
        <v/>
      </c>
      <c r="I63" s="13" t="inlineStr">
        <is>
          <t>2027-022</t>
        </is>
      </c>
      <c r="J63" s="13" t="inlineStr">
        <is>
          <t>Fietsatelier Noor bv</t>
        </is>
      </c>
      <c r="K63" s="13" t="inlineStr">
        <is>
          <t>Architectenbureau Dubois srl</t>
        </is>
      </c>
      <c r="M63" s="13" t="n"/>
      <c r="N63" s="14">
        <f>SUMIFS('J2 Lijnen'!$J:$J,'J2 Lijnen'!$A:$A,$B63,'J2 Lijnen'!$K:$K,0.21,'J2 Lijnen'!$E:$E,"&lt;&gt;verpakking")</f>
        <v/>
      </c>
      <c r="O63" s="14">
        <f>SUMIFS('J2 Lijnen'!$L:$L,'J2 Lijnen'!$A:$A,$B63,'J2 Lijnen'!$K:$K,0.21)</f>
        <v/>
      </c>
      <c r="P63" s="14">
        <f>SUMIFS('J2 Lijnen'!$J:$J,'J2 Lijnen'!$A:$A,$B63,'J2 Lijnen'!$K:$K,0.06)</f>
        <v/>
      </c>
      <c r="Q63" s="14">
        <f>SUMIFS('J2 Lijnen'!$L:$L,'J2 Lijnen'!$A:$A,$B63,'J2 Lijnen'!$K:$K,0.06)</f>
        <v/>
      </c>
      <c r="R63" s="14">
        <f>SUMIFS('J2 Lijnen'!$J:$J,'J2 Lijnen'!$A:$A,$B63,'J2 Lijnen'!$E:$E,"verpakking")</f>
        <v/>
      </c>
      <c r="S63" s="14">
        <f>-SUMIFS('J2 Lijnen'!$J:$J,'J2 Lijnen'!$A:$A,$B63,'J2 Lijnen'!$E:$E,"financiële korting")</f>
        <v/>
      </c>
      <c r="T63" s="17">
        <f>SUM(N63:S63)</f>
        <v/>
      </c>
      <c r="X63" s="13" t="inlineStr">
        <is>
          <t>U2027-21</t>
        </is>
      </c>
      <c r="Y63" s="14">
        <f>SUMIFS('J2 Journaal'!$K:$K,'J2 Journaal'!$E:$E,$B63)-SUMIFS('J2 Journaal'!$L:$L,'J2 Journaal'!$E:$E,$B63)</f>
        <v/>
      </c>
      <c r="Z63" s="13" t="n"/>
    </row>
    <row r="64">
      <c r="A64" s="12" t="n">
        <v>13</v>
      </c>
      <c r="B64" s="13" t="inlineStr">
        <is>
          <t>J2Q4CV2</t>
        </is>
      </c>
      <c r="C64" s="8" t="inlineStr">
        <is>
          <t>K4</t>
        </is>
      </c>
      <c r="D64" s="13" t="inlineStr">
        <is>
          <t>K4</t>
        </is>
      </c>
      <c r="E64" s="13" t="inlineStr">
        <is>
          <t>CN-VK</t>
        </is>
      </c>
      <c r="F64" s="13" t="inlineStr">
        <is>
          <t>verpakking terug</t>
        </is>
      </c>
      <c r="G64" s="16" t="n">
        <v>46697</v>
      </c>
      <c r="I64" s="13" t="inlineStr">
        <is>
          <t>CN-2027-009</t>
        </is>
      </c>
      <c r="J64" s="13" t="inlineStr">
        <is>
          <t>Fietsatelier Noor bv</t>
        </is>
      </c>
      <c r="K64" s="13" t="inlineStr">
        <is>
          <t>Velocity Deelfietsen bv</t>
        </is>
      </c>
      <c r="L64" s="13" t="inlineStr">
        <is>
          <t>2027-020</t>
        </is>
      </c>
      <c r="M64" s="13" t="inlineStr">
        <is>
          <t>3 fietsrekken terugontvangen (factuur was al betaald)</t>
        </is>
      </c>
      <c r="N64" s="14">
        <f>SUMIFS('J2 Lijnen'!$J:$J,'J2 Lijnen'!$A:$A,$B64,'J2 Lijnen'!$K:$K,0.21,'J2 Lijnen'!$E:$E,"&lt;&gt;verpakking")</f>
        <v/>
      </c>
      <c r="O64" s="14">
        <f>SUMIFS('J2 Lijnen'!$L:$L,'J2 Lijnen'!$A:$A,$B64,'J2 Lijnen'!$K:$K,0.21)</f>
        <v/>
      </c>
      <c r="P64" s="14">
        <f>SUMIFS('J2 Lijnen'!$J:$J,'J2 Lijnen'!$A:$A,$B64,'J2 Lijnen'!$K:$K,0.06)</f>
        <v/>
      </c>
      <c r="Q64" s="14">
        <f>SUMIFS('J2 Lijnen'!$L:$L,'J2 Lijnen'!$A:$A,$B64,'J2 Lijnen'!$K:$K,0.06)</f>
        <v/>
      </c>
      <c r="R64" s="14">
        <f>SUMIFS('J2 Lijnen'!$J:$J,'J2 Lijnen'!$A:$A,$B64,'J2 Lijnen'!$E:$E,"verpakking")</f>
        <v/>
      </c>
      <c r="S64" s="14">
        <f>-SUMIFS('J2 Lijnen'!$J:$J,'J2 Lijnen'!$A:$A,$B64,'J2 Lijnen'!$E:$E,"financiële korting")</f>
        <v/>
      </c>
      <c r="T64" s="17">
        <f>SUM(N64:S64)</f>
        <v/>
      </c>
      <c r="X64" s="13" t="inlineStr">
        <is>
          <t>U2027-21</t>
        </is>
      </c>
      <c r="Y64" s="14">
        <f>SUMIFS('J2 Journaal'!$K:$K,'J2 Journaal'!$E:$E,$B64)-SUMIFS('J2 Journaal'!$L:$L,'J2 Journaal'!$E:$E,$B64)</f>
        <v/>
      </c>
      <c r="Z64" s="13" t="n"/>
    </row>
    <row r="65">
      <c r="A65" s="12" t="n">
        <v>14</v>
      </c>
      <c r="B65" s="13" t="inlineStr">
        <is>
          <t>J2Q4A6</t>
        </is>
      </c>
      <c r="C65" s="8" t="inlineStr">
        <is>
          <t>K4</t>
        </is>
      </c>
      <c r="D65" s="13" t="inlineStr">
        <is>
          <t>K4</t>
        </is>
      </c>
      <c r="E65" s="13" t="inlineStr">
        <is>
          <t>AK</t>
        </is>
      </c>
      <c r="F65" s="13" t="inlineStr">
        <is>
          <t>financiële korting</t>
        </is>
      </c>
      <c r="G65" s="16" t="n">
        <v>46704</v>
      </c>
      <c r="H65" s="16">
        <f>G65+30</f>
        <v/>
      </c>
      <c r="I65" s="13" t="inlineStr">
        <is>
          <t>2027-811</t>
        </is>
      </c>
      <c r="J65" s="13" t="inlineStr">
        <is>
          <t>Velomax bv</t>
        </is>
      </c>
      <c r="K65" s="13" t="inlineStr">
        <is>
          <t>Fietsatelier Noor bv</t>
        </is>
      </c>
      <c r="M65" s="13" t="n"/>
      <c r="N65" s="14">
        <f>SUMIFS('J2 Lijnen'!$J:$J,'J2 Lijnen'!$A:$A,$B65,'J2 Lijnen'!$K:$K,0.21,'J2 Lijnen'!$E:$E,"&lt;&gt;verpakking")</f>
        <v/>
      </c>
      <c r="O65" s="14">
        <f>SUMIFS('J2 Lijnen'!$L:$L,'J2 Lijnen'!$A:$A,$B65,'J2 Lijnen'!$K:$K,0.21)</f>
        <v/>
      </c>
      <c r="P65" s="14">
        <f>SUMIFS('J2 Lijnen'!$J:$J,'J2 Lijnen'!$A:$A,$B65,'J2 Lijnen'!$K:$K,0.06)</f>
        <v/>
      </c>
      <c r="Q65" s="14">
        <f>SUMIFS('J2 Lijnen'!$L:$L,'J2 Lijnen'!$A:$A,$B65,'J2 Lijnen'!$K:$K,0.06)</f>
        <v/>
      </c>
      <c r="R65" s="14">
        <f>SUMIFS('J2 Lijnen'!$J:$J,'J2 Lijnen'!$A:$A,$B65,'J2 Lijnen'!$E:$E,"verpakking")</f>
        <v/>
      </c>
      <c r="S65" s="14">
        <f>-SUMIFS('J2 Lijnen'!$J:$J,'J2 Lijnen'!$A:$A,$B65,'J2 Lijnen'!$E:$E,"financiële korting")</f>
        <v/>
      </c>
      <c r="T65" s="17">
        <f>SUM(N65:S65)</f>
        <v/>
      </c>
      <c r="U65" s="14">
        <f>T65-S65</f>
        <v/>
      </c>
      <c r="X65" s="13" t="inlineStr">
        <is>
          <t>U2027-21</t>
        </is>
      </c>
      <c r="Y65" s="14">
        <f>SUMIFS('J2 Journaal'!$K:$K,'J2 Journaal'!$E:$E,$B65)-SUMIFS('J2 Journaal'!$L:$L,'J2 Journaal'!$E:$E,$B65)</f>
        <v/>
      </c>
      <c r="Z65" s="13" t="inlineStr">
        <is>
          <t>4% korting binnen 10 dagen: binnen de termijn betaald</t>
        </is>
      </c>
    </row>
    <row r="66">
      <c r="A66" s="12" t="n">
        <v>16</v>
      </c>
      <c r="B66" s="13" t="inlineStr">
        <is>
          <t>J2Q4V6</t>
        </is>
      </c>
      <c r="C66" s="8" t="inlineStr">
        <is>
          <t>K4</t>
        </is>
      </c>
      <c r="D66" s="13" t="inlineStr">
        <is>
          <t>K4</t>
        </is>
      </c>
      <c r="E66" s="13" t="inlineStr">
        <is>
          <t>VK</t>
        </is>
      </c>
      <c r="F66" s="13" t="inlineStr">
        <is>
          <t>financiële korting</t>
        </is>
      </c>
      <c r="G66" s="16" t="n">
        <v>46710</v>
      </c>
      <c r="H66" s="16">
        <f>G66+30</f>
        <v/>
      </c>
      <c r="I66" s="13" t="inlineStr">
        <is>
          <t>2027-029</t>
        </is>
      </c>
      <c r="J66" s="13" t="inlineStr">
        <is>
          <t>Fietsatelier Noor bv</t>
        </is>
      </c>
      <c r="K66" s="13" t="inlineStr">
        <is>
          <t>Velocity Deelfietsen bv</t>
        </is>
      </c>
      <c r="M66" s="13" t="n"/>
      <c r="N66" s="14">
        <f>SUMIFS('J2 Lijnen'!$J:$J,'J2 Lijnen'!$A:$A,$B66,'J2 Lijnen'!$K:$K,0.21,'J2 Lijnen'!$E:$E,"&lt;&gt;verpakking")</f>
        <v/>
      </c>
      <c r="O66" s="14">
        <f>SUMIFS('J2 Lijnen'!$L:$L,'J2 Lijnen'!$A:$A,$B66,'J2 Lijnen'!$K:$K,0.21)</f>
        <v/>
      </c>
      <c r="P66" s="14">
        <f>SUMIFS('J2 Lijnen'!$J:$J,'J2 Lijnen'!$A:$A,$B66,'J2 Lijnen'!$K:$K,0.06)</f>
        <v/>
      </c>
      <c r="Q66" s="14">
        <f>SUMIFS('J2 Lijnen'!$L:$L,'J2 Lijnen'!$A:$A,$B66,'J2 Lijnen'!$K:$K,0.06)</f>
        <v/>
      </c>
      <c r="R66" s="14">
        <f>SUMIFS('J2 Lijnen'!$J:$J,'J2 Lijnen'!$A:$A,$B66,'J2 Lijnen'!$E:$E,"verpakking")</f>
        <v/>
      </c>
      <c r="S66" s="14">
        <f>-SUMIFS('J2 Lijnen'!$J:$J,'J2 Lijnen'!$A:$A,$B66,'J2 Lijnen'!$E:$E,"financiële korting")</f>
        <v/>
      </c>
      <c r="T66" s="17">
        <f>SUM(N66:S66)</f>
        <v/>
      </c>
      <c r="U66" s="14">
        <f>T66-S66</f>
        <v/>
      </c>
      <c r="X66" s="13" t="inlineStr">
        <is>
          <t>U2027-22</t>
        </is>
      </c>
      <c r="Y66" s="14">
        <f>SUMIFS('J2 Journaal'!$K:$K,'J2 Journaal'!$E:$E,$B66)-SUMIFS('J2 Journaal'!$L:$L,'J2 Journaal'!$E:$E,$B66)</f>
        <v/>
      </c>
      <c r="Z66" s="13" t="inlineStr">
        <is>
          <t>2% korting binnen 10 dagen: te laat betaald, geen korting</t>
        </is>
      </c>
    </row>
    <row r="67">
      <c r="A67" s="12" t="n">
        <v>17</v>
      </c>
      <c r="B67" s="13" t="inlineStr">
        <is>
          <t>J2Q4V5</t>
        </is>
      </c>
      <c r="C67" s="8" t="inlineStr">
        <is>
          <t>K4</t>
        </is>
      </c>
      <c r="D67" s="13" t="inlineStr">
        <is>
          <t>K4</t>
        </is>
      </c>
      <c r="E67" s="13" t="inlineStr">
        <is>
          <t>VK</t>
        </is>
      </c>
      <c r="F67" s="13" t="inlineStr">
        <is>
          <t>handelskorting + kosten</t>
        </is>
      </c>
      <c r="G67" s="16" t="n">
        <v>46723</v>
      </c>
      <c r="H67" s="16">
        <f>G67+30</f>
        <v/>
      </c>
      <c r="I67" s="13" t="inlineStr">
        <is>
          <t>2027-024</t>
        </is>
      </c>
      <c r="J67" s="13" t="inlineStr">
        <is>
          <t>Fietsatelier Noor bv</t>
        </is>
      </c>
      <c r="K67" s="13" t="inlineStr">
        <is>
          <t>Bytewise bv</t>
        </is>
      </c>
      <c r="M67" s="13" t="n"/>
      <c r="N67" s="14">
        <f>SUMIFS('J2 Lijnen'!$J:$J,'J2 Lijnen'!$A:$A,$B67,'J2 Lijnen'!$K:$K,0.21,'J2 Lijnen'!$E:$E,"&lt;&gt;verpakking")</f>
        <v/>
      </c>
      <c r="O67" s="14">
        <f>SUMIFS('J2 Lijnen'!$L:$L,'J2 Lijnen'!$A:$A,$B67,'J2 Lijnen'!$K:$K,0.21)</f>
        <v/>
      </c>
      <c r="P67" s="14">
        <f>SUMIFS('J2 Lijnen'!$J:$J,'J2 Lijnen'!$A:$A,$B67,'J2 Lijnen'!$K:$K,0.06)</f>
        <v/>
      </c>
      <c r="Q67" s="14">
        <f>SUMIFS('J2 Lijnen'!$L:$L,'J2 Lijnen'!$A:$A,$B67,'J2 Lijnen'!$K:$K,0.06)</f>
        <v/>
      </c>
      <c r="R67" s="14">
        <f>SUMIFS('J2 Lijnen'!$J:$J,'J2 Lijnen'!$A:$A,$B67,'J2 Lijnen'!$E:$E,"verpakking")</f>
        <v/>
      </c>
      <c r="S67" s="14">
        <f>-SUMIFS('J2 Lijnen'!$J:$J,'J2 Lijnen'!$A:$A,$B67,'J2 Lijnen'!$E:$E,"financiële korting")</f>
        <v/>
      </c>
      <c r="T67" s="17">
        <f>SUM(N67:S67)</f>
        <v/>
      </c>
      <c r="X67" s="13" t="inlineStr">
        <is>
          <t>U2027-23</t>
        </is>
      </c>
      <c r="Y67" s="14">
        <f>SUMIFS('J2 Journaal'!$K:$K,'J2 Journaal'!$E:$E,$B67)-SUMIFS('J2 Journaal'!$L:$L,'J2 Journaal'!$E:$E,$B67)</f>
        <v/>
      </c>
      <c r="Z67" s="13" t="n"/>
    </row>
    <row r="68">
      <c r="A68" s="12" t="n">
        <v>19</v>
      </c>
      <c r="B68" s="13" t="inlineStr">
        <is>
          <t>J2Q4D1</t>
        </is>
      </c>
      <c r="C68" s="8" t="inlineStr">
        <is>
          <t>K4</t>
        </is>
      </c>
      <c r="D68" s="13" t="inlineStr">
        <is>
          <t>K4</t>
        </is>
      </c>
      <c r="E68" s="13" t="inlineStr">
        <is>
          <t>DO</t>
        </is>
      </c>
      <c r="F68" s="13" t="inlineStr">
        <is>
          <t>dagontvangst</t>
        </is>
      </c>
      <c r="G68" s="16" t="n">
        <v>46733</v>
      </c>
      <c r="I68" s="13" t="inlineStr">
        <is>
          <t>DO-2027-04</t>
        </is>
      </c>
      <c r="J68" s="13" t="inlineStr">
        <is>
          <t>Fietsatelier Noor bv</t>
        </is>
      </c>
      <c r="K68" s="13" t="inlineStr">
        <is>
          <t>particulieren (kasticket)</t>
        </is>
      </c>
      <c r="M68" s="13" t="inlineStr">
        <is>
          <t>Dagontvangsten winkel (verkopen aan particulieren)</t>
        </is>
      </c>
      <c r="N68" s="14">
        <f>SUMIFS('J2 Lijnen'!$J:$J,'J2 Lijnen'!$A:$A,$B68,'J2 Lijnen'!$K:$K,0.21,'J2 Lijnen'!$E:$E,"&lt;&gt;verpakking")</f>
        <v/>
      </c>
      <c r="O68" s="14">
        <f>SUMIFS('J2 Lijnen'!$L:$L,'J2 Lijnen'!$A:$A,$B68,'J2 Lijnen'!$K:$K,0.21)</f>
        <v/>
      </c>
      <c r="P68" s="14">
        <f>SUMIFS('J2 Lijnen'!$J:$J,'J2 Lijnen'!$A:$A,$B68,'J2 Lijnen'!$K:$K,0.06)</f>
        <v/>
      </c>
      <c r="Q68" s="14">
        <f>SUMIFS('J2 Lijnen'!$L:$L,'J2 Lijnen'!$A:$A,$B68,'J2 Lijnen'!$K:$K,0.06)</f>
        <v/>
      </c>
      <c r="R68" s="14">
        <f>SUMIFS('J2 Lijnen'!$J:$J,'J2 Lijnen'!$A:$A,$B68,'J2 Lijnen'!$E:$E,"verpakking")</f>
        <v/>
      </c>
      <c r="S68" s="14">
        <f>-SUMIFS('J2 Lijnen'!$J:$J,'J2 Lijnen'!$A:$A,$B68,'J2 Lijnen'!$E:$E,"financiële korting")</f>
        <v/>
      </c>
      <c r="T68" s="17">
        <f>SUM(N68:S68)</f>
        <v/>
      </c>
      <c r="V68" s="14">
        <f>T68-W68</f>
        <v/>
      </c>
      <c r="W68" s="14" t="n">
        <v>3000</v>
      </c>
      <c r="X68" s="13" t="inlineStr">
        <is>
          <t>J2Q4D1K, U2027-23</t>
        </is>
      </c>
      <c r="Y68" s="14">
        <f>SUMIFS('J2 Journaal'!$K:$K,'J2 Journaal'!$E:$E,$B68)-SUMIFS('J2 Journaal'!$L:$L,'J2 Journaal'!$E:$E,$B68)</f>
        <v/>
      </c>
      <c r="Z68" s="13" t="n"/>
    </row>
    <row r="69">
      <c r="A69" s="12" t="n">
        <v>20</v>
      </c>
      <c r="B69" s="13" t="inlineStr">
        <is>
          <t>J2Q4D1K</t>
        </is>
      </c>
      <c r="C69" s="8" t="inlineStr">
        <is>
          <t>K4</t>
        </is>
      </c>
      <c r="D69" s="13" t="inlineStr">
        <is>
          <t>K4</t>
        </is>
      </c>
      <c r="E69" s="13" t="inlineStr">
        <is>
          <t>KAS</t>
        </is>
      </c>
      <c r="F69" s="13" t="inlineStr">
        <is>
          <t>ontvangst</t>
        </is>
      </c>
      <c r="G69" s="16" t="n">
        <v>46733</v>
      </c>
      <c r="I69" s="13" t="inlineStr">
        <is>
          <t>Kasboek DO-2027-04</t>
        </is>
      </c>
      <c r="J69" s="13" t="inlineStr">
        <is>
          <t>Fietsatelier Noor bv</t>
        </is>
      </c>
      <c r="K69" s="13" t="inlineStr">
        <is>
          <t>Fietsatelier Noor bv</t>
        </is>
      </c>
      <c r="L69" s="13" t="inlineStr">
        <is>
          <t>DO-2027-04</t>
        </is>
      </c>
      <c r="M69" s="13" t="inlineStr">
        <is>
          <t>Contant deel van dagontvangst DO-2027-04 (laat de vordering op de klanten dalen)</t>
        </is>
      </c>
      <c r="T69" s="17" t="n">
        <v>1266</v>
      </c>
      <c r="V69" s="14" t="n">
        <v>1266</v>
      </c>
      <c r="Y69" s="14">
        <f>SUMIFS('J2 Journaal'!$K:$K,'J2 Journaal'!$E:$E,$B69)-SUMIFS('J2 Journaal'!$L:$L,'J2 Journaal'!$E:$E,$B69)</f>
        <v/>
      </c>
    </row>
    <row r="70">
      <c r="A70" s="12" t="n">
        <v>21</v>
      </c>
      <c r="B70" s="13" t="inlineStr">
        <is>
          <t>J2Q4K1</t>
        </is>
      </c>
      <c r="C70" s="8" t="inlineStr">
        <is>
          <t>K4</t>
        </is>
      </c>
      <c r="D70" s="13" t="inlineStr">
        <is>
          <t>K4</t>
        </is>
      </c>
      <c r="E70" s="13" t="inlineStr">
        <is>
          <t>KAS</t>
        </is>
      </c>
      <c r="F70" s="13" t="inlineStr">
        <is>
          <t>storting</t>
        </is>
      </c>
      <c r="G70" s="16" t="n">
        <v>46736</v>
      </c>
      <c r="I70" s="13" t="inlineStr">
        <is>
          <t>KAS-2027-04</t>
        </is>
      </c>
      <c r="J70" s="13" t="inlineStr">
        <is>
          <t>Fietsatelier Noor bv</t>
        </is>
      </c>
      <c r="K70" s="13" t="inlineStr">
        <is>
          <t>Fietsatelier Noor bv</t>
        </is>
      </c>
      <c r="M70" s="13" t="inlineStr">
        <is>
          <t>Storting contanten van de kassa naar de bank</t>
        </is>
      </c>
      <c r="T70" s="17" t="n">
        <v>1000</v>
      </c>
      <c r="V70" s="14" t="n">
        <v>-1000</v>
      </c>
      <c r="Y70" s="14">
        <f>SUMIFS('J2 Journaal'!$K:$K,'J2 Journaal'!$E:$E,$B70)-SUMIFS('J2 Journaal'!$L:$L,'J2 Journaal'!$E:$E,$B70)</f>
        <v/>
      </c>
    </row>
    <row r="71">
      <c r="A71" s="12" t="n">
        <v>1</v>
      </c>
      <c r="B71" s="13" t="inlineStr">
        <is>
          <t>AF2-1</t>
        </is>
      </c>
      <c r="C71" s="10" t="inlineStr">
        <is>
          <t>AFSLUITING</t>
        </is>
      </c>
      <c r="D71" s="13" t="inlineStr">
        <is>
          <t>K4</t>
        </is>
      </c>
      <c r="E71" s="13" t="inlineStr">
        <is>
          <t>MEMO</t>
        </is>
      </c>
      <c r="F71" s="13" t="inlineStr">
        <is>
          <t>btw-verrekening</t>
        </is>
      </c>
      <c r="G71" s="16" t="n">
        <v>46752</v>
      </c>
      <c r="I71" s="13" t="inlineStr">
        <is>
          <t>AF2-1</t>
        </is>
      </c>
      <c r="M71" s="13" t="inlineStr">
        <is>
          <t>Btw-verrekening 4e kwartaal 2027</t>
        </is>
      </c>
      <c r="Y71" s="14">
        <f>SUMIFS('J2 Journaal'!$K:$K,'J2 Journaal'!$E:$E,$B71)-SUMIFS('J2 Journaal'!$L:$L,'J2 Journaal'!$E:$E,$B71)</f>
        <v/>
      </c>
    </row>
    <row r="72">
      <c r="A72" s="12" t="n">
        <v>2</v>
      </c>
      <c r="B72" s="13" t="inlineStr">
        <is>
          <t>AF2-2</t>
        </is>
      </c>
      <c r="C72" s="10" t="inlineStr">
        <is>
          <t>AFSLUITING</t>
        </is>
      </c>
      <c r="D72" s="13" t="inlineStr">
        <is>
          <t>K4</t>
        </is>
      </c>
      <c r="E72" s="13" t="inlineStr">
        <is>
          <t>MEMO</t>
        </is>
      </c>
      <c r="F72" s="13" t="inlineStr">
        <is>
          <t>voorraadwijziging</t>
        </is>
      </c>
      <c r="G72" s="16" t="n">
        <v>46752</v>
      </c>
      <c r="I72" s="13" t="inlineStr">
        <is>
          <t>AF2-2</t>
        </is>
      </c>
      <c r="M72" s="13" t="inlineStr">
        <is>
          <t>Voorraadwijziging 2027 (inventaris 31/12)</t>
        </is>
      </c>
      <c r="Y72" s="14">
        <f>SUMIFS('J2 Journaal'!$K:$K,'J2 Journaal'!$E:$E,$B72)-SUMIFS('J2 Journaal'!$L:$L,'J2 Journaal'!$E:$E,$B72)</f>
        <v/>
      </c>
    </row>
    <row r="73">
      <c r="A73" s="12" t="n">
        <v>3</v>
      </c>
      <c r="B73" s="13" t="inlineStr">
        <is>
          <t>AF2-3</t>
        </is>
      </c>
      <c r="C73" s="10" t="inlineStr">
        <is>
          <t>AFSLUITING</t>
        </is>
      </c>
      <c r="D73" s="13" t="inlineStr">
        <is>
          <t>K4</t>
        </is>
      </c>
      <c r="E73" s="13" t="inlineStr">
        <is>
          <t>MEMO</t>
        </is>
      </c>
      <c r="F73" s="13" t="inlineStr">
        <is>
          <t>afschrijvingen</t>
        </is>
      </c>
      <c r="G73" s="16" t="n">
        <v>46752</v>
      </c>
      <c r="I73" s="13" t="inlineStr">
        <is>
          <t>AF2-3</t>
        </is>
      </c>
      <c r="M73" s="13" t="inlineStr">
        <is>
          <t>Afschrijvingen 2027</t>
        </is>
      </c>
      <c r="Y73" s="14">
        <f>SUMIFS('J2 Journaal'!$K:$K,'J2 Journaal'!$E:$E,$B73)-SUMIFS('J2 Journaal'!$L:$L,'J2 Journaal'!$E:$E,$B73)</f>
        <v/>
      </c>
    </row>
    <row r="74">
      <c r="A74" s="12" t="n">
        <v>4</v>
      </c>
      <c r="B74" s="13" t="inlineStr">
        <is>
          <t>AF2-4</t>
        </is>
      </c>
      <c r="C74" s="10" t="inlineStr">
        <is>
          <t>AFSLUITING</t>
        </is>
      </c>
      <c r="D74" s="13" t="inlineStr">
        <is>
          <t>K4</t>
        </is>
      </c>
      <c r="E74" s="13" t="inlineStr">
        <is>
          <t>MEMO</t>
        </is>
      </c>
      <c r="F74" s="13" t="inlineStr">
        <is>
          <t>resultaat</t>
        </is>
      </c>
      <c r="G74" s="16" t="n">
        <v>46752</v>
      </c>
      <c r="I74" s="13" t="inlineStr">
        <is>
          <t>AF2-4</t>
        </is>
      </c>
      <c r="M74" s="13" t="inlineStr">
        <is>
          <t>Resultaat 2027 naar overgedragen winst</t>
        </is>
      </c>
      <c r="Y74" s="14">
        <f>SUMIFS('J2 Journaal'!$K:$K,'J2 Journaal'!$E:$E,$B74)-SUMIFS('J2 Journaal'!$L:$L,'J2 Journaal'!$E:$E,$B74)</f>
        <v/>
      </c>
    </row>
  </sheetData>
  <autoFilter ref="A1:Z74"/>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J61"/>
  <sheetViews>
    <sheetView zoomScaleNormal="100" workbookViewId="0">
      <pane ySplit="1" topLeftCell="A2" activePane="bottomLeft" state="frozen"/>
      <selection pane="bottomLeft" activeCell="A1" sqref="A1"/>
    </sheetView>
  </sheetViews>
  <sheetFormatPr baseColWidth="8" defaultColWidth="8.6328125" defaultRowHeight="14.5"/>
  <cols>
    <col width="8" customWidth="1" min="1" max="1"/>
    <col width="11" customWidth="1" min="2" max="2"/>
    <col width="13" customWidth="1" min="3" max="3"/>
    <col width="8" customWidth="1" min="4" max="4"/>
    <col width="11" customWidth="1" min="5" max="5"/>
    <col width="5" customWidth="1" min="6" max="6"/>
    <col width="64" customWidth="1" min="7" max="7"/>
    <col width="22" customWidth="1" min="8" max="8"/>
    <col width="12" customWidth="1" min="9" max="10"/>
  </cols>
  <sheetData>
    <row r="1" ht="30" customHeight="1">
      <c r="A1" s="1" t="inlineStr">
        <is>
          <t>Volgorde in set</t>
        </is>
      </c>
      <c r="B1" s="1" t="inlineStr">
        <is>
          <t>Uittreksel</t>
        </is>
      </c>
      <c r="C1" s="1" t="inlineStr">
        <is>
          <t>Set</t>
        </is>
      </c>
      <c r="D1" s="1" t="inlineStr">
        <is>
          <t>Kwartaal</t>
        </is>
      </c>
      <c r="E1" s="1" t="inlineStr">
        <is>
          <t>Datum</t>
        </is>
      </c>
      <c r="F1" s="1" t="inlineStr">
        <is>
          <t>Lijn</t>
        </is>
      </c>
      <c r="G1" s="1" t="inlineStr">
        <is>
          <t>Omschrijving op het uittreksel</t>
        </is>
      </c>
      <c r="H1" s="1" t="inlineStr">
        <is>
          <t>Verwijst naar (ID)</t>
        </is>
      </c>
      <c r="I1" s="1" t="inlineStr">
        <is>
          <t>Bedrag</t>
        </is>
      </c>
      <c r="J1" s="1" t="inlineStr">
        <is>
          <t>Saldo na lijn</t>
        </is>
      </c>
    </row>
    <row r="2">
      <c r="G2" s="2" t="inlineStr">
        <is>
          <t>Saldo bank bij de start van het jaar</t>
        </is>
      </c>
      <c r="J2" s="17" t="n">
        <v>18162</v>
      </c>
    </row>
    <row r="3">
      <c r="A3" s="12" t="n">
        <v>18</v>
      </c>
      <c r="B3" s="12" t="n">
        <v>1</v>
      </c>
      <c r="C3" s="5" t="inlineStr">
        <is>
          <t>K1</t>
        </is>
      </c>
      <c r="D3" s="13" t="inlineStr">
        <is>
          <t>K1</t>
        </is>
      </c>
      <c r="E3" s="16" t="n">
        <v>46397</v>
      </c>
      <c r="F3" s="12" t="n">
        <v>1</v>
      </c>
      <c r="G3" s="13" t="inlineStr">
        <is>
          <t>Overschrijving van Velocity Deelfietsen bv, factuur 2026-018</t>
        </is>
      </c>
      <c r="H3" s="13" t="inlineStr">
        <is>
          <t>B2</t>
        </is>
      </c>
      <c r="I3" s="14" t="n">
        <v>9196</v>
      </c>
      <c r="J3" s="14">
        <f>J2+I3</f>
        <v/>
      </c>
    </row>
    <row r="4">
      <c r="A4" s="12" t="n">
        <v>18</v>
      </c>
      <c r="B4" s="12" t="n">
        <v>1</v>
      </c>
      <c r="C4" s="5" t="inlineStr">
        <is>
          <t>K1</t>
        </is>
      </c>
      <c r="D4" s="13" t="inlineStr">
        <is>
          <t>K1</t>
        </is>
      </c>
      <c r="E4" s="16" t="n">
        <v>46397</v>
      </c>
      <c r="F4" s="12" t="n">
        <v>2</v>
      </c>
      <c r="G4" s="13" t="inlineStr">
        <is>
          <t>Overschrijving naar Velomax bv, factuur 2026-1288</t>
        </is>
      </c>
      <c r="H4" s="13" t="inlineStr">
        <is>
          <t>B1</t>
        </is>
      </c>
      <c r="I4" s="14" t="n">
        <v>-7260</v>
      </c>
      <c r="J4" s="17">
        <f>J3+I4</f>
        <v/>
      </c>
    </row>
    <row r="5">
      <c r="A5" s="12" t="n">
        <v>20</v>
      </c>
      <c r="B5" s="12" t="n">
        <v>2</v>
      </c>
      <c r="C5" s="5" t="inlineStr">
        <is>
          <t>K1</t>
        </is>
      </c>
      <c r="D5" s="13" t="inlineStr">
        <is>
          <t>K1</t>
        </is>
      </c>
      <c r="E5" s="16" t="n">
        <v>46408</v>
      </c>
      <c r="F5" s="12" t="n">
        <v>1</v>
      </c>
      <c r="G5" s="13" t="inlineStr">
        <is>
          <t>Storting contanten</t>
        </is>
      </c>
      <c r="H5" s="13" t="inlineStr">
        <is>
          <t>J2K1</t>
        </is>
      </c>
      <c r="I5" s="14" t="n">
        <v>2000</v>
      </c>
      <c r="J5" s="14">
        <f>J4+I5</f>
        <v/>
      </c>
    </row>
    <row r="6">
      <c r="A6" s="12" t="n">
        <v>20</v>
      </c>
      <c r="B6" s="12" t="n">
        <v>2</v>
      </c>
      <c r="C6" s="5" t="inlineStr">
        <is>
          <t>K1</t>
        </is>
      </c>
      <c r="D6" s="13" t="inlineStr">
        <is>
          <t>K1</t>
        </is>
      </c>
      <c r="E6" s="16" t="n">
        <v>46408</v>
      </c>
      <c r="F6" s="12" t="n">
        <v>2</v>
      </c>
      <c r="G6" s="13" t="inlineStr">
        <is>
          <t>Betaling btw aan FOD Financiën</t>
        </is>
      </c>
      <c r="H6" s="13" t="inlineStr">
        <is>
          <t>AF1-1</t>
        </is>
      </c>
      <c r="I6" s="14" t="n">
        <v>-1428</v>
      </c>
      <c r="J6" s="14">
        <f>J5+I6</f>
        <v/>
      </c>
    </row>
    <row r="7">
      <c r="A7" s="12" t="n">
        <v>20</v>
      </c>
      <c r="B7" s="12" t="n">
        <v>2</v>
      </c>
      <c r="C7" s="5" t="inlineStr">
        <is>
          <t>K1</t>
        </is>
      </c>
      <c r="D7" s="13" t="inlineStr">
        <is>
          <t>K1</t>
        </is>
      </c>
      <c r="E7" s="16" t="n">
        <v>46408</v>
      </c>
      <c r="F7" s="12" t="n">
        <v>3</v>
      </c>
      <c r="G7" s="13" t="inlineStr">
        <is>
          <t>Overschrijving naar Netlink bv, factuur NL-27-01-0311</t>
        </is>
      </c>
      <c r="H7" s="13" t="inlineStr">
        <is>
          <t>J2A1</t>
        </is>
      </c>
      <c r="I7" s="14" t="n">
        <v>-363</v>
      </c>
      <c r="J7" s="17">
        <f>J6+I7</f>
        <v/>
      </c>
    </row>
    <row r="8">
      <c r="A8" s="12" t="n">
        <v>21</v>
      </c>
      <c r="B8" s="12" t="n">
        <v>3</v>
      </c>
      <c r="C8" s="5" t="inlineStr">
        <is>
          <t>K1</t>
        </is>
      </c>
      <c r="D8" s="13" t="inlineStr">
        <is>
          <t>K1</t>
        </is>
      </c>
      <c r="E8" s="16" t="n">
        <v>46418</v>
      </c>
      <c r="F8" s="12" t="n">
        <v>1</v>
      </c>
      <c r="G8" s="13" t="inlineStr">
        <is>
          <t>Overschrijving naar Velomax bv, factuur 2027-052 (min 100 financiële korting)</t>
        </is>
      </c>
      <c r="H8" s="13" t="inlineStr">
        <is>
          <t>J2A9</t>
        </is>
      </c>
      <c r="I8" s="14" t="n">
        <v>-5929</v>
      </c>
      <c r="J8" s="14">
        <f>J7+I8</f>
        <v/>
      </c>
    </row>
    <row r="9">
      <c r="A9" s="12" t="n">
        <v>21</v>
      </c>
      <c r="B9" s="12" t="n">
        <v>3</v>
      </c>
      <c r="C9" s="5" t="inlineStr">
        <is>
          <t>K1</t>
        </is>
      </c>
      <c r="D9" s="13" t="inlineStr">
        <is>
          <t>K1</t>
        </is>
      </c>
      <c r="E9" s="16" t="n">
        <v>46418</v>
      </c>
      <c r="F9" s="12" t="n">
        <v>2</v>
      </c>
      <c r="G9" s="13" t="inlineStr">
        <is>
          <t>Overschrijving naar Velomax bv, factuur 2027-014 - creditnota CN-2027-002</t>
        </is>
      </c>
      <c r="H9" s="13" t="inlineStr">
        <is>
          <t>J2A3, J2CA2</t>
        </is>
      </c>
      <c r="I9" s="14" t="n">
        <v>-9801</v>
      </c>
      <c r="J9" s="14">
        <f>J8+I9</f>
        <v/>
      </c>
    </row>
    <row r="10">
      <c r="A10" s="12" t="n">
        <v>21</v>
      </c>
      <c r="B10" s="12" t="n">
        <v>3</v>
      </c>
      <c r="C10" s="5" t="inlineStr">
        <is>
          <t>K1</t>
        </is>
      </c>
      <c r="D10" s="13" t="inlineStr">
        <is>
          <t>K1</t>
        </is>
      </c>
      <c r="E10" s="16" t="n">
        <v>46418</v>
      </c>
      <c r="F10" s="12" t="n">
        <v>3</v>
      </c>
      <c r="G10" s="13" t="inlineStr">
        <is>
          <t>Overschrijving van Snelpost bv, factuur 2027-002</t>
        </is>
      </c>
      <c r="H10" s="13" t="inlineStr">
        <is>
          <t>J2V2</t>
        </is>
      </c>
      <c r="I10" s="14" t="n">
        <v>636</v>
      </c>
      <c r="J10" s="14">
        <f>J9+I10</f>
        <v/>
      </c>
    </row>
    <row r="11">
      <c r="A11" s="12" t="n">
        <v>21</v>
      </c>
      <c r="B11" s="12" t="n">
        <v>3</v>
      </c>
      <c r="C11" s="5" t="inlineStr">
        <is>
          <t>K1</t>
        </is>
      </c>
      <c r="D11" s="13" t="inlineStr">
        <is>
          <t>K1</t>
        </is>
      </c>
      <c r="E11" s="16" t="n">
        <v>46418</v>
      </c>
      <c r="F11" s="12" t="n">
        <v>4</v>
      </c>
      <c r="G11" s="13" t="inlineStr">
        <is>
          <t>Overschrijving naar HelmHuis bv, factuur HH-27-004</t>
        </is>
      </c>
      <c r="H11" s="13" t="inlineStr">
        <is>
          <t>J2A5</t>
        </is>
      </c>
      <c r="I11" s="14" t="n">
        <v>-1089</v>
      </c>
      <c r="J11" s="14">
        <f>J10+I11</f>
        <v/>
      </c>
    </row>
    <row r="12">
      <c r="A12" s="12" t="n">
        <v>21</v>
      </c>
      <c r="B12" s="12" t="n">
        <v>3</v>
      </c>
      <c r="C12" s="5" t="inlineStr">
        <is>
          <t>K1</t>
        </is>
      </c>
      <c r="D12" s="13" t="inlineStr">
        <is>
          <t>K1</t>
        </is>
      </c>
      <c r="E12" s="16" t="n">
        <v>46418</v>
      </c>
      <c r="F12" s="12" t="n">
        <v>5</v>
      </c>
      <c r="G12" s="13" t="inlineStr">
        <is>
          <t>Bancontact-ontvangsten 16/01/2027</t>
        </is>
      </c>
      <c r="H12" s="13" t="inlineStr">
        <is>
          <t>J2D1</t>
        </is>
      </c>
      <c r="I12" s="14" t="n">
        <v>1000</v>
      </c>
      <c r="J12" s="17">
        <f>J11+I12</f>
        <v/>
      </c>
    </row>
    <row r="13">
      <c r="A13" s="12" t="n">
        <v>22</v>
      </c>
      <c r="B13" s="12" t="n">
        <v>4</v>
      </c>
      <c r="C13" s="5" t="inlineStr">
        <is>
          <t>K1</t>
        </is>
      </c>
      <c r="D13" s="13" t="inlineStr">
        <is>
          <t>K1</t>
        </is>
      </c>
      <c r="E13" s="16" t="n">
        <v>46419</v>
      </c>
      <c r="F13" s="12" t="n">
        <v>1</v>
      </c>
      <c r="G13" s="13" t="inlineStr">
        <is>
          <t>Opname lening nr. 2027-0042</t>
        </is>
      </c>
      <c r="H13" s="13" t="n"/>
      <c r="I13" s="14" t="n">
        <v>30000</v>
      </c>
      <c r="J13" s="14">
        <f>J12+I13</f>
        <v/>
      </c>
    </row>
    <row r="14">
      <c r="A14" s="12" t="n">
        <v>22</v>
      </c>
      <c r="B14" s="12" t="n">
        <v>4</v>
      </c>
      <c r="C14" s="5" t="inlineStr">
        <is>
          <t>K1</t>
        </is>
      </c>
      <c r="D14" s="13" t="inlineStr">
        <is>
          <t>K1</t>
        </is>
      </c>
      <c r="E14" s="16" t="n">
        <v>46419</v>
      </c>
      <c r="F14" s="12" t="n">
        <v>2</v>
      </c>
      <c r="G14" s="13" t="inlineStr">
        <is>
          <t>Overschrijving van Studio Kowalski bv, factuur 2027-025 (min 100 financiële korting)</t>
        </is>
      </c>
      <c r="H14" s="13" t="inlineStr">
        <is>
          <t>J2V9</t>
        </is>
      </c>
      <c r="I14" s="14" t="n">
        <v>2904</v>
      </c>
      <c r="J14" s="17">
        <f>J13+I14</f>
        <v/>
      </c>
    </row>
    <row r="15">
      <c r="A15" s="12" t="n">
        <v>23</v>
      </c>
      <c r="B15" s="12" t="n">
        <v>5</v>
      </c>
      <c r="C15" s="5" t="inlineStr">
        <is>
          <t>K1</t>
        </is>
      </c>
      <c r="D15" s="13" t="inlineStr">
        <is>
          <t>K1</t>
        </is>
      </c>
      <c r="E15" s="16" t="n">
        <v>46432</v>
      </c>
      <c r="F15" s="12" t="n">
        <v>1</v>
      </c>
      <c r="G15" s="13" t="inlineStr">
        <is>
          <t>Overschrijving van Velocity Deelfietsen bv, factuur 2027-003 - creditnota CN-2027-002</t>
        </is>
      </c>
      <c r="H15" s="13" t="inlineStr">
        <is>
          <t>J2V3, J2CV2</t>
        </is>
      </c>
      <c r="I15" s="14" t="n">
        <v>3267</v>
      </c>
      <c r="J15" s="17">
        <f>J14+I15</f>
        <v/>
      </c>
    </row>
    <row r="16">
      <c r="A16" s="12" t="n">
        <v>24</v>
      </c>
      <c r="B16" s="12" t="n">
        <v>6</v>
      </c>
      <c r="C16" s="5" t="inlineStr">
        <is>
          <t>K1</t>
        </is>
      </c>
      <c r="D16" s="13" t="inlineStr">
        <is>
          <t>K1</t>
        </is>
      </c>
      <c r="E16" s="16" t="n">
        <v>46446</v>
      </c>
      <c r="F16" s="12" t="n">
        <v>1</v>
      </c>
      <c r="G16" s="13" t="inlineStr">
        <is>
          <t>Overschrijving naar Velomax bv, factuur 2027-031 - creditnota CN-2027-009</t>
        </is>
      </c>
      <c r="H16" s="13" t="inlineStr">
        <is>
          <t>J2A7, J2CA3</t>
        </is>
      </c>
      <c r="I16" s="14" t="n">
        <v>-4356</v>
      </c>
      <c r="J16" s="17">
        <f>J15+I16</f>
        <v/>
      </c>
    </row>
    <row r="17">
      <c r="A17" s="12" t="n">
        <v>26</v>
      </c>
      <c r="B17" s="12" t="n">
        <v>7</v>
      </c>
      <c r="C17" s="5" t="inlineStr">
        <is>
          <t>K1</t>
        </is>
      </c>
      <c r="D17" s="13" t="inlineStr">
        <is>
          <t>K1</t>
        </is>
      </c>
      <c r="E17" s="16" t="n">
        <v>46447</v>
      </c>
      <c r="F17" s="12" t="n">
        <v>1</v>
      </c>
      <c r="G17" s="13" t="inlineStr">
        <is>
          <t>Afhaling wisselgeld voor de kassa</t>
        </is>
      </c>
      <c r="H17" s="13" t="inlineStr">
        <is>
          <t>J2K2</t>
        </is>
      </c>
      <c r="I17" s="14" t="n">
        <v>-300</v>
      </c>
      <c r="J17" s="17">
        <f>J16+I17</f>
        <v/>
      </c>
    </row>
    <row r="18">
      <c r="A18" s="12" t="n">
        <v>27</v>
      </c>
      <c r="B18" s="12" t="n">
        <v>8</v>
      </c>
      <c r="C18" s="5" t="inlineStr">
        <is>
          <t>K1</t>
        </is>
      </c>
      <c r="D18" s="13" t="inlineStr">
        <is>
          <t>K1</t>
        </is>
      </c>
      <c r="E18" s="16" t="n">
        <v>46466</v>
      </c>
      <c r="F18" s="12" t="n">
        <v>1</v>
      </c>
      <c r="G18" s="13" t="inlineStr">
        <is>
          <t>Overschrijving van Camping De Vlinder bv, factuur 2027-005</t>
        </is>
      </c>
      <c r="H18" s="13" t="inlineStr">
        <is>
          <t>J2V5</t>
        </is>
      </c>
      <c r="I18" s="14" t="n">
        <v>1936</v>
      </c>
      <c r="J18" s="14">
        <f>J17+I18</f>
        <v/>
      </c>
    </row>
    <row r="19">
      <c r="A19" s="12" t="n">
        <v>27</v>
      </c>
      <c r="B19" s="12" t="n">
        <v>8</v>
      </c>
      <c r="C19" s="5" t="inlineStr">
        <is>
          <t>K1</t>
        </is>
      </c>
      <c r="D19" s="13" t="inlineStr">
        <is>
          <t>K1</t>
        </is>
      </c>
      <c r="E19" s="16" t="n">
        <v>46466</v>
      </c>
      <c r="F19" s="12" t="n">
        <v>2</v>
      </c>
      <c r="G19" s="13" t="inlineStr">
        <is>
          <t>Overschrijving van Snelpost bv, factuur 2027-007 - creditnota CN-2027-003</t>
        </is>
      </c>
      <c r="H19" s="13" t="inlineStr">
        <is>
          <t>J2V7, J2CV3</t>
        </is>
      </c>
      <c r="I19" s="14" t="n">
        <v>4356</v>
      </c>
      <c r="J19" s="17">
        <f>J18+I19</f>
        <v/>
      </c>
    </row>
    <row r="20">
      <c r="A20" s="12" t="n">
        <v>18</v>
      </c>
      <c r="B20" s="12" t="n">
        <v>9</v>
      </c>
      <c r="C20" s="6" t="inlineStr">
        <is>
          <t>K2</t>
        </is>
      </c>
      <c r="D20" s="13" t="inlineStr">
        <is>
          <t>K2</t>
        </is>
      </c>
      <c r="E20" s="16" t="n">
        <v>46497</v>
      </c>
      <c r="F20" s="12" t="n">
        <v>1</v>
      </c>
      <c r="G20" s="13" t="inlineStr">
        <is>
          <t>Overschrijving naar Velomax bv, factuur 2027-198 - creditnota CN-2027-021</t>
        </is>
      </c>
      <c r="H20" s="13" t="inlineStr">
        <is>
          <t>J2Q2A1, J2Q2CA1</t>
        </is>
      </c>
      <c r="I20" s="14" t="n">
        <v>-4556</v>
      </c>
      <c r="J20" s="14">
        <f>J19+I20</f>
        <v/>
      </c>
    </row>
    <row r="21">
      <c r="A21" s="12" t="n">
        <v>18</v>
      </c>
      <c r="B21" s="12" t="n">
        <v>9</v>
      </c>
      <c r="C21" s="6" t="inlineStr">
        <is>
          <t>K2</t>
        </is>
      </c>
      <c r="D21" s="13" t="inlineStr">
        <is>
          <t>K2</t>
        </is>
      </c>
      <c r="E21" s="16" t="n">
        <v>46497</v>
      </c>
      <c r="F21" s="12" t="n">
        <v>2</v>
      </c>
      <c r="G21" s="13" t="inlineStr">
        <is>
          <t>Overschrijving naar Stroomkracht nv, factuur SK-27-1104</t>
        </is>
      </c>
      <c r="H21" s="13" t="inlineStr">
        <is>
          <t>J2Q2A2</t>
        </is>
      </c>
      <c r="I21" s="14" t="n">
        <v>-726</v>
      </c>
      <c r="J21" s="17">
        <f>J20+I21</f>
        <v/>
      </c>
    </row>
    <row r="22">
      <c r="A22" s="12" t="n">
        <v>19</v>
      </c>
      <c r="B22" s="12" t="n">
        <v>10</v>
      </c>
      <c r="C22" s="6" t="inlineStr">
        <is>
          <t>K2</t>
        </is>
      </c>
      <c r="D22" s="13" t="inlineStr">
        <is>
          <t>K2</t>
        </is>
      </c>
      <c r="E22" s="16" t="n">
        <v>46508</v>
      </c>
      <c r="F22" s="12" t="n">
        <v>1</v>
      </c>
      <c r="G22" s="13" t="inlineStr">
        <is>
          <t>Aflossing lening nr. 2027-0042: kapitaal 1.500 + intrest 300</t>
        </is>
      </c>
      <c r="H22" s="13" t="n"/>
      <c r="I22" s="14" t="n">
        <v>-1800</v>
      </c>
      <c r="J22" s="17">
        <f>J21+I22</f>
        <v/>
      </c>
    </row>
    <row r="23">
      <c r="A23" s="12" t="n">
        <v>20</v>
      </c>
      <c r="B23" s="12" t="n">
        <v>11</v>
      </c>
      <c r="C23" s="6" t="inlineStr">
        <is>
          <t>K2</t>
        </is>
      </c>
      <c r="D23" s="13" t="inlineStr">
        <is>
          <t>K2</t>
        </is>
      </c>
      <c r="E23" s="16" t="n">
        <v>46522</v>
      </c>
      <c r="F23" s="12" t="n">
        <v>1</v>
      </c>
      <c r="G23" s="13" t="inlineStr">
        <is>
          <t>Overschrijving van Woonzorgcentrum Zonnehof vzw, factuur 2027-009</t>
        </is>
      </c>
      <c r="H23" s="13" t="inlineStr">
        <is>
          <t>J2Q2V1</t>
        </is>
      </c>
      <c r="I23" s="14" t="n">
        <v>5082</v>
      </c>
      <c r="J23" s="14">
        <f>J22+I23</f>
        <v/>
      </c>
    </row>
    <row r="24">
      <c r="A24" s="12" t="n">
        <v>20</v>
      </c>
      <c r="B24" s="12" t="n">
        <v>11</v>
      </c>
      <c r="C24" s="6" t="inlineStr">
        <is>
          <t>K2</t>
        </is>
      </c>
      <c r="D24" s="13" t="inlineStr">
        <is>
          <t>K2</t>
        </is>
      </c>
      <c r="E24" s="16" t="n">
        <v>46522</v>
      </c>
      <c r="F24" s="12" t="n">
        <v>2</v>
      </c>
      <c r="G24" s="13" t="inlineStr">
        <is>
          <t>Overschrijving van Snelpost bv, factuur 2027-010</t>
        </is>
      </c>
      <c r="H24" s="13" t="inlineStr">
        <is>
          <t>J2Q2V2</t>
        </is>
      </c>
      <c r="I24" s="14" t="n">
        <v>6534</v>
      </c>
      <c r="J24" s="14">
        <f>J23+I24</f>
        <v/>
      </c>
    </row>
    <row r="25">
      <c r="A25" s="12" t="n">
        <v>20</v>
      </c>
      <c r="B25" s="12" t="n">
        <v>11</v>
      </c>
      <c r="C25" s="6" t="inlineStr">
        <is>
          <t>K2</t>
        </is>
      </c>
      <c r="D25" s="13" t="inlineStr">
        <is>
          <t>K2</t>
        </is>
      </c>
      <c r="E25" s="16" t="n">
        <v>46522</v>
      </c>
      <c r="F25" s="12" t="n">
        <v>3</v>
      </c>
      <c r="G25" s="13" t="inlineStr">
        <is>
          <t>Overschrijving naar HelmHuis bv, factuur HH-27-102</t>
        </is>
      </c>
      <c r="H25" s="13" t="inlineStr">
        <is>
          <t>J2Q2A4</t>
        </is>
      </c>
      <c r="I25" s="14" t="n">
        <v>-1331</v>
      </c>
      <c r="J25" s="14">
        <f>J24+I25</f>
        <v/>
      </c>
    </row>
    <row r="26">
      <c r="A26" s="12" t="n">
        <v>20</v>
      </c>
      <c r="B26" s="12" t="n">
        <v>11</v>
      </c>
      <c r="C26" s="6" t="inlineStr">
        <is>
          <t>K2</t>
        </is>
      </c>
      <c r="D26" s="13" t="inlineStr">
        <is>
          <t>K2</t>
        </is>
      </c>
      <c r="E26" s="16" t="n">
        <v>46522</v>
      </c>
      <c r="F26" s="12" t="n">
        <v>4</v>
      </c>
      <c r="G26" s="13" t="inlineStr">
        <is>
          <t>Overschrijving van Studio Kowalski bv, factuur 2027-011</t>
        </is>
      </c>
      <c r="H26" s="13" t="inlineStr">
        <is>
          <t>J2Q2V3</t>
        </is>
      </c>
      <c r="I26" s="14" t="n">
        <v>4961</v>
      </c>
      <c r="J26" s="14">
        <f>J25+I26</f>
        <v/>
      </c>
    </row>
    <row r="27">
      <c r="A27" s="12" t="n">
        <v>20</v>
      </c>
      <c r="B27" s="12" t="n">
        <v>11</v>
      </c>
      <c r="C27" s="6" t="inlineStr">
        <is>
          <t>K2</t>
        </is>
      </c>
      <c r="D27" s="13" t="inlineStr">
        <is>
          <t>K2</t>
        </is>
      </c>
      <c r="E27" s="16" t="n">
        <v>46522</v>
      </c>
      <c r="F27" s="12" t="n">
        <v>5</v>
      </c>
      <c r="G27" s="13" t="inlineStr">
        <is>
          <t>Overschrijving naar Velomax bv, factuur 2027-244 (min 100 financiële korting)</t>
        </is>
      </c>
      <c r="H27" s="13" t="inlineStr">
        <is>
          <t>J2Q2A7</t>
        </is>
      </c>
      <c r="I27" s="14" t="n">
        <v>-2299</v>
      </c>
      <c r="J27" s="17">
        <f>J26+I27</f>
        <v/>
      </c>
    </row>
    <row r="28">
      <c r="A28" s="12" t="n">
        <v>21</v>
      </c>
      <c r="B28" s="12" t="n">
        <v>12</v>
      </c>
      <c r="C28" s="6" t="inlineStr">
        <is>
          <t>K2</t>
        </is>
      </c>
      <c r="D28" s="13" t="inlineStr">
        <is>
          <t>K2</t>
        </is>
      </c>
      <c r="E28" s="16" t="n">
        <v>46548</v>
      </c>
      <c r="F28" s="12" t="n">
        <v>1</v>
      </c>
      <c r="G28" s="13" t="inlineStr">
        <is>
          <t>Overschrijving naar Velomax bv, factuur 2027-260 - creditnota CN-2027-030</t>
        </is>
      </c>
      <c r="H28" s="13" t="inlineStr">
        <is>
          <t>J2Q2A5, J2Q2CA2</t>
        </is>
      </c>
      <c r="I28" s="14" t="n">
        <v>-3288</v>
      </c>
      <c r="J28" s="14">
        <f>J27+I28</f>
        <v/>
      </c>
    </row>
    <row r="29">
      <c r="A29" s="12" t="n">
        <v>21</v>
      </c>
      <c r="B29" s="12" t="n">
        <v>12</v>
      </c>
      <c r="C29" s="6" t="inlineStr">
        <is>
          <t>K2</t>
        </is>
      </c>
      <c r="D29" s="13" t="inlineStr">
        <is>
          <t>K2</t>
        </is>
      </c>
      <c r="E29" s="16" t="n">
        <v>46548</v>
      </c>
      <c r="F29" s="12" t="n">
        <v>2</v>
      </c>
      <c r="G29" s="13" t="inlineStr">
        <is>
          <t>Bancontact-ontvangsten 05/06/2027</t>
        </is>
      </c>
      <c r="H29" s="13" t="inlineStr">
        <is>
          <t>J2Q2D1</t>
        </is>
      </c>
      <c r="I29" s="14" t="n">
        <v>2000</v>
      </c>
      <c r="J29" s="14">
        <f>J28+I29</f>
        <v/>
      </c>
    </row>
    <row r="30">
      <c r="A30" s="12" t="n">
        <v>21</v>
      </c>
      <c r="B30" s="12" t="n">
        <v>12</v>
      </c>
      <c r="C30" s="6" t="inlineStr">
        <is>
          <t>K2</t>
        </is>
      </c>
      <c r="D30" s="13" t="inlineStr">
        <is>
          <t>K2</t>
        </is>
      </c>
      <c r="E30" s="16" t="n">
        <v>46548</v>
      </c>
      <c r="F30" s="12" t="n">
        <v>3</v>
      </c>
      <c r="G30" s="13" t="inlineStr">
        <is>
          <t>Overschrijving van Woonzorgcentrum Zonnehof vzw, factuur 2027-027</t>
        </is>
      </c>
      <c r="H30" s="13" t="inlineStr">
        <is>
          <t>J2Q2V7</t>
        </is>
      </c>
      <c r="I30" s="14" t="n">
        <v>3004</v>
      </c>
      <c r="J30" s="17">
        <f>J29+I30</f>
        <v/>
      </c>
    </row>
    <row r="31">
      <c r="A31" s="12" t="n">
        <v>23</v>
      </c>
      <c r="B31" s="12" t="n">
        <v>13</v>
      </c>
      <c r="C31" s="6" t="inlineStr">
        <is>
          <t>K2</t>
        </is>
      </c>
      <c r="D31" s="13" t="inlineStr">
        <is>
          <t>K2</t>
        </is>
      </c>
      <c r="E31" s="16" t="n">
        <v>46563</v>
      </c>
      <c r="F31" s="12" t="n">
        <v>1</v>
      </c>
      <c r="G31" s="13" t="inlineStr">
        <is>
          <t>Storting contanten</t>
        </is>
      </c>
      <c r="H31" s="13" t="inlineStr">
        <is>
          <t>J2Q2K1</t>
        </is>
      </c>
      <c r="I31" s="14" t="n">
        <v>3000</v>
      </c>
      <c r="J31" s="14">
        <f>J30+I31</f>
        <v/>
      </c>
    </row>
    <row r="32">
      <c r="A32" s="12" t="n">
        <v>23</v>
      </c>
      <c r="B32" s="12" t="n">
        <v>13</v>
      </c>
      <c r="C32" s="6" t="inlineStr">
        <is>
          <t>K2</t>
        </is>
      </c>
      <c r="D32" s="13" t="inlineStr">
        <is>
          <t>K2</t>
        </is>
      </c>
      <c r="E32" s="16" t="n">
        <v>46563</v>
      </c>
      <c r="F32" s="12" t="n">
        <v>2</v>
      </c>
      <c r="G32" s="13" t="inlineStr">
        <is>
          <t>Overschrijving van Bouwbedrijf Janssens &amp; Zonen bv, factuur 2027-013 - creditnota CN-2027-004 - creditnota CN-2027-005</t>
        </is>
      </c>
      <c r="H32" s="13" t="inlineStr">
        <is>
          <t>J2Q2V5, J2Q2CV1, J2Q2CV2</t>
        </is>
      </c>
      <c r="I32" s="14" t="n">
        <v>5808</v>
      </c>
      <c r="J32" s="17">
        <f>J31+I32</f>
        <v/>
      </c>
    </row>
    <row r="33">
      <c r="A33" s="12" t="n">
        <v>16</v>
      </c>
      <c r="B33" s="12" t="n">
        <v>14</v>
      </c>
      <c r="C33" s="7" t="inlineStr">
        <is>
          <t>K3</t>
        </is>
      </c>
      <c r="D33" s="13" t="inlineStr">
        <is>
          <t>K3</t>
        </is>
      </c>
      <c r="E33" s="16" t="n">
        <v>46588</v>
      </c>
      <c r="F33" s="12" t="n">
        <v>1</v>
      </c>
      <c r="G33" s="13" t="inlineStr">
        <is>
          <t>Betaling btw aan FOD Financiën</t>
        </is>
      </c>
      <c r="H33" s="13" t="inlineStr">
        <is>
          <t>J2BTW2</t>
        </is>
      </c>
      <c r="I33" s="14" t="n">
        <v>-1449</v>
      </c>
      <c r="J33" s="14">
        <f>J32+I33</f>
        <v/>
      </c>
    </row>
    <row r="34">
      <c r="A34" s="12" t="n">
        <v>16</v>
      </c>
      <c r="B34" s="12" t="n">
        <v>14</v>
      </c>
      <c r="C34" s="7" t="inlineStr">
        <is>
          <t>K3</t>
        </is>
      </c>
      <c r="D34" s="13" t="inlineStr">
        <is>
          <t>K3</t>
        </is>
      </c>
      <c r="E34" s="16" t="n">
        <v>46588</v>
      </c>
      <c r="F34" s="12" t="n">
        <v>2</v>
      </c>
      <c r="G34" s="13" t="inlineStr">
        <is>
          <t>Overschrijving naar Velomax bv, factuur 2027-401 - creditnota CN-2027-044</t>
        </is>
      </c>
      <c r="H34" s="13" t="inlineStr">
        <is>
          <t>J2Q3A1, J2Q3CA1</t>
        </is>
      </c>
      <c r="I34" s="14" t="n">
        <v>-4356</v>
      </c>
      <c r="J34" s="14">
        <f>J33+I34</f>
        <v/>
      </c>
    </row>
    <row r="35">
      <c r="A35" s="12" t="n">
        <v>16</v>
      </c>
      <c r="B35" s="12" t="n">
        <v>14</v>
      </c>
      <c r="C35" s="7" t="inlineStr">
        <is>
          <t>K3</t>
        </is>
      </c>
      <c r="D35" s="13" t="inlineStr">
        <is>
          <t>K3</t>
        </is>
      </c>
      <c r="E35" s="16" t="n">
        <v>46588</v>
      </c>
      <c r="F35" s="12" t="n">
        <v>3</v>
      </c>
      <c r="G35" s="13" t="inlineStr">
        <is>
          <t>Overschrijving naar Garage Moreau bv, factuur GM-2027-119</t>
        </is>
      </c>
      <c r="H35" s="13" t="inlineStr">
        <is>
          <t>J2A2</t>
        </is>
      </c>
      <c r="I35" s="14" t="n">
        <v>-29040</v>
      </c>
      <c r="J35" s="14">
        <f>J34+I35</f>
        <v/>
      </c>
    </row>
    <row r="36">
      <c r="A36" s="12" t="n">
        <v>16</v>
      </c>
      <c r="B36" s="12" t="n">
        <v>14</v>
      </c>
      <c r="C36" s="7" t="inlineStr">
        <is>
          <t>K3</t>
        </is>
      </c>
      <c r="D36" s="13" t="inlineStr">
        <is>
          <t>K3</t>
        </is>
      </c>
      <c r="E36" s="16" t="n">
        <v>46588</v>
      </c>
      <c r="F36" s="12" t="n">
        <v>4</v>
      </c>
      <c r="G36" s="13" t="inlineStr">
        <is>
          <t>Overschrijving van Hotel De Linde bv, factuur 2027-015 - creditnota CN-2027-006</t>
        </is>
      </c>
      <c r="H36" s="13" t="inlineStr">
        <is>
          <t>J2Q3V1, J2Q3CV1</t>
        </is>
      </c>
      <c r="I36" s="14" t="n">
        <v>2299</v>
      </c>
      <c r="J36" s="17">
        <f>J35+I36</f>
        <v/>
      </c>
    </row>
    <row r="37">
      <c r="A37" s="12" t="n">
        <v>17</v>
      </c>
      <c r="B37" s="12" t="n">
        <v>15</v>
      </c>
      <c r="C37" s="7" t="inlineStr">
        <is>
          <t>K3</t>
        </is>
      </c>
      <c r="D37" s="13" t="inlineStr">
        <is>
          <t>K3</t>
        </is>
      </c>
      <c r="E37" s="16" t="n">
        <v>46600</v>
      </c>
      <c r="F37" s="12" t="n">
        <v>1</v>
      </c>
      <c r="G37" s="13" t="inlineStr">
        <is>
          <t>Aflossing lening nr. 2027-0042: kapitaal 1.500 + intrest 285</t>
        </is>
      </c>
      <c r="H37" s="13" t="n"/>
      <c r="I37" s="14" t="n">
        <v>-1785</v>
      </c>
      <c r="J37" s="17">
        <f>J36+I37</f>
        <v/>
      </c>
    </row>
    <row r="38">
      <c r="A38" s="12" t="n">
        <v>18</v>
      </c>
      <c r="B38" s="12" t="n">
        <v>16</v>
      </c>
      <c r="C38" s="7" t="inlineStr">
        <is>
          <t>K3</t>
        </is>
      </c>
      <c r="D38" s="13" t="inlineStr">
        <is>
          <t>K3</t>
        </is>
      </c>
      <c r="E38" s="16" t="n">
        <v>46617</v>
      </c>
      <c r="F38" s="12" t="n">
        <v>1</v>
      </c>
      <c r="G38" s="13" t="inlineStr">
        <is>
          <t>Overschrijving van Camping De Vlinder bv, factuur 2027-016</t>
        </is>
      </c>
      <c r="H38" s="13" t="inlineStr">
        <is>
          <t>J2Q3V2</t>
        </is>
      </c>
      <c r="I38" s="14" t="n">
        <v>4627</v>
      </c>
      <c r="J38" s="14">
        <f>J37+I38</f>
        <v/>
      </c>
    </row>
    <row r="39">
      <c r="A39" s="12" t="n">
        <v>18</v>
      </c>
      <c r="B39" s="12" t="n">
        <v>16</v>
      </c>
      <c r="C39" s="7" t="inlineStr">
        <is>
          <t>K3</t>
        </is>
      </c>
      <c r="D39" s="13" t="inlineStr">
        <is>
          <t>K3</t>
        </is>
      </c>
      <c r="E39" s="16" t="n">
        <v>46617</v>
      </c>
      <c r="F39" s="12" t="n">
        <v>2</v>
      </c>
      <c r="G39" s="13" t="inlineStr">
        <is>
          <t>Overschrijving naar Spaakwerk bv, factuur SW-2027-301</t>
        </is>
      </c>
      <c r="H39" s="13" t="inlineStr">
        <is>
          <t>J2Q3A4</t>
        </is>
      </c>
      <c r="I39" s="14" t="n">
        <v>-655</v>
      </c>
      <c r="J39" s="14">
        <f>J38+I39</f>
        <v/>
      </c>
    </row>
    <row r="40">
      <c r="A40" s="12" t="n">
        <v>18</v>
      </c>
      <c r="B40" s="12" t="n">
        <v>16</v>
      </c>
      <c r="C40" s="7" t="inlineStr">
        <is>
          <t>K3</t>
        </is>
      </c>
      <c r="D40" s="13" t="inlineStr">
        <is>
          <t>K3</t>
        </is>
      </c>
      <c r="E40" s="16" t="n">
        <v>46617</v>
      </c>
      <c r="F40" s="12" t="n">
        <v>3</v>
      </c>
      <c r="G40" s="13" t="inlineStr">
        <is>
          <t>Overschrijving naar Velomax bv, factuur 2027-455 (min 100 financiële korting)</t>
        </is>
      </c>
      <c r="H40" s="13" t="inlineStr">
        <is>
          <t>J2Q3A6</t>
        </is>
      </c>
      <c r="I40" s="14" t="n">
        <v>-2299</v>
      </c>
      <c r="J40" s="17">
        <f>J39+I40</f>
        <v/>
      </c>
    </row>
    <row r="41">
      <c r="A41" s="12" t="n">
        <v>19</v>
      </c>
      <c r="B41" s="12" t="n">
        <v>17</v>
      </c>
      <c r="C41" s="7" t="inlineStr">
        <is>
          <t>K3</t>
        </is>
      </c>
      <c r="D41" s="13" t="inlineStr">
        <is>
          <t>K3</t>
        </is>
      </c>
      <c r="E41" s="16" t="n">
        <v>46640</v>
      </c>
      <c r="F41" s="12" t="n">
        <v>1</v>
      </c>
      <c r="G41" s="13" t="inlineStr">
        <is>
          <t>Terugbetaling door Spaakwerk bv, creditnota SW-CN-2027-019</t>
        </is>
      </c>
      <c r="H41" s="13" t="inlineStr">
        <is>
          <t>J2Q3CA2</t>
        </is>
      </c>
      <c r="I41" s="14" t="n">
        <v>171</v>
      </c>
      <c r="J41" s="14">
        <f>J40+I41</f>
        <v/>
      </c>
    </row>
    <row r="42">
      <c r="A42" s="12" t="n">
        <v>19</v>
      </c>
      <c r="B42" s="12" t="n">
        <v>17</v>
      </c>
      <c r="C42" s="7" t="inlineStr">
        <is>
          <t>K3</t>
        </is>
      </c>
      <c r="D42" s="13" t="inlineStr">
        <is>
          <t>K3</t>
        </is>
      </c>
      <c r="E42" s="16" t="n">
        <v>46640</v>
      </c>
      <c r="F42" s="12" t="n">
        <v>2</v>
      </c>
      <c r="G42" s="13" t="inlineStr">
        <is>
          <t>Overschrijving van Snelpost bv, factuur 2027-018</t>
        </is>
      </c>
      <c r="H42" s="13" t="inlineStr">
        <is>
          <t>J2Q3V4</t>
        </is>
      </c>
      <c r="I42" s="14" t="n">
        <v>1272</v>
      </c>
      <c r="J42" s="14">
        <f>J41+I42</f>
        <v/>
      </c>
    </row>
    <row r="43">
      <c r="A43" s="12" t="n">
        <v>19</v>
      </c>
      <c r="B43" s="12" t="n">
        <v>17</v>
      </c>
      <c r="C43" s="7" t="inlineStr">
        <is>
          <t>K3</t>
        </is>
      </c>
      <c r="D43" s="13" t="inlineStr">
        <is>
          <t>K3</t>
        </is>
      </c>
      <c r="E43" s="16" t="n">
        <v>46640</v>
      </c>
      <c r="F43" s="12" t="n">
        <v>3</v>
      </c>
      <c r="G43" s="13" t="inlineStr">
        <is>
          <t>Overschrijving naar Velomax bv, factuur 2027-488</t>
        </is>
      </c>
      <c r="H43" s="13" t="inlineStr">
        <is>
          <t>J2Q3A5</t>
        </is>
      </c>
      <c r="I43" s="14" t="n">
        <v>-2449</v>
      </c>
      <c r="J43" s="14">
        <f>J42+I43</f>
        <v/>
      </c>
    </row>
    <row r="44">
      <c r="A44" s="12" t="n">
        <v>19</v>
      </c>
      <c r="B44" s="12" t="n">
        <v>17</v>
      </c>
      <c r="C44" s="7" t="inlineStr">
        <is>
          <t>K3</t>
        </is>
      </c>
      <c r="D44" s="13" t="inlineStr">
        <is>
          <t>K3</t>
        </is>
      </c>
      <c r="E44" s="16" t="n">
        <v>46640</v>
      </c>
      <c r="F44" s="12" t="n">
        <v>4</v>
      </c>
      <c r="G44" s="13" t="inlineStr">
        <is>
          <t>Overschrijving van Camping De Vlinder bv, factuur 2027-028</t>
        </is>
      </c>
      <c r="H44" s="13" t="inlineStr">
        <is>
          <t>J2Q3V6</t>
        </is>
      </c>
      <c r="I44" s="14" t="n">
        <v>2399</v>
      </c>
      <c r="J44" s="17">
        <f>J43+I44</f>
        <v/>
      </c>
    </row>
    <row r="45">
      <c r="A45" s="12" t="n">
        <v>20</v>
      </c>
      <c r="B45" s="12" t="n">
        <v>18</v>
      </c>
      <c r="C45" s="7" t="inlineStr">
        <is>
          <t>K3</t>
        </is>
      </c>
      <c r="D45" s="13" t="inlineStr">
        <is>
          <t>K3</t>
        </is>
      </c>
      <c r="E45" s="16" t="n">
        <v>46655</v>
      </c>
      <c r="F45" s="12" t="n">
        <v>1</v>
      </c>
      <c r="G45" s="13" t="inlineStr">
        <is>
          <t>Overschrijving van Brouwerij Van Acker bv, factuur 2027-019</t>
        </is>
      </c>
      <c r="H45" s="13" t="inlineStr">
        <is>
          <t>J2Q3V5</t>
        </is>
      </c>
      <c r="I45" s="14" t="n">
        <v>6655</v>
      </c>
      <c r="J45" s="14">
        <f>J44+I45</f>
        <v/>
      </c>
    </row>
    <row r="46">
      <c r="A46" s="12" t="n">
        <v>20</v>
      </c>
      <c r="B46" s="12" t="n">
        <v>18</v>
      </c>
      <c r="C46" s="7" t="inlineStr">
        <is>
          <t>K3</t>
        </is>
      </c>
      <c r="D46" s="13" t="inlineStr">
        <is>
          <t>K3</t>
        </is>
      </c>
      <c r="E46" s="16" t="n">
        <v>46655</v>
      </c>
      <c r="F46" s="12" t="n">
        <v>2</v>
      </c>
      <c r="G46" s="13" t="inlineStr">
        <is>
          <t>Terugbetaling aan Camping De Vlinder bv, creditnota CN-2027-007</t>
        </is>
      </c>
      <c r="H46" s="13" t="inlineStr">
        <is>
          <t>J2Q3CV2</t>
        </is>
      </c>
      <c r="I46" s="14" t="n">
        <v>-150</v>
      </c>
      <c r="J46" s="17">
        <f>J45+I46</f>
        <v/>
      </c>
    </row>
    <row r="47">
      <c r="A47" s="12" t="n">
        <v>7</v>
      </c>
      <c r="B47" s="12" t="n">
        <v>19</v>
      </c>
      <c r="C47" s="8" t="inlineStr">
        <is>
          <t>K4</t>
        </is>
      </c>
      <c r="D47" s="13" t="inlineStr">
        <is>
          <t>K4</t>
        </is>
      </c>
      <c r="E47" s="16" t="n">
        <v>46680</v>
      </c>
      <c r="F47" s="12" t="n">
        <v>1</v>
      </c>
      <c r="G47" s="13" t="inlineStr">
        <is>
          <t>Overschrijving naar Velomax bv, factuur 2027-702 - creditnota CN-2027-061</t>
        </is>
      </c>
      <c r="H47" s="13" t="inlineStr">
        <is>
          <t>J2Q4A1, J2Q4CA1</t>
        </is>
      </c>
      <c r="I47" s="14" t="n">
        <v>-10001</v>
      </c>
      <c r="J47" s="14">
        <f>J46+I47</f>
        <v/>
      </c>
    </row>
    <row r="48">
      <c r="A48" s="12" t="n">
        <v>7</v>
      </c>
      <c r="B48" s="12" t="n">
        <v>19</v>
      </c>
      <c r="C48" s="8" t="inlineStr">
        <is>
          <t>K4</t>
        </is>
      </c>
      <c r="D48" s="13" t="inlineStr">
        <is>
          <t>K4</t>
        </is>
      </c>
      <c r="E48" s="16" t="n">
        <v>46680</v>
      </c>
      <c r="F48" s="12" t="n">
        <v>2</v>
      </c>
      <c r="G48" s="13" t="inlineStr">
        <is>
          <t>Overschrijving naar Stroomkracht nv, factuur SK-27-3310</t>
        </is>
      </c>
      <c r="H48" s="13" t="inlineStr">
        <is>
          <t>J2Q4A2</t>
        </is>
      </c>
      <c r="I48" s="14" t="n">
        <v>-847</v>
      </c>
      <c r="J48" s="14">
        <f>J47+I48</f>
        <v/>
      </c>
    </row>
    <row r="49">
      <c r="A49" s="12" t="n">
        <v>7</v>
      </c>
      <c r="B49" s="12" t="n">
        <v>19</v>
      </c>
      <c r="C49" s="8" t="inlineStr">
        <is>
          <t>K4</t>
        </is>
      </c>
      <c r="D49" s="13" t="inlineStr">
        <is>
          <t>K4</t>
        </is>
      </c>
      <c r="E49" s="16" t="n">
        <v>46680</v>
      </c>
      <c r="F49" s="12" t="n">
        <v>3</v>
      </c>
      <c r="G49" s="13" t="inlineStr">
        <is>
          <t>Overschrijving van Velocity Deelfietsen bv, factuur 2027-020 - creditnota CN-2027-008</t>
        </is>
      </c>
      <c r="H49" s="13" t="inlineStr">
        <is>
          <t>J2Q4V1, J2Q4CV1</t>
        </is>
      </c>
      <c r="I49" s="14" t="n">
        <v>3417</v>
      </c>
      <c r="J49" s="17">
        <f>J48+I49</f>
        <v/>
      </c>
    </row>
    <row r="50">
      <c r="A50" s="12" t="n">
        <v>10</v>
      </c>
      <c r="B50" s="12" t="n">
        <v>20</v>
      </c>
      <c r="C50" s="8" t="inlineStr">
        <is>
          <t>K4</t>
        </is>
      </c>
      <c r="D50" s="13" t="inlineStr">
        <is>
          <t>K4</t>
        </is>
      </c>
      <c r="E50" s="16" t="n">
        <v>46692</v>
      </c>
      <c r="F50" s="12" t="n">
        <v>1</v>
      </c>
      <c r="G50" s="13" t="inlineStr">
        <is>
          <t>Aflossing lening nr. 2027-0042: kapitaal 1.500 + intrest 270</t>
        </is>
      </c>
      <c r="H50" s="13" t="n"/>
      <c r="I50" s="14" t="n">
        <v>-1770</v>
      </c>
      <c r="J50" s="17">
        <f>J49+I50</f>
        <v/>
      </c>
    </row>
    <row r="51">
      <c r="A51" s="12" t="n">
        <v>15</v>
      </c>
      <c r="B51" s="12" t="n">
        <v>21</v>
      </c>
      <c r="C51" s="8" t="inlineStr">
        <is>
          <t>K4</t>
        </is>
      </c>
      <c r="D51" s="13" t="inlineStr">
        <is>
          <t>K4</t>
        </is>
      </c>
      <c r="E51" s="16" t="n">
        <v>46705</v>
      </c>
      <c r="F51" s="12" t="n">
        <v>1</v>
      </c>
      <c r="G51" s="13" t="inlineStr">
        <is>
          <t>Terugbetaling door Velomax bv, creditnota CN-2027-070</t>
        </is>
      </c>
      <c r="H51" s="13" t="inlineStr">
        <is>
          <t>J2Q4CA2</t>
        </is>
      </c>
      <c r="I51" s="14" t="n">
        <v>200</v>
      </c>
      <c r="J51" s="14">
        <f>J50+I51</f>
        <v/>
      </c>
    </row>
    <row r="52">
      <c r="A52" s="12" t="n">
        <v>15</v>
      </c>
      <c r="B52" s="12" t="n">
        <v>21</v>
      </c>
      <c r="C52" s="8" t="inlineStr">
        <is>
          <t>K4</t>
        </is>
      </c>
      <c r="D52" s="13" t="inlineStr">
        <is>
          <t>K4</t>
        </is>
      </c>
      <c r="E52" s="16" t="n">
        <v>46705</v>
      </c>
      <c r="F52" s="12" t="n">
        <v>2</v>
      </c>
      <c r="G52" s="13" t="inlineStr">
        <is>
          <t>Overschrijving naar HelmHuis bv, factuur HH-27-260</t>
        </is>
      </c>
      <c r="H52" s="13" t="inlineStr">
        <is>
          <t>J2Q4A3</t>
        </is>
      </c>
      <c r="I52" s="14" t="n">
        <v>-1331</v>
      </c>
      <c r="J52" s="14">
        <f>J51+I52</f>
        <v/>
      </c>
    </row>
    <row r="53">
      <c r="A53" s="12" t="n">
        <v>15</v>
      </c>
      <c r="B53" s="12" t="n">
        <v>21</v>
      </c>
      <c r="C53" s="8" t="inlineStr">
        <is>
          <t>K4</t>
        </is>
      </c>
      <c r="D53" s="13" t="inlineStr">
        <is>
          <t>K4</t>
        </is>
      </c>
      <c r="E53" s="16" t="n">
        <v>46705</v>
      </c>
      <c r="F53" s="12" t="n">
        <v>3</v>
      </c>
      <c r="G53" s="13" t="inlineStr">
        <is>
          <t>Overschrijving van Woonzorgcentrum Zonnehof vzw, factuur 2027-021</t>
        </is>
      </c>
      <c r="H53" s="13" t="inlineStr">
        <is>
          <t>J2Q4V2</t>
        </is>
      </c>
      <c r="I53" s="14" t="n">
        <v>5203</v>
      </c>
      <c r="J53" s="14">
        <f>J52+I53</f>
        <v/>
      </c>
    </row>
    <row r="54">
      <c r="A54" s="12" t="n">
        <v>15</v>
      </c>
      <c r="B54" s="12" t="n">
        <v>21</v>
      </c>
      <c r="C54" s="8" t="inlineStr">
        <is>
          <t>K4</t>
        </is>
      </c>
      <c r="D54" s="13" t="inlineStr">
        <is>
          <t>K4</t>
        </is>
      </c>
      <c r="E54" s="16" t="n">
        <v>46705</v>
      </c>
      <c r="F54" s="12" t="n">
        <v>4</v>
      </c>
      <c r="G54" s="13" t="inlineStr">
        <is>
          <t>Overschrijving van Architectenbureau Dubois srl, factuur 2027-022</t>
        </is>
      </c>
      <c r="H54" s="13" t="inlineStr">
        <is>
          <t>J2Q4V3</t>
        </is>
      </c>
      <c r="I54" s="14" t="n">
        <v>4961</v>
      </c>
      <c r="J54" s="14">
        <f>J53+I54</f>
        <v/>
      </c>
    </row>
    <row r="55">
      <c r="A55" s="12" t="n">
        <v>15</v>
      </c>
      <c r="B55" s="12" t="n">
        <v>21</v>
      </c>
      <c r="C55" s="8" t="inlineStr">
        <is>
          <t>K4</t>
        </is>
      </c>
      <c r="D55" s="13" t="inlineStr">
        <is>
          <t>K4</t>
        </is>
      </c>
      <c r="E55" s="16" t="n">
        <v>46705</v>
      </c>
      <c r="F55" s="12" t="n">
        <v>5</v>
      </c>
      <c r="G55" s="13" t="inlineStr">
        <is>
          <t>Terugbetaling aan Velocity Deelfietsen bv, creditnota CN-2027-009</t>
        </is>
      </c>
      <c r="H55" s="13" t="inlineStr">
        <is>
          <t>J2Q4CV2</t>
        </is>
      </c>
      <c r="I55" s="14" t="n">
        <v>-150</v>
      </c>
      <c r="J55" s="14">
        <f>J54+I55</f>
        <v/>
      </c>
    </row>
    <row r="56">
      <c r="A56" s="12" t="n">
        <v>15</v>
      </c>
      <c r="B56" s="12" t="n">
        <v>21</v>
      </c>
      <c r="C56" s="8" t="inlineStr">
        <is>
          <t>K4</t>
        </is>
      </c>
      <c r="D56" s="13" t="inlineStr">
        <is>
          <t>K4</t>
        </is>
      </c>
      <c r="E56" s="16" t="n">
        <v>46705</v>
      </c>
      <c r="F56" s="12" t="n">
        <v>6</v>
      </c>
      <c r="G56" s="13" t="inlineStr">
        <is>
          <t>Overschrijving naar Velomax bv, factuur 2027-811 (min 100 financiële korting)</t>
        </is>
      </c>
      <c r="H56" s="13" t="inlineStr">
        <is>
          <t>J2Q4A6</t>
        </is>
      </c>
      <c r="I56" s="14" t="n">
        <v>-2904</v>
      </c>
      <c r="J56" s="17">
        <f>J55+I56</f>
        <v/>
      </c>
    </row>
    <row r="57">
      <c r="A57" s="12" t="n">
        <v>18</v>
      </c>
      <c r="B57" s="12" t="n">
        <v>22</v>
      </c>
      <c r="C57" s="8" t="inlineStr">
        <is>
          <t>K4</t>
        </is>
      </c>
      <c r="D57" s="13" t="inlineStr">
        <is>
          <t>K4</t>
        </is>
      </c>
      <c r="E57" s="16" t="n">
        <v>46726</v>
      </c>
      <c r="F57" s="12" t="n">
        <v>1</v>
      </c>
      <c r="G57" s="13" t="inlineStr">
        <is>
          <t>Overschrijving naar Velomax bv, factuur 2027-766</t>
        </is>
      </c>
      <c r="H57" s="13" t="inlineStr">
        <is>
          <t>J2Q4A4</t>
        </is>
      </c>
      <c r="I57" s="14" t="n">
        <v>-3388</v>
      </c>
      <c r="J57" s="14">
        <f>J56+I57</f>
        <v/>
      </c>
    </row>
    <row r="58">
      <c r="A58" s="12" t="n">
        <v>18</v>
      </c>
      <c r="B58" s="12" t="n">
        <v>22</v>
      </c>
      <c r="C58" s="8" t="inlineStr">
        <is>
          <t>K4</t>
        </is>
      </c>
      <c r="D58" s="13" t="inlineStr">
        <is>
          <t>K4</t>
        </is>
      </c>
      <c r="E58" s="16" t="n">
        <v>46726</v>
      </c>
      <c r="F58" s="12" t="n">
        <v>2</v>
      </c>
      <c r="G58" s="13" t="inlineStr">
        <is>
          <t>Overschrijving van Velocity Deelfietsen bv, factuur 2027-029</t>
        </is>
      </c>
      <c r="H58" s="13" t="inlineStr">
        <is>
          <t>J2Q4V6</t>
        </is>
      </c>
      <c r="I58" s="14" t="n">
        <v>6029</v>
      </c>
      <c r="J58" s="17">
        <f>J57+I58</f>
        <v/>
      </c>
    </row>
    <row r="59">
      <c r="A59" s="12" t="n">
        <v>22</v>
      </c>
      <c r="B59" s="12" t="n">
        <v>23</v>
      </c>
      <c r="C59" s="8" t="inlineStr">
        <is>
          <t>K4</t>
        </is>
      </c>
      <c r="D59" s="13" t="inlineStr">
        <is>
          <t>K4</t>
        </is>
      </c>
      <c r="E59" s="16" t="n">
        <v>46737</v>
      </c>
      <c r="F59" s="12" t="n">
        <v>1</v>
      </c>
      <c r="G59" s="13" t="inlineStr">
        <is>
          <t>Bancontact-ontvangsten 12/12/2027</t>
        </is>
      </c>
      <c r="H59" s="13" t="inlineStr">
        <is>
          <t>J2Q4D1</t>
        </is>
      </c>
      <c r="I59" s="14" t="n">
        <v>3000</v>
      </c>
      <c r="J59" s="14">
        <f>J58+I59</f>
        <v/>
      </c>
    </row>
    <row r="60">
      <c r="A60" s="12" t="n">
        <v>22</v>
      </c>
      <c r="B60" s="12" t="n">
        <v>23</v>
      </c>
      <c r="C60" s="8" t="inlineStr">
        <is>
          <t>K4</t>
        </is>
      </c>
      <c r="D60" s="13" t="inlineStr">
        <is>
          <t>K4</t>
        </is>
      </c>
      <c r="E60" s="16" t="n">
        <v>46737</v>
      </c>
      <c r="F60" s="12" t="n">
        <v>2</v>
      </c>
      <c r="G60" s="13" t="inlineStr">
        <is>
          <t>Storting contanten</t>
        </is>
      </c>
      <c r="H60" s="13" t="inlineStr">
        <is>
          <t>J2Q4K1</t>
        </is>
      </c>
      <c r="I60" s="14" t="n">
        <v>1000</v>
      </c>
      <c r="J60" s="14">
        <f>J59+I60</f>
        <v/>
      </c>
    </row>
    <row r="61">
      <c r="A61" s="12" t="n">
        <v>22</v>
      </c>
      <c r="B61" s="12" t="n">
        <v>23</v>
      </c>
      <c r="C61" s="8" t="inlineStr">
        <is>
          <t>K4</t>
        </is>
      </c>
      <c r="D61" s="13" t="inlineStr">
        <is>
          <t>K4</t>
        </is>
      </c>
      <c r="E61" s="16" t="n">
        <v>46737</v>
      </c>
      <c r="F61" s="12" t="n">
        <v>3</v>
      </c>
      <c r="G61" s="13" t="inlineStr">
        <is>
          <t>Overschrijving van Bytewise bv, factuur 2027-024</t>
        </is>
      </c>
      <c r="H61" s="13" t="inlineStr">
        <is>
          <t>J2Q4V5</t>
        </is>
      </c>
      <c r="I61" s="14" t="n">
        <v>7018</v>
      </c>
      <c r="J61" s="17">
        <f>J60+I61</f>
        <v/>
      </c>
    </row>
  </sheetData>
  <autoFilter ref="A1:J61"/>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N437"/>
  <sheetViews>
    <sheetView zoomScaleNormal="100" workbookViewId="0">
      <pane ySplit="1" topLeftCell="A2" activePane="bottomLeft" state="frozen"/>
      <selection pane="bottomLeft" activeCell="A5" sqref="A5:XFD8"/>
    </sheetView>
  </sheetViews>
  <sheetFormatPr baseColWidth="8" defaultColWidth="8.6328125" defaultRowHeight="14.5"/>
  <cols>
    <col width="7" customWidth="1" min="1" max="1"/>
    <col width="11" customWidth="1" min="2" max="2"/>
    <col width="13" customWidth="1" min="3" max="3"/>
    <col width="8" customWidth="1" min="4" max="4"/>
    <col width="10" customWidth="1" min="5" max="5"/>
    <col width="22" customWidth="1" min="6" max="6"/>
    <col width="9" customWidth="1" min="7" max="7"/>
    <col width="40" customWidth="1" min="8" max="8"/>
    <col width="8" customWidth="1" min="9" max="9"/>
    <col width="5" customWidth="1" min="10" max="10"/>
    <col width="12" customWidth="1" min="11" max="12"/>
    <col width="58" customWidth="1" min="13" max="13"/>
    <col width="9" customWidth="1" min="14" max="14"/>
  </cols>
  <sheetData>
    <row r="1" ht="30" customHeight="1">
      <c r="A1" s="1" t="inlineStr">
        <is>
          <t>Volgnr</t>
        </is>
      </c>
      <c r="B1" s="1" t="inlineStr">
        <is>
          <t>Datum</t>
        </is>
      </c>
      <c r="C1" s="1" t="inlineStr">
        <is>
          <t>Set</t>
        </is>
      </c>
      <c r="D1" s="1" t="inlineStr">
        <is>
          <t>Kwartaal</t>
        </is>
      </c>
      <c r="E1" s="1" t="inlineStr">
        <is>
          <t>Document</t>
        </is>
      </c>
      <c r="F1" s="1" t="inlineStr">
        <is>
          <t>Documentnr / uittreksel</t>
        </is>
      </c>
      <c r="G1" s="1" t="inlineStr">
        <is>
          <t>Rekening</t>
        </is>
      </c>
      <c r="H1" s="1" t="inlineStr">
        <is>
          <t>Rekeningnaam</t>
        </is>
      </c>
      <c r="I1" s="1" t="inlineStr">
        <is>
          <t>A/P/K/O</t>
        </is>
      </c>
      <c r="J1" s="1" t="inlineStr">
        <is>
          <t>+/-</t>
        </is>
      </c>
      <c r="K1" s="1" t="inlineStr">
        <is>
          <t>Debet</t>
        </is>
      </c>
      <c r="L1" s="1" t="inlineStr">
        <is>
          <t>Credit</t>
        </is>
      </c>
      <c r="M1" s="1" t="inlineStr">
        <is>
          <t>Redenering</t>
        </is>
      </c>
      <c r="N1" s="1" t="inlineStr">
        <is>
          <t>Afsluiting</t>
        </is>
      </c>
    </row>
    <row r="2">
      <c r="A2" s="12" t="n">
        <v>1</v>
      </c>
      <c r="B2" s="16" t="n">
        <v>46392</v>
      </c>
      <c r="C2" s="5" t="inlineStr">
        <is>
          <t>K1</t>
        </is>
      </c>
      <c r="D2" s="13" t="inlineStr">
        <is>
          <t>K1</t>
        </is>
      </c>
      <c r="E2" s="13" t="inlineStr">
        <is>
          <t>J2A1</t>
        </is>
      </c>
      <c r="F2" s="13" t="inlineStr">
        <is>
          <t>NL-27-01-0311</t>
        </is>
      </c>
      <c r="G2" s="13" t="n">
        <v>616300</v>
      </c>
      <c r="H2" s="13">
        <f>INDEX('MAR 2e graad'!$B$2:$B$58,MATCH(G2,'MAR 2e graad'!$A$2:$A$58,0))</f>
        <v/>
      </c>
      <c r="I2" s="13">
        <f>INDEX('MAR 2e graad'!$C$2:$C$58,MATCH(G2,'MAR 2e graad'!$A$2:$A$58,0))</f>
        <v/>
      </c>
      <c r="J2" s="13">
        <f>IF(OR(I2="A",I2="K"),IF(K2&gt;0,"+","-"),IF(L2&gt;0,"+","-"))</f>
        <v/>
      </c>
      <c r="K2" s="14" t="n">
        <v>300</v>
      </c>
      <c r="L2" s="14" t="n"/>
      <c r="M2" s="13" t="inlineStr">
        <is>
          <t>de kosten voor diensten en diverse goederen stijgen</t>
        </is>
      </c>
      <c r="N2" s="13" t="inlineStr">
        <is>
          <t>nee</t>
        </is>
      </c>
    </row>
    <row r="3">
      <c r="A3" s="12" t="n">
        <v>2</v>
      </c>
      <c r="B3" s="16" t="n">
        <v>46392</v>
      </c>
      <c r="C3" s="5" t="inlineStr">
        <is>
          <t>K1</t>
        </is>
      </c>
      <c r="D3" s="13" t="inlineStr">
        <is>
          <t>K1</t>
        </is>
      </c>
      <c r="E3" s="13" t="inlineStr">
        <is>
          <t>J2A1</t>
        </is>
      </c>
      <c r="F3" s="13" t="inlineStr">
        <is>
          <t>NL-27-01-0311</t>
        </is>
      </c>
      <c r="G3" s="13" t="n">
        <v>411100</v>
      </c>
      <c r="H3" s="13">
        <f>INDEX('MAR 2e graad'!$B$2:$B$58,MATCH(G3,'MAR 2e graad'!$A$2:$A$58,0))</f>
        <v/>
      </c>
      <c r="I3" s="13">
        <f>INDEX('MAR 2e graad'!$C$2:$C$58,MATCH(G3,'MAR 2e graad'!$A$2:$A$58,0))</f>
        <v/>
      </c>
      <c r="J3" s="13">
        <f>IF(OR(I3="A",I3="K"),IF(K3&gt;0,"+","-"),IF(L3&gt;0,"+","-"))</f>
        <v/>
      </c>
      <c r="K3" s="14" t="n">
        <v>63</v>
      </c>
      <c r="L3" s="14" t="n"/>
      <c r="M3" s="13" t="inlineStr">
        <is>
          <t>de vordering op de overheid (aftrekbare btw) stijgt</t>
        </is>
      </c>
      <c r="N3" s="13" t="inlineStr">
        <is>
          <t>nee</t>
        </is>
      </c>
    </row>
    <row r="4">
      <c r="A4" s="12" t="n">
        <v>3</v>
      </c>
      <c r="B4" s="16" t="n">
        <v>46392</v>
      </c>
      <c r="C4" s="5" t="inlineStr">
        <is>
          <t>K1</t>
        </is>
      </c>
      <c r="D4" s="13" t="inlineStr">
        <is>
          <t>K1</t>
        </is>
      </c>
      <c r="E4" s="13" t="inlineStr">
        <is>
          <t>J2A1</t>
        </is>
      </c>
      <c r="F4" s="13" t="inlineStr">
        <is>
          <t>NL-27-01-0311</t>
        </is>
      </c>
      <c r="G4" s="13" t="n">
        <v>440000</v>
      </c>
      <c r="H4" s="13">
        <f>INDEX('MAR 2e graad'!$B$2:$B$58,MATCH(G4,'MAR 2e graad'!$A$2:$A$58,0))</f>
        <v/>
      </c>
      <c r="I4" s="13">
        <f>INDEX('MAR 2e graad'!$C$2:$C$58,MATCH(G4,'MAR 2e graad'!$A$2:$A$58,0))</f>
        <v/>
      </c>
      <c r="J4" s="13">
        <f>IF(OR(I4="A",I4="K"),IF(K4&gt;0,"+","-"),IF(L4&gt;0,"+","-"))</f>
        <v/>
      </c>
      <c r="K4" s="14" t="n"/>
      <c r="L4" s="14" t="n">
        <v>363</v>
      </c>
      <c r="M4" s="13" t="inlineStr">
        <is>
          <t>de schuld aan de leverancier stijgt</t>
        </is>
      </c>
      <c r="N4" s="13" t="inlineStr">
        <is>
          <t>nee</t>
        </is>
      </c>
    </row>
    <row r="5">
      <c r="A5" s="12" t="n">
        <v>4</v>
      </c>
      <c r="B5" s="16" t="n">
        <v>46395</v>
      </c>
      <c r="C5" s="5" t="inlineStr">
        <is>
          <t>K1</t>
        </is>
      </c>
      <c r="D5" s="13" t="inlineStr">
        <is>
          <t>K1</t>
        </is>
      </c>
      <c r="E5" s="13" t="inlineStr">
        <is>
          <t>J2A3</t>
        </is>
      </c>
      <c r="F5" s="13" t="inlineStr">
        <is>
          <t>2027-014</t>
        </is>
      </c>
      <c r="G5" s="13" t="n">
        <v>604000</v>
      </c>
      <c r="H5" s="13">
        <f>INDEX('MAR 2e graad'!$B$2:$B$58,MATCH(G5,'MAR 2e graad'!$A$2:$A$58,0))</f>
        <v/>
      </c>
      <c r="I5" s="13">
        <f>INDEX('MAR 2e graad'!$C$2:$C$58,MATCH(G5,'MAR 2e graad'!$A$2:$A$58,0))</f>
        <v/>
      </c>
      <c r="J5" s="13">
        <f>IF(OR(I5="A",I5="K"),IF(K5&gt;0,"+","-"),IF(L5&gt;0,"+","-"))</f>
        <v/>
      </c>
      <c r="K5" s="14" t="n">
        <v>4000</v>
      </c>
      <c r="L5" s="14" t="n"/>
      <c r="M5" s="13" t="inlineStr">
        <is>
          <t>de kosten voor handelsgoederen stijgen</t>
        </is>
      </c>
      <c r="N5" s="13" t="inlineStr">
        <is>
          <t>nee</t>
        </is>
      </c>
    </row>
    <row r="6">
      <c r="A6" s="12" t="n">
        <v>5</v>
      </c>
      <c r="B6" s="16" t="n">
        <v>46395</v>
      </c>
      <c r="C6" s="5" t="inlineStr">
        <is>
          <t>K1</t>
        </is>
      </c>
      <c r="D6" s="13" t="inlineStr">
        <is>
          <t>K1</t>
        </is>
      </c>
      <c r="E6" s="13" t="inlineStr">
        <is>
          <t>J2A3</t>
        </is>
      </c>
      <c r="F6" s="13" t="inlineStr">
        <is>
          <t>2027-014</t>
        </is>
      </c>
      <c r="G6" s="13" t="n">
        <v>604000</v>
      </c>
      <c r="H6" s="13">
        <f>INDEX('MAR 2e graad'!$B$2:$B$58,MATCH(G6,'MAR 2e graad'!$A$2:$A$58,0))</f>
        <v/>
      </c>
      <c r="I6" s="13">
        <f>INDEX('MAR 2e graad'!$C$2:$C$58,MATCH(G6,'MAR 2e graad'!$A$2:$A$58,0))</f>
        <v/>
      </c>
      <c r="J6" s="13">
        <f>IF(OR(I6="A",I6="K"),IF(K6&gt;0,"+","-"),IF(L6&gt;0,"+","-"))</f>
        <v/>
      </c>
      <c r="K6" s="14" t="n">
        <v>7000</v>
      </c>
      <c r="L6" s="14" t="n"/>
      <c r="M6" s="13" t="inlineStr">
        <is>
          <t>de kosten voor handelsgoederen stijgen</t>
        </is>
      </c>
      <c r="N6" s="13" t="inlineStr">
        <is>
          <t>nee</t>
        </is>
      </c>
    </row>
    <row r="7">
      <c r="A7" s="12" t="n">
        <v>6</v>
      </c>
      <c r="B7" s="16" t="n">
        <v>46395</v>
      </c>
      <c r="C7" s="5" t="inlineStr">
        <is>
          <t>K1</t>
        </is>
      </c>
      <c r="D7" s="13" t="inlineStr">
        <is>
          <t>K1</t>
        </is>
      </c>
      <c r="E7" s="13" t="inlineStr">
        <is>
          <t>J2A3</t>
        </is>
      </c>
      <c r="F7" s="13" t="inlineStr">
        <is>
          <t>2027-014</t>
        </is>
      </c>
      <c r="G7" s="13" t="n">
        <v>604020</v>
      </c>
      <c r="H7" s="13">
        <f>INDEX('MAR 2e graad'!$B$2:$B$58,MATCH(G7,'MAR 2e graad'!$A$2:$A$58,0))</f>
        <v/>
      </c>
      <c r="I7" s="13">
        <f>INDEX('MAR 2e graad'!$C$2:$C$58,MATCH(G7,'MAR 2e graad'!$A$2:$A$58,0))</f>
        <v/>
      </c>
      <c r="J7" s="13">
        <f>IF(OR(I7="A",I7="K"),IF(K7&gt;0,"+","-"),IF(L7&gt;0,"+","-"))</f>
        <v/>
      </c>
      <c r="K7" s="14" t="n"/>
      <c r="L7" s="14" t="n">
        <v>1100</v>
      </c>
      <c r="M7" s="13" t="inlineStr">
        <is>
          <t>de handelskorting op aankopen stijgt (kost daalt)</t>
        </is>
      </c>
      <c r="N7" s="13" t="inlineStr">
        <is>
          <t>nee</t>
        </is>
      </c>
    </row>
    <row r="8">
      <c r="A8" s="12" t="n">
        <v>7</v>
      </c>
      <c r="B8" s="16" t="n">
        <v>46395</v>
      </c>
      <c r="C8" s="5" t="inlineStr">
        <is>
          <t>K1</t>
        </is>
      </c>
      <c r="D8" s="13" t="inlineStr">
        <is>
          <t>K1</t>
        </is>
      </c>
      <c r="E8" s="13" t="inlineStr">
        <is>
          <t>J2A3</t>
        </is>
      </c>
      <c r="F8" s="13" t="inlineStr">
        <is>
          <t>2027-014</t>
        </is>
      </c>
      <c r="G8" s="13" t="n">
        <v>411100</v>
      </c>
      <c r="H8" s="13">
        <f>INDEX('MAR 2e graad'!$B$2:$B$58,MATCH(G8,'MAR 2e graad'!$A$2:$A$58,0))</f>
        <v/>
      </c>
      <c r="I8" s="13">
        <f>INDEX('MAR 2e graad'!$C$2:$C$58,MATCH(G8,'MAR 2e graad'!$A$2:$A$58,0))</f>
        <v/>
      </c>
      <c r="J8" s="13">
        <f>IF(OR(I8="A",I8="K"),IF(K8&gt;0,"+","-"),IF(L8&gt;0,"+","-"))</f>
        <v/>
      </c>
      <c r="K8" s="14" t="n">
        <v>2079</v>
      </c>
      <c r="L8" s="14" t="n"/>
      <c r="M8" s="13" t="inlineStr">
        <is>
          <t>de vordering op de overheid (aftrekbare btw) stijgt</t>
        </is>
      </c>
      <c r="N8" s="13" t="inlineStr">
        <is>
          <t>nee</t>
        </is>
      </c>
    </row>
    <row r="9">
      <c r="A9" s="12" t="n">
        <v>8</v>
      </c>
      <c r="B9" s="16" t="n">
        <v>46395</v>
      </c>
      <c r="C9" s="5" t="inlineStr">
        <is>
          <t>K1</t>
        </is>
      </c>
      <c r="D9" s="13" t="inlineStr">
        <is>
          <t>K1</t>
        </is>
      </c>
      <c r="E9" s="13" t="inlineStr">
        <is>
          <t>J2A3</t>
        </is>
      </c>
      <c r="F9" s="13" t="inlineStr">
        <is>
          <t>2027-014</t>
        </is>
      </c>
      <c r="G9" s="13" t="n">
        <v>440000</v>
      </c>
      <c r="H9" s="13">
        <f>INDEX('MAR 2e graad'!$B$2:$B$58,MATCH(G9,'MAR 2e graad'!$A$2:$A$58,0))</f>
        <v/>
      </c>
      <c r="I9" s="13">
        <f>INDEX('MAR 2e graad'!$C$2:$C$58,MATCH(G9,'MAR 2e graad'!$A$2:$A$58,0))</f>
        <v/>
      </c>
      <c r="J9" s="13">
        <f>IF(OR(I9="A",I9="K"),IF(K9&gt;0,"+","-"),IF(L9&gt;0,"+","-"))</f>
        <v/>
      </c>
      <c r="K9" s="14" t="n"/>
      <c r="L9" s="14" t="n">
        <v>11979</v>
      </c>
      <c r="M9" s="13" t="inlineStr">
        <is>
          <t>de schuld aan de leverancier stijgt</t>
        </is>
      </c>
      <c r="N9" s="13" t="inlineStr">
        <is>
          <t>nee</t>
        </is>
      </c>
    </row>
    <row r="10">
      <c r="A10" s="12" t="n">
        <v>9</v>
      </c>
      <c r="B10" s="16" t="n">
        <v>46397</v>
      </c>
      <c r="C10" s="5" t="inlineStr">
        <is>
          <t>K1</t>
        </is>
      </c>
      <c r="D10" s="13" t="inlineStr">
        <is>
          <t>K1</t>
        </is>
      </c>
      <c r="E10" s="13" t="inlineStr">
        <is>
          <t>U2027-01/1</t>
        </is>
      </c>
      <c r="F10" s="13" t="inlineStr">
        <is>
          <t>uittreksel U2027-01/1</t>
        </is>
      </c>
      <c r="G10" s="13" t="n">
        <v>550000</v>
      </c>
      <c r="H10" s="13">
        <f>INDEX('MAR 2e graad'!$B$2:$B$58,MATCH(G10,'MAR 2e graad'!$A$2:$A$58,0))</f>
        <v/>
      </c>
      <c r="I10" s="13">
        <f>INDEX('MAR 2e graad'!$C$2:$C$58,MATCH(G10,'MAR 2e graad'!$A$2:$A$58,0))</f>
        <v/>
      </c>
      <c r="J10" s="13">
        <f>IF(OR(I10="A",I10="K"),IF(K10&gt;0,"+","-"),IF(L10&gt;0,"+","-"))</f>
        <v/>
      </c>
      <c r="K10" s="14" t="n">
        <v>9196</v>
      </c>
      <c r="L10" s="14" t="n"/>
      <c r="M10" s="13" t="inlineStr">
        <is>
          <t>de bank stijgt</t>
        </is>
      </c>
      <c r="N10" s="13" t="inlineStr">
        <is>
          <t>nee</t>
        </is>
      </c>
    </row>
    <row r="11">
      <c r="A11" s="12" t="n">
        <v>10</v>
      </c>
      <c r="B11" s="16" t="n">
        <v>46397</v>
      </c>
      <c r="C11" s="5" t="inlineStr">
        <is>
          <t>K1</t>
        </is>
      </c>
      <c r="D11" s="13" t="inlineStr">
        <is>
          <t>K1</t>
        </is>
      </c>
      <c r="E11" s="13" t="inlineStr">
        <is>
          <t>U2027-01/1</t>
        </is>
      </c>
      <c r="F11" s="13" t="inlineStr">
        <is>
          <t>uittreksel U2027-01/1</t>
        </is>
      </c>
      <c r="G11" s="13" t="n">
        <v>400000</v>
      </c>
      <c r="H11" s="13">
        <f>INDEX('MAR 2e graad'!$B$2:$B$58,MATCH(G11,'MAR 2e graad'!$A$2:$A$58,0))</f>
        <v/>
      </c>
      <c r="I11" s="13">
        <f>INDEX('MAR 2e graad'!$C$2:$C$58,MATCH(G11,'MAR 2e graad'!$A$2:$A$58,0))</f>
        <v/>
      </c>
      <c r="J11" s="13">
        <f>IF(OR(I11="A",I11="K"),IF(K11&gt;0,"+","-"),IF(L11&gt;0,"+","-"))</f>
        <v/>
      </c>
      <c r="K11" s="14" t="n"/>
      <c r="L11" s="14" t="n">
        <v>9196</v>
      </c>
      <c r="M11" s="13" t="inlineStr">
        <is>
          <t>de vordering op de klant daalt</t>
        </is>
      </c>
      <c r="N11" s="13" t="inlineStr">
        <is>
          <t>nee</t>
        </is>
      </c>
    </row>
    <row r="12">
      <c r="A12" s="12" t="n">
        <v>11</v>
      </c>
      <c r="B12" s="16" t="n">
        <v>46397</v>
      </c>
      <c r="C12" s="5" t="inlineStr">
        <is>
          <t>K1</t>
        </is>
      </c>
      <c r="D12" s="13" t="inlineStr">
        <is>
          <t>K1</t>
        </is>
      </c>
      <c r="E12" s="13" t="inlineStr">
        <is>
          <t>U2027-01/2</t>
        </is>
      </c>
      <c r="F12" s="13" t="inlineStr">
        <is>
          <t>uittreksel U2027-01/2</t>
        </is>
      </c>
      <c r="G12" s="13" t="n">
        <v>440000</v>
      </c>
      <c r="H12" s="13">
        <f>INDEX('MAR 2e graad'!$B$2:$B$58,MATCH(G12,'MAR 2e graad'!$A$2:$A$58,0))</f>
        <v/>
      </c>
      <c r="I12" s="13">
        <f>INDEX('MAR 2e graad'!$C$2:$C$58,MATCH(G12,'MAR 2e graad'!$A$2:$A$58,0))</f>
        <v/>
      </c>
      <c r="J12" s="13">
        <f>IF(OR(I12="A",I12="K"),IF(K12&gt;0,"+","-"),IF(L12&gt;0,"+","-"))</f>
        <v/>
      </c>
      <c r="K12" s="14" t="n">
        <v>7260</v>
      </c>
      <c r="L12" s="14" t="n"/>
      <c r="M12" s="13" t="inlineStr">
        <is>
          <t>de schuld aan de leverancier daalt</t>
        </is>
      </c>
      <c r="N12" s="13" t="inlineStr">
        <is>
          <t>nee</t>
        </is>
      </c>
    </row>
    <row r="13">
      <c r="A13" s="12" t="n">
        <v>12</v>
      </c>
      <c r="B13" s="16" t="n">
        <v>46397</v>
      </c>
      <c r="C13" s="5" t="inlineStr">
        <is>
          <t>K1</t>
        </is>
      </c>
      <c r="D13" s="13" t="inlineStr">
        <is>
          <t>K1</t>
        </is>
      </c>
      <c r="E13" s="13" t="inlineStr">
        <is>
          <t>U2027-01/2</t>
        </is>
      </c>
      <c r="F13" s="13" t="inlineStr">
        <is>
          <t>uittreksel U2027-01/2</t>
        </is>
      </c>
      <c r="G13" s="13" t="n">
        <v>550000</v>
      </c>
      <c r="H13" s="13">
        <f>INDEX('MAR 2e graad'!$B$2:$B$58,MATCH(G13,'MAR 2e graad'!$A$2:$A$58,0))</f>
        <v/>
      </c>
      <c r="I13" s="13">
        <f>INDEX('MAR 2e graad'!$C$2:$C$58,MATCH(G13,'MAR 2e graad'!$A$2:$A$58,0))</f>
        <v/>
      </c>
      <c r="J13" s="13">
        <f>IF(OR(I13="A",I13="K"),IF(K13&gt;0,"+","-"),IF(L13&gt;0,"+","-"))</f>
        <v/>
      </c>
      <c r="K13" s="14" t="n"/>
      <c r="L13" s="14" t="n">
        <v>7260</v>
      </c>
      <c r="M13" s="13" t="inlineStr">
        <is>
          <t>de bank daalt</t>
        </is>
      </c>
      <c r="N13" s="13" t="inlineStr">
        <is>
          <t>nee</t>
        </is>
      </c>
    </row>
    <row r="14">
      <c r="A14" s="12" t="n">
        <v>13</v>
      </c>
      <c r="B14" s="16" t="n">
        <v>46399</v>
      </c>
      <c r="C14" s="5" t="inlineStr">
        <is>
          <t>K1</t>
        </is>
      </c>
      <c r="D14" s="13" t="inlineStr">
        <is>
          <t>K1</t>
        </is>
      </c>
      <c r="E14" s="13" t="inlineStr">
        <is>
          <t>J2A5</t>
        </is>
      </c>
      <c r="F14" s="13" t="inlineStr">
        <is>
          <t>HH-27-004</t>
        </is>
      </c>
      <c r="G14" s="13" t="n">
        <v>604000</v>
      </c>
      <c r="H14" s="13">
        <f>INDEX('MAR 2e graad'!$B$2:$B$58,MATCH(G14,'MAR 2e graad'!$A$2:$A$58,0))</f>
        <v/>
      </c>
      <c r="I14" s="13">
        <f>INDEX('MAR 2e graad'!$C$2:$C$58,MATCH(G14,'MAR 2e graad'!$A$2:$A$58,0))</f>
        <v/>
      </c>
      <c r="J14" s="13">
        <f>IF(OR(I14="A",I14="K"),IF(K14&gt;0,"+","-"),IF(L14&gt;0,"+","-"))</f>
        <v/>
      </c>
      <c r="K14" s="14" t="n">
        <v>600</v>
      </c>
      <c r="L14" s="14" t="n"/>
      <c r="M14" s="13" t="inlineStr">
        <is>
          <t>de kosten voor handelsgoederen stijgen</t>
        </is>
      </c>
      <c r="N14" s="13" t="inlineStr">
        <is>
          <t>nee</t>
        </is>
      </c>
    </row>
    <row r="15">
      <c r="A15" s="12" t="n">
        <v>14</v>
      </c>
      <c r="B15" s="16" t="n">
        <v>46399</v>
      </c>
      <c r="C15" s="5" t="inlineStr">
        <is>
          <t>K1</t>
        </is>
      </c>
      <c r="D15" s="13" t="inlineStr">
        <is>
          <t>K1</t>
        </is>
      </c>
      <c r="E15" s="13" t="inlineStr">
        <is>
          <t>J2A5</t>
        </is>
      </c>
      <c r="F15" s="13" t="inlineStr">
        <is>
          <t>HH-27-004</t>
        </is>
      </c>
      <c r="G15" s="13" t="n">
        <v>604000</v>
      </c>
      <c r="H15" s="13">
        <f>INDEX('MAR 2e graad'!$B$2:$B$58,MATCH(G15,'MAR 2e graad'!$A$2:$A$58,0))</f>
        <v/>
      </c>
      <c r="I15" s="13">
        <f>INDEX('MAR 2e graad'!$C$2:$C$58,MATCH(G15,'MAR 2e graad'!$A$2:$A$58,0))</f>
        <v/>
      </c>
      <c r="J15" s="13">
        <f>IF(OR(I15="A",I15="K"),IF(K15&gt;0,"+","-"),IF(L15&gt;0,"+","-"))</f>
        <v/>
      </c>
      <c r="K15" s="14" t="n">
        <v>200</v>
      </c>
      <c r="L15" s="14" t="n"/>
      <c r="M15" s="13" t="inlineStr">
        <is>
          <t>de kosten voor handelsgoederen stijgen</t>
        </is>
      </c>
      <c r="N15" s="13" t="inlineStr">
        <is>
          <t>nee</t>
        </is>
      </c>
    </row>
    <row r="16">
      <c r="A16" s="12" t="n">
        <v>15</v>
      </c>
      <c r="B16" s="16" t="n">
        <v>46399</v>
      </c>
      <c r="C16" s="5" t="inlineStr">
        <is>
          <t>K1</t>
        </is>
      </c>
      <c r="D16" s="13" t="inlineStr">
        <is>
          <t>K1</t>
        </is>
      </c>
      <c r="E16" s="13" t="inlineStr">
        <is>
          <t>J2A5</t>
        </is>
      </c>
      <c r="F16" s="13" t="inlineStr">
        <is>
          <t>HH-27-004</t>
        </is>
      </c>
      <c r="G16" s="13" t="n">
        <v>604030</v>
      </c>
      <c r="H16" s="13">
        <f>INDEX('MAR 2e graad'!$B$2:$B$58,MATCH(G16,'MAR 2e graad'!$A$2:$A$58,0))</f>
        <v/>
      </c>
      <c r="I16" s="13">
        <f>INDEX('MAR 2e graad'!$C$2:$C$58,MATCH(G16,'MAR 2e graad'!$A$2:$A$58,0))</f>
        <v/>
      </c>
      <c r="J16" s="13">
        <f>IF(OR(I16="A",I16="K"),IF(K16&gt;0,"+","-"),IF(L16&gt;0,"+","-"))</f>
        <v/>
      </c>
      <c r="K16" s="14" t="n">
        <v>100</v>
      </c>
      <c r="L16" s="14" t="n"/>
      <c r="M16" s="13" t="inlineStr">
        <is>
          <t>de aankoopkosten stijgen</t>
        </is>
      </c>
      <c r="N16" s="13" t="inlineStr">
        <is>
          <t>nee</t>
        </is>
      </c>
    </row>
    <row r="17">
      <c r="A17" s="12" t="n">
        <v>16</v>
      </c>
      <c r="B17" s="16" t="n">
        <v>46399</v>
      </c>
      <c r="C17" s="5" t="inlineStr">
        <is>
          <t>K1</t>
        </is>
      </c>
      <c r="D17" s="13" t="inlineStr">
        <is>
          <t>K1</t>
        </is>
      </c>
      <c r="E17" s="13" t="inlineStr">
        <is>
          <t>J2A5</t>
        </is>
      </c>
      <c r="F17" s="13" t="inlineStr">
        <is>
          <t>HH-27-004</t>
        </is>
      </c>
      <c r="G17" s="13" t="n">
        <v>411100</v>
      </c>
      <c r="H17" s="13">
        <f>INDEX('MAR 2e graad'!$B$2:$B$58,MATCH(G17,'MAR 2e graad'!$A$2:$A$58,0))</f>
        <v/>
      </c>
      <c r="I17" s="13">
        <f>INDEX('MAR 2e graad'!$C$2:$C$58,MATCH(G17,'MAR 2e graad'!$A$2:$A$58,0))</f>
        <v/>
      </c>
      <c r="J17" s="13">
        <f>IF(OR(I17="A",I17="K"),IF(K17&gt;0,"+","-"),IF(L17&gt;0,"+","-"))</f>
        <v/>
      </c>
      <c r="K17" s="14" t="n">
        <v>189</v>
      </c>
      <c r="L17" s="14" t="n"/>
      <c r="M17" s="13" t="inlineStr">
        <is>
          <t>de vordering op de overheid (aftrekbare btw) stijgt</t>
        </is>
      </c>
      <c r="N17" s="13" t="inlineStr">
        <is>
          <t>nee</t>
        </is>
      </c>
    </row>
    <row r="18">
      <c r="A18" s="12" t="n">
        <v>17</v>
      </c>
      <c r="B18" s="16" t="n">
        <v>46399</v>
      </c>
      <c r="C18" s="5" t="inlineStr">
        <is>
          <t>K1</t>
        </is>
      </c>
      <c r="D18" s="13" t="inlineStr">
        <is>
          <t>K1</t>
        </is>
      </c>
      <c r="E18" s="13" t="inlineStr">
        <is>
          <t>J2A5</t>
        </is>
      </c>
      <c r="F18" s="13" t="inlineStr">
        <is>
          <t>HH-27-004</t>
        </is>
      </c>
      <c r="G18" s="13" t="n">
        <v>440000</v>
      </c>
      <c r="H18" s="13">
        <f>INDEX('MAR 2e graad'!$B$2:$B$58,MATCH(G18,'MAR 2e graad'!$A$2:$A$58,0))</f>
        <v/>
      </c>
      <c r="I18" s="13">
        <f>INDEX('MAR 2e graad'!$C$2:$C$58,MATCH(G18,'MAR 2e graad'!$A$2:$A$58,0))</f>
        <v/>
      </c>
      <c r="J18" s="13">
        <f>IF(OR(I18="A",I18="K"),IF(K18&gt;0,"+","-"),IF(L18&gt;0,"+","-"))</f>
        <v/>
      </c>
      <c r="K18" s="14" t="n"/>
      <c r="L18" s="14" t="n">
        <v>1089</v>
      </c>
      <c r="M18" s="13" t="inlineStr">
        <is>
          <t>de schuld aan de leverancier stijgt</t>
        </is>
      </c>
      <c r="N18" s="13" t="inlineStr">
        <is>
          <t>nee</t>
        </is>
      </c>
    </row>
    <row r="19">
      <c r="A19" s="12" t="n">
        <v>18</v>
      </c>
      <c r="B19" s="16" t="n">
        <v>46400</v>
      </c>
      <c r="C19" s="5" t="inlineStr">
        <is>
          <t>K1</t>
        </is>
      </c>
      <c r="D19" s="13" t="inlineStr">
        <is>
          <t>K1</t>
        </is>
      </c>
      <c r="E19" s="13" t="inlineStr">
        <is>
          <t>J2V2</t>
        </is>
      </c>
      <c r="F19" s="13" t="inlineStr">
        <is>
          <t>2027-002</t>
        </is>
      </c>
      <c r="G19" s="13" t="n">
        <v>400000</v>
      </c>
      <c r="H19" s="13">
        <f>INDEX('MAR 2e graad'!$B$2:$B$58,MATCH(G19,'MAR 2e graad'!$A$2:$A$58,0))</f>
        <v/>
      </c>
      <c r="I19" s="13">
        <f>INDEX('MAR 2e graad'!$C$2:$C$58,MATCH(G19,'MAR 2e graad'!$A$2:$A$58,0))</f>
        <v/>
      </c>
      <c r="J19" s="13">
        <f>IF(OR(I19="A",I19="K"),IF(K19&gt;0,"+","-"),IF(L19&gt;0,"+","-"))</f>
        <v/>
      </c>
      <c r="K19" s="14" t="n">
        <v>636</v>
      </c>
      <c r="L19" s="14" t="n"/>
      <c r="M19" s="13" t="inlineStr">
        <is>
          <t>de vordering op de klant stijgt</t>
        </is>
      </c>
      <c r="N19" s="13" t="inlineStr">
        <is>
          <t>nee</t>
        </is>
      </c>
    </row>
    <row r="20">
      <c r="A20" s="12" t="n">
        <v>19</v>
      </c>
      <c r="B20" s="16" t="n">
        <v>46400</v>
      </c>
      <c r="C20" s="5" t="inlineStr">
        <is>
          <t>K1</t>
        </is>
      </c>
      <c r="D20" s="13" t="inlineStr">
        <is>
          <t>K1</t>
        </is>
      </c>
      <c r="E20" s="13" t="inlineStr">
        <is>
          <t>J2V2</t>
        </is>
      </c>
      <c r="F20" s="13" t="inlineStr">
        <is>
          <t>2027-002</t>
        </is>
      </c>
      <c r="G20" s="13" t="n">
        <v>700000</v>
      </c>
      <c r="H20" s="13">
        <f>INDEX('MAR 2e graad'!$B$2:$B$58,MATCH(G20,'MAR 2e graad'!$A$2:$A$58,0))</f>
        <v/>
      </c>
      <c r="I20" s="13">
        <f>INDEX('MAR 2e graad'!$C$2:$C$58,MATCH(G20,'MAR 2e graad'!$A$2:$A$58,0))</f>
        <v/>
      </c>
      <c r="J20" s="13">
        <f>IF(OR(I20="A",I20="K"),IF(K20&gt;0,"+","-"),IF(L20&gt;0,"+","-"))</f>
        <v/>
      </c>
      <c r="K20" s="14" t="n"/>
      <c r="L20" s="14" t="n">
        <v>600</v>
      </c>
      <c r="M20" s="13" t="inlineStr">
        <is>
          <t>de omzet (diensten) stijgt</t>
        </is>
      </c>
      <c r="N20" s="13" t="inlineStr">
        <is>
          <t>nee</t>
        </is>
      </c>
    </row>
    <row r="21">
      <c r="A21" s="12" t="n">
        <v>20</v>
      </c>
      <c r="B21" s="16" t="n">
        <v>46400</v>
      </c>
      <c r="C21" s="5" t="inlineStr">
        <is>
          <t>K1</t>
        </is>
      </c>
      <c r="D21" s="13" t="inlineStr">
        <is>
          <t>K1</t>
        </is>
      </c>
      <c r="E21" s="13" t="inlineStr">
        <is>
          <t>J2V2</t>
        </is>
      </c>
      <c r="F21" s="13" t="inlineStr">
        <is>
          <t>2027-002</t>
        </is>
      </c>
      <c r="G21" s="13" t="n">
        <v>451100</v>
      </c>
      <c r="H21" s="13">
        <f>INDEX('MAR 2e graad'!$B$2:$B$58,MATCH(G21,'MAR 2e graad'!$A$2:$A$58,0))</f>
        <v/>
      </c>
      <c r="I21" s="13">
        <f>INDEX('MAR 2e graad'!$C$2:$C$58,MATCH(G21,'MAR 2e graad'!$A$2:$A$58,0))</f>
        <v/>
      </c>
      <c r="J21" s="13">
        <f>IF(OR(I21="A",I21="K"),IF(K21&gt;0,"+","-"),IF(L21&gt;0,"+","-"))</f>
        <v/>
      </c>
      <c r="K21" s="14" t="n"/>
      <c r="L21" s="14" t="n">
        <v>36</v>
      </c>
      <c r="M21" s="13" t="inlineStr">
        <is>
          <t>de schuld aan de overheid (verschuldigde btw) stijgt</t>
        </is>
      </c>
      <c r="N21" s="13" t="inlineStr">
        <is>
          <t>nee</t>
        </is>
      </c>
    </row>
    <row r="22">
      <c r="A22" s="12" t="n">
        <v>21</v>
      </c>
      <c r="B22" s="16" t="n">
        <v>46401</v>
      </c>
      <c r="C22" s="5" t="inlineStr">
        <is>
          <t>K1</t>
        </is>
      </c>
      <c r="D22" s="13" t="inlineStr">
        <is>
          <t>K1</t>
        </is>
      </c>
      <c r="E22" s="13" t="inlineStr">
        <is>
          <t>J2CA2</t>
        </is>
      </c>
      <c r="F22" s="13" t="inlineStr">
        <is>
          <t>CN-2027-002</t>
        </is>
      </c>
      <c r="G22" s="13" t="n">
        <v>604010</v>
      </c>
      <c r="H22" s="13">
        <f>INDEX('MAR 2e graad'!$B$2:$B$58,MATCH(G22,'MAR 2e graad'!$A$2:$A$58,0))</f>
        <v/>
      </c>
      <c r="I22" s="13">
        <f>INDEX('MAR 2e graad'!$C$2:$C$58,MATCH(G22,'MAR 2e graad'!$A$2:$A$58,0))</f>
        <v/>
      </c>
      <c r="J22" s="13">
        <f>IF(OR(I22="A",I22="K"),IF(K22&gt;0,"+","-"),IF(L22&gt;0,"+","-"))</f>
        <v/>
      </c>
      <c r="K22" s="14" t="n"/>
      <c r="L22" s="14" t="n">
        <v>2000</v>
      </c>
      <c r="M22" s="13" t="inlineStr">
        <is>
          <t>de kosten voor handelsgoederen dalen (retour)</t>
        </is>
      </c>
      <c r="N22" s="13" t="inlineStr">
        <is>
          <t>nee</t>
        </is>
      </c>
    </row>
    <row r="23">
      <c r="A23" s="12" t="n">
        <v>22</v>
      </c>
      <c r="B23" s="16" t="n">
        <v>46401</v>
      </c>
      <c r="C23" s="5" t="inlineStr">
        <is>
          <t>K1</t>
        </is>
      </c>
      <c r="D23" s="13" t="inlineStr">
        <is>
          <t>K1</t>
        </is>
      </c>
      <c r="E23" s="13" t="inlineStr">
        <is>
          <t>J2CA2</t>
        </is>
      </c>
      <c r="F23" s="13" t="inlineStr">
        <is>
          <t>CN-2027-002</t>
        </is>
      </c>
      <c r="G23" s="13" t="n">
        <v>604020</v>
      </c>
      <c r="H23" s="13">
        <f>INDEX('MAR 2e graad'!$B$2:$B$58,MATCH(G23,'MAR 2e graad'!$A$2:$A$58,0))</f>
        <v/>
      </c>
      <c r="I23" s="13">
        <f>INDEX('MAR 2e graad'!$C$2:$C$58,MATCH(G23,'MAR 2e graad'!$A$2:$A$58,0))</f>
        <v/>
      </c>
      <c r="J23" s="13">
        <f>IF(OR(I23="A",I23="K"),IF(K23&gt;0,"+","-"),IF(L23&gt;0,"+","-"))</f>
        <v/>
      </c>
      <c r="K23" s="14" t="n">
        <v>200</v>
      </c>
      <c r="L23" s="14" t="n"/>
      <c r="M23" s="13" t="inlineStr">
        <is>
          <t>de handelskorting op aankopen daalt (kost stijgt)</t>
        </is>
      </c>
      <c r="N23" s="13" t="inlineStr">
        <is>
          <t>nee</t>
        </is>
      </c>
    </row>
    <row r="24">
      <c r="A24" s="12" t="n">
        <v>23</v>
      </c>
      <c r="B24" s="16" t="n">
        <v>46401</v>
      </c>
      <c r="C24" s="5" t="inlineStr">
        <is>
          <t>K1</t>
        </is>
      </c>
      <c r="D24" s="13" t="inlineStr">
        <is>
          <t>K1</t>
        </is>
      </c>
      <c r="E24" s="13" t="inlineStr">
        <is>
          <t>J2CA2</t>
        </is>
      </c>
      <c r="F24" s="13" t="inlineStr">
        <is>
          <t>CN-2027-002</t>
        </is>
      </c>
      <c r="G24" s="13" t="n">
        <v>451200</v>
      </c>
      <c r="H24" s="13">
        <f>INDEX('MAR 2e graad'!$B$2:$B$58,MATCH(G24,'MAR 2e graad'!$A$2:$A$58,0))</f>
        <v/>
      </c>
      <c r="I24" s="13">
        <f>INDEX('MAR 2e graad'!$C$2:$C$58,MATCH(G24,'MAR 2e graad'!$A$2:$A$58,0))</f>
        <v/>
      </c>
      <c r="J24" s="13">
        <f>IF(OR(I24="A",I24="K"),IF(K24&gt;0,"+","-"),IF(L24&gt;0,"+","-"))</f>
        <v/>
      </c>
      <c r="K24" s="14" t="n"/>
      <c r="L24" s="14" t="n">
        <v>378</v>
      </c>
      <c r="M24" s="13" t="inlineStr">
        <is>
          <t>de schuld aan de overheid stijgt (btw op inkomende creditnota)</t>
        </is>
      </c>
      <c r="N24" s="13" t="inlineStr">
        <is>
          <t>nee</t>
        </is>
      </c>
    </row>
    <row r="25">
      <c r="A25" s="12" t="n">
        <v>24</v>
      </c>
      <c r="B25" s="16" t="n">
        <v>46401</v>
      </c>
      <c r="C25" s="5" t="inlineStr">
        <is>
          <t>K1</t>
        </is>
      </c>
      <c r="D25" s="13" t="inlineStr">
        <is>
          <t>K1</t>
        </is>
      </c>
      <c r="E25" s="13" t="inlineStr">
        <is>
          <t>J2CA2</t>
        </is>
      </c>
      <c r="F25" s="13" t="inlineStr">
        <is>
          <t>CN-2027-002</t>
        </is>
      </c>
      <c r="G25" s="13" t="n">
        <v>440000</v>
      </c>
      <c r="H25" s="13">
        <f>INDEX('MAR 2e graad'!$B$2:$B$58,MATCH(G25,'MAR 2e graad'!$A$2:$A$58,0))</f>
        <v/>
      </c>
      <c r="I25" s="13">
        <f>INDEX('MAR 2e graad'!$C$2:$C$58,MATCH(G25,'MAR 2e graad'!$A$2:$A$58,0))</f>
        <v/>
      </c>
      <c r="J25" s="13">
        <f>IF(OR(I25="A",I25="K"),IF(K25&gt;0,"+","-"),IF(L25&gt;0,"+","-"))</f>
        <v/>
      </c>
      <c r="K25" s="14" t="n">
        <v>2178</v>
      </c>
      <c r="L25" s="14" t="n"/>
      <c r="M25" s="13" t="inlineStr">
        <is>
          <t>de schuld aan de leverancier daalt</t>
        </is>
      </c>
      <c r="N25" s="13" t="inlineStr">
        <is>
          <t>nee</t>
        </is>
      </c>
    </row>
    <row r="26">
      <c r="A26" s="12" t="n">
        <v>25</v>
      </c>
      <c r="B26" s="16" t="n">
        <v>46402</v>
      </c>
      <c r="C26" s="5" t="inlineStr">
        <is>
          <t>K1</t>
        </is>
      </c>
      <c r="D26" s="13" t="inlineStr">
        <is>
          <t>K1</t>
        </is>
      </c>
      <c r="E26" s="13" t="inlineStr">
        <is>
          <t>J2A7</t>
        </is>
      </c>
      <c r="F26" s="13" t="inlineStr">
        <is>
          <t>2027-031</t>
        </is>
      </c>
      <c r="G26" s="13" t="n">
        <v>604000</v>
      </c>
      <c r="H26" s="13">
        <f>INDEX('MAR 2e graad'!$B$2:$B$58,MATCH(G26,'MAR 2e graad'!$A$2:$A$58,0))</f>
        <v/>
      </c>
      <c r="I26" s="13">
        <f>INDEX('MAR 2e graad'!$C$2:$C$58,MATCH(G26,'MAR 2e graad'!$A$2:$A$58,0))</f>
        <v/>
      </c>
      <c r="J26" s="13">
        <f>IF(OR(I26="A",I26="K"),IF(K26&gt;0,"+","-"),IF(L26&gt;0,"+","-"))</f>
        <v/>
      </c>
      <c r="K26" s="14" t="n">
        <v>3600</v>
      </c>
      <c r="L26" s="14" t="n"/>
      <c r="M26" s="13" t="inlineStr">
        <is>
          <t>de kosten voor handelsgoederen stijgen</t>
        </is>
      </c>
      <c r="N26" s="13" t="inlineStr">
        <is>
          <t>nee</t>
        </is>
      </c>
    </row>
    <row r="27">
      <c r="A27" s="12" t="n">
        <v>26</v>
      </c>
      <c r="B27" s="16" t="n">
        <v>46402</v>
      </c>
      <c r="C27" s="5" t="inlineStr">
        <is>
          <t>K1</t>
        </is>
      </c>
      <c r="D27" s="13" t="inlineStr">
        <is>
          <t>K1</t>
        </is>
      </c>
      <c r="E27" s="13" t="inlineStr">
        <is>
          <t>J2A7</t>
        </is>
      </c>
      <c r="F27" s="13" t="inlineStr">
        <is>
          <t>2027-031</t>
        </is>
      </c>
      <c r="G27" s="13" t="n">
        <v>418000</v>
      </c>
      <c r="H27" s="13">
        <f>INDEX('MAR 2e graad'!$B$2:$B$58,MATCH(G27,'MAR 2e graad'!$A$2:$A$58,0))</f>
        <v/>
      </c>
      <c r="I27" s="13">
        <f>INDEX('MAR 2e graad'!$C$2:$C$58,MATCH(G27,'MAR 2e graad'!$A$2:$A$58,0))</f>
        <v/>
      </c>
      <c r="J27" s="13">
        <f>IF(OR(I27="A",I27="K"),IF(K27&gt;0,"+","-"),IF(L27&gt;0,"+","-"))</f>
        <v/>
      </c>
      <c r="K27" s="14" t="n">
        <v>100</v>
      </c>
      <c r="L27" s="14" t="n"/>
      <c r="M27" s="13" t="inlineStr">
        <is>
          <t>de vordering op de leverancier (verpakking) stijgt</t>
        </is>
      </c>
      <c r="N27" s="13" t="inlineStr">
        <is>
          <t>nee</t>
        </is>
      </c>
    </row>
    <row r="28">
      <c r="A28" s="12" t="n">
        <v>27</v>
      </c>
      <c r="B28" s="16" t="n">
        <v>46402</v>
      </c>
      <c r="C28" s="5" t="inlineStr">
        <is>
          <t>K1</t>
        </is>
      </c>
      <c r="D28" s="13" t="inlineStr">
        <is>
          <t>K1</t>
        </is>
      </c>
      <c r="E28" s="13" t="inlineStr">
        <is>
          <t>J2A7</t>
        </is>
      </c>
      <c r="F28" s="13" t="inlineStr">
        <is>
          <t>2027-031</t>
        </is>
      </c>
      <c r="G28" s="13" t="n">
        <v>411100</v>
      </c>
      <c r="H28" s="13">
        <f>INDEX('MAR 2e graad'!$B$2:$B$58,MATCH(G28,'MAR 2e graad'!$A$2:$A$58,0))</f>
        <v/>
      </c>
      <c r="I28" s="13">
        <f>INDEX('MAR 2e graad'!$C$2:$C$58,MATCH(G28,'MAR 2e graad'!$A$2:$A$58,0))</f>
        <v/>
      </c>
      <c r="J28" s="13">
        <f>IF(OR(I28="A",I28="K"),IF(K28&gt;0,"+","-"),IF(L28&gt;0,"+","-"))</f>
        <v/>
      </c>
      <c r="K28" s="14" t="n">
        <v>756</v>
      </c>
      <c r="L28" s="14" t="n"/>
      <c r="M28" s="13" t="inlineStr">
        <is>
          <t>de vordering op de overheid (aftrekbare btw) stijgt</t>
        </is>
      </c>
      <c r="N28" s="13" t="inlineStr">
        <is>
          <t>nee</t>
        </is>
      </c>
    </row>
    <row r="29">
      <c r="A29" s="12" t="n">
        <v>28</v>
      </c>
      <c r="B29" s="16" t="n">
        <v>46402</v>
      </c>
      <c r="C29" s="5" t="inlineStr">
        <is>
          <t>K1</t>
        </is>
      </c>
      <c r="D29" s="13" t="inlineStr">
        <is>
          <t>K1</t>
        </is>
      </c>
      <c r="E29" s="13" t="inlineStr">
        <is>
          <t>J2A7</t>
        </is>
      </c>
      <c r="F29" s="13" t="inlineStr">
        <is>
          <t>2027-031</t>
        </is>
      </c>
      <c r="G29" s="13" t="n">
        <v>440000</v>
      </c>
      <c r="H29" s="13">
        <f>INDEX('MAR 2e graad'!$B$2:$B$58,MATCH(G29,'MAR 2e graad'!$A$2:$A$58,0))</f>
        <v/>
      </c>
      <c r="I29" s="13">
        <f>INDEX('MAR 2e graad'!$C$2:$C$58,MATCH(G29,'MAR 2e graad'!$A$2:$A$58,0))</f>
        <v/>
      </c>
      <c r="J29" s="13">
        <f>IF(OR(I29="A",I29="K"),IF(K29&gt;0,"+","-"),IF(L29&gt;0,"+","-"))</f>
        <v/>
      </c>
      <c r="K29" s="14" t="n"/>
      <c r="L29" s="14" t="n">
        <v>4456</v>
      </c>
      <c r="M29" s="13" t="inlineStr">
        <is>
          <t>de schuld aan de leverancier stijgt</t>
        </is>
      </c>
      <c r="N29" s="13" t="inlineStr">
        <is>
          <t>nee</t>
        </is>
      </c>
    </row>
    <row r="30">
      <c r="A30" s="12" t="n">
        <v>29</v>
      </c>
      <c r="B30" s="16" t="n">
        <v>46403</v>
      </c>
      <c r="C30" s="5" t="inlineStr">
        <is>
          <t>K1</t>
        </is>
      </c>
      <c r="D30" s="13" t="inlineStr">
        <is>
          <t>K1</t>
        </is>
      </c>
      <c r="E30" s="13" t="inlineStr">
        <is>
          <t>J2D1</t>
        </is>
      </c>
      <c r="F30" s="13" t="inlineStr">
        <is>
          <t>DO-2027-01</t>
        </is>
      </c>
      <c r="G30" s="13" t="n">
        <v>400000</v>
      </c>
      <c r="H30" s="13">
        <f>INDEX('MAR 2e graad'!$B$2:$B$58,MATCH(G30,'MAR 2e graad'!$A$2:$A$58,0))</f>
        <v/>
      </c>
      <c r="I30" s="13">
        <f>INDEX('MAR 2e graad'!$C$2:$C$58,MATCH(G30,'MAR 2e graad'!$A$2:$A$58,0))</f>
        <v/>
      </c>
      <c r="J30" s="13">
        <f>IF(OR(I30="A",I30="K"),IF(K30&gt;0,"+","-"),IF(L30&gt;0,"+","-"))</f>
        <v/>
      </c>
      <c r="K30" s="14" t="n">
        <v>1891</v>
      </c>
      <c r="L30" s="14" t="n"/>
      <c r="M30" s="13" t="inlineStr">
        <is>
          <t>de vordering op de klanten (dagontvangsten) stijgt</t>
        </is>
      </c>
      <c r="N30" s="13" t="inlineStr">
        <is>
          <t>nee</t>
        </is>
      </c>
    </row>
    <row r="31">
      <c r="A31" s="12" t="n">
        <v>30</v>
      </c>
      <c r="B31" s="16" t="n">
        <v>46403</v>
      </c>
      <c r="C31" s="5" t="inlineStr">
        <is>
          <t>K1</t>
        </is>
      </c>
      <c r="D31" s="13" t="inlineStr">
        <is>
          <t>K1</t>
        </is>
      </c>
      <c r="E31" s="13" t="inlineStr">
        <is>
          <t>J2D1</t>
        </is>
      </c>
      <c r="F31" s="13" t="inlineStr">
        <is>
          <t>DO-2027-01</t>
        </is>
      </c>
      <c r="G31" s="13" t="n">
        <v>704000</v>
      </c>
      <c r="H31" s="13">
        <f>INDEX('MAR 2e graad'!$B$2:$B$58,MATCH(G31,'MAR 2e graad'!$A$2:$A$58,0))</f>
        <v/>
      </c>
      <c r="I31" s="13">
        <f>INDEX('MAR 2e graad'!$C$2:$C$58,MATCH(G31,'MAR 2e graad'!$A$2:$A$58,0))</f>
        <v/>
      </c>
      <c r="J31" s="13">
        <f>IF(OR(I31="A",I31="K"),IF(K31&gt;0,"+","-"),IF(L31&gt;0,"+","-"))</f>
        <v/>
      </c>
      <c r="K31" s="14" t="n"/>
      <c r="L31" s="14" t="n">
        <v>1200</v>
      </c>
      <c r="M31" s="13" t="inlineStr">
        <is>
          <t>de omzet stijgt</t>
        </is>
      </c>
      <c r="N31" s="13" t="inlineStr">
        <is>
          <t>nee</t>
        </is>
      </c>
    </row>
    <row r="32">
      <c r="A32" s="12" t="n">
        <v>31</v>
      </c>
      <c r="B32" s="16" t="n">
        <v>46403</v>
      </c>
      <c r="C32" s="5" t="inlineStr">
        <is>
          <t>K1</t>
        </is>
      </c>
      <c r="D32" s="13" t="inlineStr">
        <is>
          <t>K1</t>
        </is>
      </c>
      <c r="E32" s="13" t="inlineStr">
        <is>
          <t>J2D1</t>
        </is>
      </c>
      <c r="F32" s="13" t="inlineStr">
        <is>
          <t>DO-2027-01</t>
        </is>
      </c>
      <c r="G32" s="13" t="n">
        <v>704000</v>
      </c>
      <c r="H32" s="13">
        <f>INDEX('MAR 2e graad'!$B$2:$B$58,MATCH(G32,'MAR 2e graad'!$A$2:$A$58,0))</f>
        <v/>
      </c>
      <c r="I32" s="13">
        <f>INDEX('MAR 2e graad'!$C$2:$C$58,MATCH(G32,'MAR 2e graad'!$A$2:$A$58,0))</f>
        <v/>
      </c>
      <c r="J32" s="13">
        <f>IF(OR(I32="A",I32="K"),IF(K32&gt;0,"+","-"),IF(L32&gt;0,"+","-"))</f>
        <v/>
      </c>
      <c r="K32" s="14" t="n"/>
      <c r="L32" s="14" t="n">
        <v>100</v>
      </c>
      <c r="M32" s="13" t="inlineStr">
        <is>
          <t>de omzet stijgt</t>
        </is>
      </c>
      <c r="N32" s="13" t="inlineStr">
        <is>
          <t>nee</t>
        </is>
      </c>
    </row>
    <row r="33">
      <c r="A33" s="12" t="n">
        <v>32</v>
      </c>
      <c r="B33" s="16" t="n">
        <v>46403</v>
      </c>
      <c r="C33" s="5" t="inlineStr">
        <is>
          <t>K1</t>
        </is>
      </c>
      <c r="D33" s="13" t="inlineStr">
        <is>
          <t>K1</t>
        </is>
      </c>
      <c r="E33" s="13" t="inlineStr">
        <is>
          <t>J2D1</t>
        </is>
      </c>
      <c r="F33" s="13" t="inlineStr">
        <is>
          <t>DO-2027-01</t>
        </is>
      </c>
      <c r="G33" s="13" t="n">
        <v>700000</v>
      </c>
      <c r="H33" s="13">
        <f>INDEX('MAR 2e graad'!$B$2:$B$58,MATCH(G33,'MAR 2e graad'!$A$2:$A$58,0))</f>
        <v/>
      </c>
      <c r="I33" s="13">
        <f>INDEX('MAR 2e graad'!$C$2:$C$58,MATCH(G33,'MAR 2e graad'!$A$2:$A$58,0))</f>
        <v/>
      </c>
      <c r="J33" s="13">
        <f>IF(OR(I33="A",I33="K"),IF(K33&gt;0,"+","-"),IF(L33&gt;0,"+","-"))</f>
        <v/>
      </c>
      <c r="K33" s="14" t="n"/>
      <c r="L33" s="14" t="n">
        <v>300</v>
      </c>
      <c r="M33" s="13" t="inlineStr">
        <is>
          <t>de omzet (diensten) stijgt</t>
        </is>
      </c>
      <c r="N33" s="13" t="inlineStr">
        <is>
          <t>nee</t>
        </is>
      </c>
    </row>
    <row r="34">
      <c r="A34" s="12" t="n">
        <v>33</v>
      </c>
      <c r="B34" s="16" t="n">
        <v>46403</v>
      </c>
      <c r="C34" s="5" t="inlineStr">
        <is>
          <t>K1</t>
        </is>
      </c>
      <c r="D34" s="13" t="inlineStr">
        <is>
          <t>K1</t>
        </is>
      </c>
      <c r="E34" s="13" t="inlineStr">
        <is>
          <t>J2D1</t>
        </is>
      </c>
      <c r="F34" s="13" t="inlineStr">
        <is>
          <t>DO-2027-01</t>
        </is>
      </c>
      <c r="G34" s="13" t="n">
        <v>451100</v>
      </c>
      <c r="H34" s="13">
        <f>INDEX('MAR 2e graad'!$B$2:$B$58,MATCH(G34,'MAR 2e graad'!$A$2:$A$58,0))</f>
        <v/>
      </c>
      <c r="I34" s="13">
        <f>INDEX('MAR 2e graad'!$C$2:$C$58,MATCH(G34,'MAR 2e graad'!$A$2:$A$58,0))</f>
        <v/>
      </c>
      <c r="J34" s="13">
        <f>IF(OR(I34="A",I34="K"),IF(K34&gt;0,"+","-"),IF(L34&gt;0,"+","-"))</f>
        <v/>
      </c>
      <c r="K34" s="14" t="n"/>
      <c r="L34" s="14" t="n">
        <v>291</v>
      </c>
      <c r="M34" s="13" t="inlineStr">
        <is>
          <t>de schuld aan de overheid (verschuldigde btw) stijgt</t>
        </is>
      </c>
      <c r="N34" s="13" t="inlineStr">
        <is>
          <t>nee</t>
        </is>
      </c>
    </row>
    <row r="35">
      <c r="A35" s="12" t="n">
        <v>34</v>
      </c>
      <c r="B35" s="16" t="n">
        <v>46403</v>
      </c>
      <c r="C35" s="5" t="inlineStr">
        <is>
          <t>K1</t>
        </is>
      </c>
      <c r="D35" s="13" t="inlineStr">
        <is>
          <t>K1</t>
        </is>
      </c>
      <c r="E35" s="13" t="inlineStr">
        <is>
          <t>J2D1K</t>
        </is>
      </c>
      <c r="F35" s="13" t="inlineStr">
        <is>
          <t>Kasboek DO-2027-01</t>
        </is>
      </c>
      <c r="G35" s="13" t="n">
        <v>570000</v>
      </c>
      <c r="H35" s="13">
        <f>INDEX('MAR 2e graad'!$B$2:$B$58,MATCH(G35,'MAR 2e graad'!$A$2:$A$58,0))</f>
        <v/>
      </c>
      <c r="I35" s="13">
        <f>INDEX('MAR 2e graad'!$C$2:$C$58,MATCH(G35,'MAR 2e graad'!$A$2:$A$58,0))</f>
        <v/>
      </c>
      <c r="J35" s="13">
        <f>IF(OR(I35="A",I35="K"),IF(K35&gt;0,"+","-"),IF(L35&gt;0,"+","-"))</f>
        <v/>
      </c>
      <c r="K35" s="14" t="n">
        <v>891</v>
      </c>
      <c r="L35" s="14" t="n"/>
      <c r="M35" s="13" t="inlineStr">
        <is>
          <t>de kas stijgt</t>
        </is>
      </c>
      <c r="N35" s="13" t="inlineStr">
        <is>
          <t>nee</t>
        </is>
      </c>
    </row>
    <row r="36">
      <c r="A36" s="12" t="n">
        <v>35</v>
      </c>
      <c r="B36" s="16" t="n">
        <v>46403</v>
      </c>
      <c r="C36" s="5" t="inlineStr">
        <is>
          <t>K1</t>
        </is>
      </c>
      <c r="D36" s="13" t="inlineStr">
        <is>
          <t>K1</t>
        </is>
      </c>
      <c r="E36" s="13" t="inlineStr">
        <is>
          <t>J2D1K</t>
        </is>
      </c>
      <c r="F36" s="13" t="inlineStr">
        <is>
          <t>Kasboek DO-2027-01</t>
        </is>
      </c>
      <c r="G36" s="13" t="n">
        <v>400000</v>
      </c>
      <c r="H36" s="13">
        <f>INDEX('MAR 2e graad'!$B$2:$B$58,MATCH(G36,'MAR 2e graad'!$A$2:$A$58,0))</f>
        <v/>
      </c>
      <c r="I36" s="13">
        <f>INDEX('MAR 2e graad'!$C$2:$C$58,MATCH(G36,'MAR 2e graad'!$A$2:$A$58,0))</f>
        <v/>
      </c>
      <c r="J36" s="13">
        <f>IF(OR(I36="A",I36="K"),IF(K36&gt;0,"+","-"),IF(L36&gt;0,"+","-"))</f>
        <v/>
      </c>
      <c r="K36" s="14" t="n"/>
      <c r="L36" s="14" t="n">
        <v>891</v>
      </c>
      <c r="M36" s="13" t="inlineStr">
        <is>
          <t>de vordering op de klanten (contant betaald) daalt</t>
        </is>
      </c>
      <c r="N36" s="13" t="inlineStr">
        <is>
          <t>nee</t>
        </is>
      </c>
    </row>
    <row r="37">
      <c r="A37" s="12" t="n">
        <v>36</v>
      </c>
      <c r="B37" s="16" t="n">
        <v>46406</v>
      </c>
      <c r="C37" s="5" t="inlineStr">
        <is>
          <t>K1</t>
        </is>
      </c>
      <c r="D37" s="13" t="inlineStr">
        <is>
          <t>K1</t>
        </is>
      </c>
      <c r="E37" s="13" t="inlineStr">
        <is>
          <t>J2V3</t>
        </is>
      </c>
      <c r="F37" s="13" t="inlineStr">
        <is>
          <t>2027-003</t>
        </is>
      </c>
      <c r="G37" s="13" t="n">
        <v>400000</v>
      </c>
      <c r="H37" s="13">
        <f>INDEX('MAR 2e graad'!$B$2:$B$58,MATCH(G37,'MAR 2e graad'!$A$2:$A$58,0))</f>
        <v/>
      </c>
      <c r="I37" s="13">
        <f>INDEX('MAR 2e graad'!$C$2:$C$58,MATCH(G37,'MAR 2e graad'!$A$2:$A$58,0))</f>
        <v/>
      </c>
      <c r="J37" s="13">
        <f>IF(OR(I37="A",I37="K"),IF(K37&gt;0,"+","-"),IF(L37&gt;0,"+","-"))</f>
        <v/>
      </c>
      <c r="K37" s="14" t="n">
        <v>6534</v>
      </c>
      <c r="L37" s="14" t="n"/>
      <c r="M37" s="13" t="inlineStr">
        <is>
          <t>de vordering op de klant stijgt</t>
        </is>
      </c>
      <c r="N37" s="13" t="inlineStr">
        <is>
          <t>nee</t>
        </is>
      </c>
    </row>
    <row r="38">
      <c r="A38" s="12" t="n">
        <v>37</v>
      </c>
      <c r="B38" s="16" t="n">
        <v>46406</v>
      </c>
      <c r="C38" s="5" t="inlineStr">
        <is>
          <t>K1</t>
        </is>
      </c>
      <c r="D38" s="13" t="inlineStr">
        <is>
          <t>K1</t>
        </is>
      </c>
      <c r="E38" s="13" t="inlineStr">
        <is>
          <t>J2V3</t>
        </is>
      </c>
      <c r="F38" s="13" t="inlineStr">
        <is>
          <t>2027-003</t>
        </is>
      </c>
      <c r="G38" s="13" t="n">
        <v>704000</v>
      </c>
      <c r="H38" s="13">
        <f>INDEX('MAR 2e graad'!$B$2:$B$58,MATCH(G38,'MAR 2e graad'!$A$2:$A$58,0))</f>
        <v/>
      </c>
      <c r="I38" s="13">
        <f>INDEX('MAR 2e graad'!$C$2:$C$58,MATCH(G38,'MAR 2e graad'!$A$2:$A$58,0))</f>
        <v/>
      </c>
      <c r="J38" s="13">
        <f>IF(OR(I38="A",I38="K"),IF(K38&gt;0,"+","-"),IF(L38&gt;0,"+","-"))</f>
        <v/>
      </c>
      <c r="K38" s="14" t="n"/>
      <c r="L38" s="14" t="n">
        <v>6000</v>
      </c>
      <c r="M38" s="13" t="inlineStr">
        <is>
          <t>de omzet stijgt</t>
        </is>
      </c>
      <c r="N38" s="13" t="inlineStr">
        <is>
          <t>nee</t>
        </is>
      </c>
    </row>
    <row r="39">
      <c r="A39" s="12" t="n">
        <v>38</v>
      </c>
      <c r="B39" s="16" t="n">
        <v>46406</v>
      </c>
      <c r="C39" s="5" t="inlineStr">
        <is>
          <t>K1</t>
        </is>
      </c>
      <c r="D39" s="13" t="inlineStr">
        <is>
          <t>K1</t>
        </is>
      </c>
      <c r="E39" s="13" t="inlineStr">
        <is>
          <t>J2V3</t>
        </is>
      </c>
      <c r="F39" s="13" t="inlineStr">
        <is>
          <t>2027-003</t>
        </is>
      </c>
      <c r="G39" s="13" t="n">
        <v>704020</v>
      </c>
      <c r="H39" s="13">
        <f>INDEX('MAR 2e graad'!$B$2:$B$58,MATCH(G39,'MAR 2e graad'!$A$2:$A$58,0))</f>
        <v/>
      </c>
      <c r="I39" s="13">
        <f>INDEX('MAR 2e graad'!$C$2:$C$58,MATCH(G39,'MAR 2e graad'!$A$2:$A$58,0))</f>
        <v/>
      </c>
      <c r="J39" s="13">
        <f>IF(OR(I39="A",I39="K"),IF(K39&gt;0,"+","-"),IF(L39&gt;0,"+","-"))</f>
        <v/>
      </c>
      <c r="K39" s="14" t="n">
        <v>600</v>
      </c>
      <c r="L39" s="14" t="n"/>
      <c r="M39" s="13" t="inlineStr">
        <is>
          <t>de handelskorting op verkopen stijgt (omzet daalt)</t>
        </is>
      </c>
      <c r="N39" s="13" t="inlineStr">
        <is>
          <t>nee</t>
        </is>
      </c>
    </row>
    <row r="40">
      <c r="A40" s="12" t="n">
        <v>39</v>
      </c>
      <c r="B40" s="16" t="n">
        <v>46406</v>
      </c>
      <c r="C40" s="5" t="inlineStr">
        <is>
          <t>K1</t>
        </is>
      </c>
      <c r="D40" s="13" t="inlineStr">
        <is>
          <t>K1</t>
        </is>
      </c>
      <c r="E40" s="13" t="inlineStr">
        <is>
          <t>J2V3</t>
        </is>
      </c>
      <c r="F40" s="13" t="inlineStr">
        <is>
          <t>2027-003</t>
        </is>
      </c>
      <c r="G40" s="13" t="n">
        <v>451100</v>
      </c>
      <c r="H40" s="13">
        <f>INDEX('MAR 2e graad'!$B$2:$B$58,MATCH(G40,'MAR 2e graad'!$A$2:$A$58,0))</f>
        <v/>
      </c>
      <c r="I40" s="13">
        <f>INDEX('MAR 2e graad'!$C$2:$C$58,MATCH(G40,'MAR 2e graad'!$A$2:$A$58,0))</f>
        <v/>
      </c>
      <c r="J40" s="13">
        <f>IF(OR(I40="A",I40="K"),IF(K40&gt;0,"+","-"),IF(L40&gt;0,"+","-"))</f>
        <v/>
      </c>
      <c r="K40" s="14" t="n"/>
      <c r="L40" s="14" t="n">
        <v>1134</v>
      </c>
      <c r="M40" s="13" t="inlineStr">
        <is>
          <t>de schuld aan de overheid (verschuldigde btw) stijgt</t>
        </is>
      </c>
      <c r="N40" s="13" t="inlineStr">
        <is>
          <t>nee</t>
        </is>
      </c>
    </row>
    <row r="41">
      <c r="A41" s="12" t="n">
        <v>40</v>
      </c>
      <c r="B41" s="16" t="n">
        <v>46407</v>
      </c>
      <c r="C41" s="5" t="inlineStr">
        <is>
          <t>K1</t>
        </is>
      </c>
      <c r="D41" s="13" t="inlineStr">
        <is>
          <t>K1</t>
        </is>
      </c>
      <c r="E41" s="13" t="inlineStr">
        <is>
          <t>J2K1</t>
        </is>
      </c>
      <c r="F41" s="13" t="inlineStr">
        <is>
          <t>KAS-2027-01</t>
        </is>
      </c>
      <c r="G41" s="13" t="n">
        <v>580000</v>
      </c>
      <c r="H41" s="13">
        <f>INDEX('MAR 2e graad'!$B$2:$B$58,MATCH(G41,'MAR 2e graad'!$A$2:$A$58,0))</f>
        <v/>
      </c>
      <c r="I41" s="13">
        <f>INDEX('MAR 2e graad'!$C$2:$C$58,MATCH(G41,'MAR 2e graad'!$A$2:$A$58,0))</f>
        <v/>
      </c>
      <c r="J41" s="13">
        <f>IF(OR(I41="A",I41="K"),IF(K41&gt;0,"+","-"),IF(L41&gt;0,"+","-"))</f>
        <v/>
      </c>
      <c r="K41" s="14" t="n">
        <v>2000</v>
      </c>
      <c r="L41" s="14" t="n"/>
      <c r="M41" s="13" t="inlineStr">
        <is>
          <t>de interne overboeking (onderweg naar de bank) stijgt</t>
        </is>
      </c>
      <c r="N41" s="13" t="inlineStr">
        <is>
          <t>nee</t>
        </is>
      </c>
    </row>
    <row r="42">
      <c r="A42" s="12" t="n">
        <v>41</v>
      </c>
      <c r="B42" s="16" t="n">
        <v>46407</v>
      </c>
      <c r="C42" s="5" t="inlineStr">
        <is>
          <t>K1</t>
        </is>
      </c>
      <c r="D42" s="13" t="inlineStr">
        <is>
          <t>K1</t>
        </is>
      </c>
      <c r="E42" s="13" t="inlineStr">
        <is>
          <t>J2K1</t>
        </is>
      </c>
      <c r="F42" s="13" t="inlineStr">
        <is>
          <t>KAS-2027-01</t>
        </is>
      </c>
      <c r="G42" s="13" t="n">
        <v>570000</v>
      </c>
      <c r="H42" s="13">
        <f>INDEX('MAR 2e graad'!$B$2:$B$58,MATCH(G42,'MAR 2e graad'!$A$2:$A$58,0))</f>
        <v/>
      </c>
      <c r="I42" s="13">
        <f>INDEX('MAR 2e graad'!$C$2:$C$58,MATCH(G42,'MAR 2e graad'!$A$2:$A$58,0))</f>
        <v/>
      </c>
      <c r="J42" s="13">
        <f>IF(OR(I42="A",I42="K"),IF(K42&gt;0,"+","-"),IF(L42&gt;0,"+","-"))</f>
        <v/>
      </c>
      <c r="K42" s="14" t="n"/>
      <c r="L42" s="14" t="n">
        <v>2000</v>
      </c>
      <c r="M42" s="13" t="inlineStr">
        <is>
          <t>de kas daalt</t>
        </is>
      </c>
      <c r="N42" s="13" t="inlineStr">
        <is>
          <t>nee</t>
        </is>
      </c>
    </row>
    <row r="43">
      <c r="A43" s="12" t="n">
        <v>42</v>
      </c>
      <c r="B43" s="16" t="n">
        <v>46408</v>
      </c>
      <c r="C43" s="5" t="inlineStr">
        <is>
          <t>K1</t>
        </is>
      </c>
      <c r="D43" s="13" t="inlineStr">
        <is>
          <t>K1</t>
        </is>
      </c>
      <c r="E43" s="13" t="inlineStr">
        <is>
          <t>U2027-02/1</t>
        </is>
      </c>
      <c r="F43" s="13" t="inlineStr">
        <is>
          <t>uittreksel U2027-02/1</t>
        </is>
      </c>
      <c r="G43" s="13" t="n">
        <v>550000</v>
      </c>
      <c r="H43" s="13">
        <f>INDEX('MAR 2e graad'!$B$2:$B$58,MATCH(G43,'MAR 2e graad'!$A$2:$A$58,0))</f>
        <v/>
      </c>
      <c r="I43" s="13">
        <f>INDEX('MAR 2e graad'!$C$2:$C$58,MATCH(G43,'MAR 2e graad'!$A$2:$A$58,0))</f>
        <v/>
      </c>
      <c r="J43" s="13">
        <f>IF(OR(I43="A",I43="K"),IF(K43&gt;0,"+","-"),IF(L43&gt;0,"+","-"))</f>
        <v/>
      </c>
      <c r="K43" s="14" t="n">
        <v>2000</v>
      </c>
      <c r="L43" s="14" t="n"/>
      <c r="M43" s="13" t="inlineStr">
        <is>
          <t>de bank stijgt</t>
        </is>
      </c>
      <c r="N43" s="13" t="inlineStr">
        <is>
          <t>nee</t>
        </is>
      </c>
    </row>
    <row r="44">
      <c r="A44" s="12" t="n">
        <v>43</v>
      </c>
      <c r="B44" s="16" t="n">
        <v>46408</v>
      </c>
      <c r="C44" s="5" t="inlineStr">
        <is>
          <t>K1</t>
        </is>
      </c>
      <c r="D44" s="13" t="inlineStr">
        <is>
          <t>K1</t>
        </is>
      </c>
      <c r="E44" s="13" t="inlineStr">
        <is>
          <t>U2027-02/1</t>
        </is>
      </c>
      <c r="F44" s="13" t="inlineStr">
        <is>
          <t>uittreksel U2027-02/1</t>
        </is>
      </c>
      <c r="G44" s="13" t="n">
        <v>580000</v>
      </c>
      <c r="H44" s="13">
        <f>INDEX('MAR 2e graad'!$B$2:$B$58,MATCH(G44,'MAR 2e graad'!$A$2:$A$58,0))</f>
        <v/>
      </c>
      <c r="I44" s="13">
        <f>INDEX('MAR 2e graad'!$C$2:$C$58,MATCH(G44,'MAR 2e graad'!$A$2:$A$58,0))</f>
        <v/>
      </c>
      <c r="J44" s="13">
        <f>IF(OR(I44="A",I44="K"),IF(K44&gt;0,"+","-"),IF(L44&gt;0,"+","-"))</f>
        <v/>
      </c>
      <c r="K44" s="14" t="n"/>
      <c r="L44" s="14" t="n">
        <v>2000</v>
      </c>
      <c r="M44" s="13" t="inlineStr">
        <is>
          <t>de interne overboeking daalt</t>
        </is>
      </c>
      <c r="N44" s="13" t="inlineStr">
        <is>
          <t>nee</t>
        </is>
      </c>
    </row>
    <row r="45">
      <c r="A45" s="12" t="n">
        <v>44</v>
      </c>
      <c r="B45" s="16" t="n">
        <v>46408</v>
      </c>
      <c r="C45" s="5" t="inlineStr">
        <is>
          <t>K1</t>
        </is>
      </c>
      <c r="D45" s="13" t="inlineStr">
        <is>
          <t>K1</t>
        </is>
      </c>
      <c r="E45" s="13" t="inlineStr">
        <is>
          <t>U2027-02/2</t>
        </is>
      </c>
      <c r="F45" s="13" t="inlineStr">
        <is>
          <t>uittreksel U2027-02/2</t>
        </is>
      </c>
      <c r="G45" s="13" t="n">
        <v>451000</v>
      </c>
      <c r="H45" s="13">
        <f>INDEX('MAR 2e graad'!$B$2:$B$58,MATCH(G45,'MAR 2e graad'!$A$2:$A$58,0))</f>
        <v/>
      </c>
      <c r="I45" s="13">
        <f>INDEX('MAR 2e graad'!$C$2:$C$58,MATCH(G45,'MAR 2e graad'!$A$2:$A$58,0))</f>
        <v/>
      </c>
      <c r="J45" s="13">
        <f>IF(OR(I45="A",I45="K"),IF(K45&gt;0,"+","-"),IF(L45&gt;0,"+","-"))</f>
        <v/>
      </c>
      <c r="K45" s="14" t="n">
        <v>1428</v>
      </c>
      <c r="L45" s="14" t="n"/>
      <c r="M45" s="13" t="inlineStr">
        <is>
          <t>de schuld aan de overheid (te betalen btw) daalt</t>
        </is>
      </c>
      <c r="N45" s="13" t="inlineStr">
        <is>
          <t>nee</t>
        </is>
      </c>
    </row>
    <row r="46">
      <c r="A46" s="12" t="n">
        <v>45</v>
      </c>
      <c r="B46" s="16" t="n">
        <v>46408</v>
      </c>
      <c r="C46" s="5" t="inlineStr">
        <is>
          <t>K1</t>
        </is>
      </c>
      <c r="D46" s="13" t="inlineStr">
        <is>
          <t>K1</t>
        </is>
      </c>
      <c r="E46" s="13" t="inlineStr">
        <is>
          <t>U2027-02/2</t>
        </is>
      </c>
      <c r="F46" s="13" t="inlineStr">
        <is>
          <t>uittreksel U2027-02/2</t>
        </is>
      </c>
      <c r="G46" s="13" t="n">
        <v>550000</v>
      </c>
      <c r="H46" s="13">
        <f>INDEX('MAR 2e graad'!$B$2:$B$58,MATCH(G46,'MAR 2e graad'!$A$2:$A$58,0))</f>
        <v/>
      </c>
      <c r="I46" s="13">
        <f>INDEX('MAR 2e graad'!$C$2:$C$58,MATCH(G46,'MAR 2e graad'!$A$2:$A$58,0))</f>
        <v/>
      </c>
      <c r="J46" s="13">
        <f>IF(OR(I46="A",I46="K"),IF(K46&gt;0,"+","-"),IF(L46&gt;0,"+","-"))</f>
        <v/>
      </c>
      <c r="K46" s="14" t="n"/>
      <c r="L46" s="14" t="n">
        <v>1428</v>
      </c>
      <c r="M46" s="13" t="inlineStr">
        <is>
          <t>de bank daalt</t>
        </is>
      </c>
      <c r="N46" s="13" t="inlineStr">
        <is>
          <t>nee</t>
        </is>
      </c>
    </row>
    <row r="47">
      <c r="A47" s="12" t="n">
        <v>46</v>
      </c>
      <c r="B47" s="16" t="n">
        <v>46408</v>
      </c>
      <c r="C47" s="5" t="inlineStr">
        <is>
          <t>K1</t>
        </is>
      </c>
      <c r="D47" s="13" t="inlineStr">
        <is>
          <t>K1</t>
        </is>
      </c>
      <c r="E47" s="13" t="inlineStr">
        <is>
          <t>U2027-02/3</t>
        </is>
      </c>
      <c r="F47" s="13" t="inlineStr">
        <is>
          <t>uittreksel U2027-02/3</t>
        </is>
      </c>
      <c r="G47" s="13" t="n">
        <v>440000</v>
      </c>
      <c r="H47" s="13">
        <f>INDEX('MAR 2e graad'!$B$2:$B$58,MATCH(G47,'MAR 2e graad'!$A$2:$A$58,0))</f>
        <v/>
      </c>
      <c r="I47" s="13">
        <f>INDEX('MAR 2e graad'!$C$2:$C$58,MATCH(G47,'MAR 2e graad'!$A$2:$A$58,0))</f>
        <v/>
      </c>
      <c r="J47" s="13">
        <f>IF(OR(I47="A",I47="K"),IF(K47&gt;0,"+","-"),IF(L47&gt;0,"+","-"))</f>
        <v/>
      </c>
      <c r="K47" s="14" t="n">
        <v>363</v>
      </c>
      <c r="L47" s="14" t="n"/>
      <c r="M47" s="13" t="inlineStr">
        <is>
          <t>de schuld aan de leverancier daalt</t>
        </is>
      </c>
      <c r="N47" s="13" t="inlineStr">
        <is>
          <t>nee</t>
        </is>
      </c>
    </row>
    <row r="48">
      <c r="A48" s="12" t="n">
        <v>47</v>
      </c>
      <c r="B48" s="16" t="n">
        <v>46408</v>
      </c>
      <c r="C48" s="5" t="inlineStr">
        <is>
          <t>K1</t>
        </is>
      </c>
      <c r="D48" s="13" t="inlineStr">
        <is>
          <t>K1</t>
        </is>
      </c>
      <c r="E48" s="13" t="inlineStr">
        <is>
          <t>U2027-02/3</t>
        </is>
      </c>
      <c r="F48" s="13" t="inlineStr">
        <is>
          <t>uittreksel U2027-02/3</t>
        </is>
      </c>
      <c r="G48" s="13" t="n">
        <v>550000</v>
      </c>
      <c r="H48" s="13">
        <f>INDEX('MAR 2e graad'!$B$2:$B$58,MATCH(G48,'MAR 2e graad'!$A$2:$A$58,0))</f>
        <v/>
      </c>
      <c r="I48" s="13">
        <f>INDEX('MAR 2e graad'!$C$2:$C$58,MATCH(G48,'MAR 2e graad'!$A$2:$A$58,0))</f>
        <v/>
      </c>
      <c r="J48" s="13">
        <f>IF(OR(I48="A",I48="K"),IF(K48&gt;0,"+","-"),IF(L48&gt;0,"+","-"))</f>
        <v/>
      </c>
      <c r="K48" s="14" t="n"/>
      <c r="L48" s="14" t="n">
        <v>363</v>
      </c>
      <c r="M48" s="13" t="inlineStr">
        <is>
          <t>de bank daalt</t>
        </is>
      </c>
      <c r="N48" s="13" t="inlineStr">
        <is>
          <t>nee</t>
        </is>
      </c>
    </row>
    <row r="49">
      <c r="A49" s="12" t="n">
        <v>48</v>
      </c>
      <c r="B49" s="16" t="n">
        <v>46409</v>
      </c>
      <c r="C49" s="5" t="inlineStr">
        <is>
          <t>K1</t>
        </is>
      </c>
      <c r="D49" s="13" t="inlineStr">
        <is>
          <t>K1</t>
        </is>
      </c>
      <c r="E49" s="13" t="inlineStr">
        <is>
          <t>J2A9</t>
        </is>
      </c>
      <c r="F49" s="13" t="inlineStr">
        <is>
          <t>2027-052</t>
        </is>
      </c>
      <c r="G49" s="13" t="n">
        <v>604000</v>
      </c>
      <c r="H49" s="13">
        <f>INDEX('MAR 2e graad'!$B$2:$B$58,MATCH(G49,'MAR 2e graad'!$A$2:$A$58,0))</f>
        <v/>
      </c>
      <c r="I49" s="13">
        <f>INDEX('MAR 2e graad'!$C$2:$C$58,MATCH(G49,'MAR 2e graad'!$A$2:$A$58,0))</f>
        <v/>
      </c>
      <c r="J49" s="13">
        <f>IF(OR(I49="A",I49="K"),IF(K49&gt;0,"+","-"),IF(L49&gt;0,"+","-"))</f>
        <v/>
      </c>
      <c r="K49" s="14" t="n">
        <v>2000</v>
      </c>
      <c r="L49" s="14" t="n"/>
      <c r="M49" s="13" t="inlineStr">
        <is>
          <t>de kosten voor handelsgoederen stijgen</t>
        </is>
      </c>
      <c r="N49" s="13" t="inlineStr">
        <is>
          <t>nee</t>
        </is>
      </c>
    </row>
    <row r="50">
      <c r="A50" s="12" t="n">
        <v>49</v>
      </c>
      <c r="B50" s="16" t="n">
        <v>46409</v>
      </c>
      <c r="C50" s="5" t="inlineStr">
        <is>
          <t>K1</t>
        </is>
      </c>
      <c r="D50" s="13" t="inlineStr">
        <is>
          <t>K1</t>
        </is>
      </c>
      <c r="E50" s="13" t="inlineStr">
        <is>
          <t>J2A9</t>
        </is>
      </c>
      <c r="F50" s="13" t="inlineStr">
        <is>
          <t>2027-052</t>
        </is>
      </c>
      <c r="G50" s="13" t="n">
        <v>604000</v>
      </c>
      <c r="H50" s="13">
        <f>INDEX('MAR 2e graad'!$B$2:$B$58,MATCH(G50,'MAR 2e graad'!$A$2:$A$58,0))</f>
        <v/>
      </c>
      <c r="I50" s="13">
        <f>INDEX('MAR 2e graad'!$C$2:$C$58,MATCH(G50,'MAR 2e graad'!$A$2:$A$58,0))</f>
        <v/>
      </c>
      <c r="J50" s="13">
        <f>IF(OR(I50="A",I50="K"),IF(K50&gt;0,"+","-"),IF(L50&gt;0,"+","-"))</f>
        <v/>
      </c>
      <c r="K50" s="14" t="n">
        <v>1800</v>
      </c>
      <c r="L50" s="14" t="n"/>
      <c r="M50" s="13" t="inlineStr">
        <is>
          <t>de kosten voor handelsgoederen stijgen</t>
        </is>
      </c>
      <c r="N50" s="13" t="inlineStr">
        <is>
          <t>nee</t>
        </is>
      </c>
    </row>
    <row r="51">
      <c r="A51" s="12" t="n">
        <v>50</v>
      </c>
      <c r="B51" s="16" t="n">
        <v>46409</v>
      </c>
      <c r="C51" s="5" t="inlineStr">
        <is>
          <t>K1</t>
        </is>
      </c>
      <c r="D51" s="13" t="inlineStr">
        <is>
          <t>K1</t>
        </is>
      </c>
      <c r="E51" s="13" t="inlineStr">
        <is>
          <t>J2A9</t>
        </is>
      </c>
      <c r="F51" s="13" t="inlineStr">
        <is>
          <t>2027-052</t>
        </is>
      </c>
      <c r="G51" s="13" t="n">
        <v>604000</v>
      </c>
      <c r="H51" s="13">
        <f>INDEX('MAR 2e graad'!$B$2:$B$58,MATCH(G51,'MAR 2e graad'!$A$2:$A$58,0))</f>
        <v/>
      </c>
      <c r="I51" s="13">
        <f>INDEX('MAR 2e graad'!$C$2:$C$58,MATCH(G51,'MAR 2e graad'!$A$2:$A$58,0))</f>
        <v/>
      </c>
      <c r="J51" s="13">
        <f>IF(OR(I51="A",I51="K"),IF(K51&gt;0,"+","-"),IF(L51&gt;0,"+","-"))</f>
        <v/>
      </c>
      <c r="K51" s="14" t="n">
        <v>1200</v>
      </c>
      <c r="L51" s="14" t="n"/>
      <c r="M51" s="13" t="inlineStr">
        <is>
          <t>de kosten voor handelsgoederen stijgen</t>
        </is>
      </c>
      <c r="N51" s="13" t="inlineStr">
        <is>
          <t>nee</t>
        </is>
      </c>
    </row>
    <row r="52">
      <c r="A52" s="12" t="n">
        <v>51</v>
      </c>
      <c r="B52" s="16" t="n">
        <v>46409</v>
      </c>
      <c r="C52" s="5" t="inlineStr">
        <is>
          <t>K1</t>
        </is>
      </c>
      <c r="D52" s="13" t="inlineStr">
        <is>
          <t>K1</t>
        </is>
      </c>
      <c r="E52" s="13" t="inlineStr">
        <is>
          <t>J2A9</t>
        </is>
      </c>
      <c r="F52" s="13" t="inlineStr">
        <is>
          <t>2027-052</t>
        </is>
      </c>
      <c r="G52" s="13" t="n">
        <v>411100</v>
      </c>
      <c r="H52" s="13">
        <f>INDEX('MAR 2e graad'!$B$2:$B$58,MATCH(G52,'MAR 2e graad'!$A$2:$A$58,0))</f>
        <v/>
      </c>
      <c r="I52" s="13">
        <f>INDEX('MAR 2e graad'!$C$2:$C$58,MATCH(G52,'MAR 2e graad'!$A$2:$A$58,0))</f>
        <v/>
      </c>
      <c r="J52" s="13">
        <f>IF(OR(I52="A",I52="K"),IF(K52&gt;0,"+","-"),IF(L52&gt;0,"+","-"))</f>
        <v/>
      </c>
      <c r="K52" s="14" t="n">
        <v>1029</v>
      </c>
      <c r="L52" s="14" t="n"/>
      <c r="M52" s="13" t="inlineStr">
        <is>
          <t>de vordering op de overheid (aftrekbare btw) stijgt</t>
        </is>
      </c>
      <c r="N52" s="13" t="inlineStr">
        <is>
          <t>nee</t>
        </is>
      </c>
    </row>
    <row r="53">
      <c r="A53" s="12" t="n">
        <v>52</v>
      </c>
      <c r="B53" s="16" t="n">
        <v>46409</v>
      </c>
      <c r="C53" s="5" t="inlineStr">
        <is>
          <t>K1</t>
        </is>
      </c>
      <c r="D53" s="13" t="inlineStr">
        <is>
          <t>K1</t>
        </is>
      </c>
      <c r="E53" s="13" t="inlineStr">
        <is>
          <t>J2A9</t>
        </is>
      </c>
      <c r="F53" s="13" t="inlineStr">
        <is>
          <t>2027-052</t>
        </is>
      </c>
      <c r="G53" s="13" t="n">
        <v>440000</v>
      </c>
      <c r="H53" s="13">
        <f>INDEX('MAR 2e graad'!$B$2:$B$58,MATCH(G53,'MAR 2e graad'!$A$2:$A$58,0))</f>
        <v/>
      </c>
      <c r="I53" s="13">
        <f>INDEX('MAR 2e graad'!$C$2:$C$58,MATCH(G53,'MAR 2e graad'!$A$2:$A$58,0))</f>
        <v/>
      </c>
      <c r="J53" s="13">
        <f>IF(OR(I53="A",I53="K"),IF(K53&gt;0,"+","-"),IF(L53&gt;0,"+","-"))</f>
        <v/>
      </c>
      <c r="K53" s="14" t="n"/>
      <c r="L53" s="14" t="n">
        <v>6029</v>
      </c>
      <c r="M53" s="13" t="inlineStr">
        <is>
          <t>de schuld aan de leverancier stijgt</t>
        </is>
      </c>
      <c r="N53" s="13" t="inlineStr">
        <is>
          <t>nee</t>
        </is>
      </c>
    </row>
    <row r="54">
      <c r="A54" s="12" t="n">
        <v>53</v>
      </c>
      <c r="B54" s="16" t="n">
        <v>46412</v>
      </c>
      <c r="C54" s="5" t="inlineStr">
        <is>
          <t>K1</t>
        </is>
      </c>
      <c r="D54" s="13" t="inlineStr">
        <is>
          <t>K1</t>
        </is>
      </c>
      <c r="E54" s="13" t="inlineStr">
        <is>
          <t>J2V9</t>
        </is>
      </c>
      <c r="F54" s="13" t="inlineStr">
        <is>
          <t>2027-025</t>
        </is>
      </c>
      <c r="G54" s="13" t="n">
        <v>400000</v>
      </c>
      <c r="H54" s="13">
        <f>INDEX('MAR 2e graad'!$B$2:$B$58,MATCH(G54,'MAR 2e graad'!$A$2:$A$58,0))</f>
        <v/>
      </c>
      <c r="I54" s="13">
        <f>INDEX('MAR 2e graad'!$C$2:$C$58,MATCH(G54,'MAR 2e graad'!$A$2:$A$58,0))</f>
        <v/>
      </c>
      <c r="J54" s="13">
        <f>IF(OR(I54="A",I54="K"),IF(K54&gt;0,"+","-"),IF(L54&gt;0,"+","-"))</f>
        <v/>
      </c>
      <c r="K54" s="14" t="n">
        <v>3004</v>
      </c>
      <c r="L54" s="14" t="n"/>
      <c r="M54" s="13" t="inlineStr">
        <is>
          <t>de vordering op de klant stijgt</t>
        </is>
      </c>
      <c r="N54" s="13" t="inlineStr">
        <is>
          <t>nee</t>
        </is>
      </c>
    </row>
    <row r="55">
      <c r="A55" s="12" t="n">
        <v>54</v>
      </c>
      <c r="B55" s="16" t="n">
        <v>46412</v>
      </c>
      <c r="C55" s="5" t="inlineStr">
        <is>
          <t>K1</t>
        </is>
      </c>
      <c r="D55" s="13" t="inlineStr">
        <is>
          <t>K1</t>
        </is>
      </c>
      <c r="E55" s="13" t="inlineStr">
        <is>
          <t>J2V9</t>
        </is>
      </c>
      <c r="F55" s="13" t="inlineStr">
        <is>
          <t>2027-025</t>
        </is>
      </c>
      <c r="G55" s="13" t="n">
        <v>704000</v>
      </c>
      <c r="H55" s="13">
        <f>INDEX('MAR 2e graad'!$B$2:$B$58,MATCH(G55,'MAR 2e graad'!$A$2:$A$58,0))</f>
        <v/>
      </c>
      <c r="I55" s="13">
        <f>INDEX('MAR 2e graad'!$C$2:$C$58,MATCH(G55,'MAR 2e graad'!$A$2:$A$58,0))</f>
        <v/>
      </c>
      <c r="J55" s="13">
        <f>IF(OR(I55="A",I55="K"),IF(K55&gt;0,"+","-"),IF(L55&gt;0,"+","-"))</f>
        <v/>
      </c>
      <c r="K55" s="14" t="n"/>
      <c r="L55" s="14" t="n">
        <v>2000</v>
      </c>
      <c r="M55" s="13" t="inlineStr">
        <is>
          <t>de omzet stijgt</t>
        </is>
      </c>
      <c r="N55" s="13" t="inlineStr">
        <is>
          <t>nee</t>
        </is>
      </c>
    </row>
    <row r="56">
      <c r="A56" s="12" t="n">
        <v>55</v>
      </c>
      <c r="B56" s="16" t="n">
        <v>46412</v>
      </c>
      <c r="C56" s="5" t="inlineStr">
        <is>
          <t>K1</t>
        </is>
      </c>
      <c r="D56" s="13" t="inlineStr">
        <is>
          <t>K1</t>
        </is>
      </c>
      <c r="E56" s="13" t="inlineStr">
        <is>
          <t>J2V9</t>
        </is>
      </c>
      <c r="F56" s="13" t="inlineStr">
        <is>
          <t>2027-025</t>
        </is>
      </c>
      <c r="G56" s="13" t="n">
        <v>704000</v>
      </c>
      <c r="H56" s="13">
        <f>INDEX('MAR 2e graad'!$B$2:$B$58,MATCH(G56,'MAR 2e graad'!$A$2:$A$58,0))</f>
        <v/>
      </c>
      <c r="I56" s="13">
        <f>INDEX('MAR 2e graad'!$C$2:$C$58,MATCH(G56,'MAR 2e graad'!$A$2:$A$58,0))</f>
        <v/>
      </c>
      <c r="J56" s="13">
        <f>IF(OR(I56="A",I56="K"),IF(K56&gt;0,"+","-"),IF(L56&gt;0,"+","-"))</f>
        <v/>
      </c>
      <c r="K56" s="14" t="n"/>
      <c r="L56" s="14" t="n">
        <v>500</v>
      </c>
      <c r="M56" s="13" t="inlineStr">
        <is>
          <t>de omzet stijgt</t>
        </is>
      </c>
      <c r="N56" s="13" t="inlineStr">
        <is>
          <t>nee</t>
        </is>
      </c>
    </row>
    <row r="57">
      <c r="A57" s="12" t="n">
        <v>56</v>
      </c>
      <c r="B57" s="16" t="n">
        <v>46412</v>
      </c>
      <c r="C57" s="5" t="inlineStr">
        <is>
          <t>K1</t>
        </is>
      </c>
      <c r="D57" s="13" t="inlineStr">
        <is>
          <t>K1</t>
        </is>
      </c>
      <c r="E57" s="13" t="inlineStr">
        <is>
          <t>J2V9</t>
        </is>
      </c>
      <c r="F57" s="13" t="inlineStr">
        <is>
          <t>2027-025</t>
        </is>
      </c>
      <c r="G57" s="13" t="n">
        <v>451100</v>
      </c>
      <c r="H57" s="13">
        <f>INDEX('MAR 2e graad'!$B$2:$B$58,MATCH(G57,'MAR 2e graad'!$A$2:$A$58,0))</f>
        <v/>
      </c>
      <c r="I57" s="13">
        <f>INDEX('MAR 2e graad'!$C$2:$C$58,MATCH(G57,'MAR 2e graad'!$A$2:$A$58,0))</f>
        <v/>
      </c>
      <c r="J57" s="13">
        <f>IF(OR(I57="A",I57="K"),IF(K57&gt;0,"+","-"),IF(L57&gt;0,"+","-"))</f>
        <v/>
      </c>
      <c r="K57" s="14" t="n"/>
      <c r="L57" s="14" t="n">
        <v>504</v>
      </c>
      <c r="M57" s="13" t="inlineStr">
        <is>
          <t>de schuld aan de overheid (verschuldigde btw) stijgt</t>
        </is>
      </c>
      <c r="N57" s="13" t="inlineStr">
        <is>
          <t>nee</t>
        </is>
      </c>
    </row>
    <row r="58">
      <c r="A58" s="12" t="n">
        <v>57</v>
      </c>
      <c r="B58" s="16" t="n">
        <v>46413</v>
      </c>
      <c r="C58" s="5" t="inlineStr">
        <is>
          <t>K1</t>
        </is>
      </c>
      <c r="D58" s="13" t="inlineStr">
        <is>
          <t>K1</t>
        </is>
      </c>
      <c r="E58" s="13" t="inlineStr">
        <is>
          <t>J2CV2</t>
        </is>
      </c>
      <c r="F58" s="13" t="inlineStr">
        <is>
          <t>CN-2027-002</t>
        </is>
      </c>
      <c r="G58" s="13" t="n">
        <v>400000</v>
      </c>
      <c r="H58" s="13">
        <f>INDEX('MAR 2e graad'!$B$2:$B$58,MATCH(G58,'MAR 2e graad'!$A$2:$A$58,0))</f>
        <v/>
      </c>
      <c r="I58" s="13">
        <f>INDEX('MAR 2e graad'!$C$2:$C$58,MATCH(G58,'MAR 2e graad'!$A$2:$A$58,0))</f>
        <v/>
      </c>
      <c r="J58" s="13">
        <f>IF(OR(I58="A",I58="K"),IF(K58&gt;0,"+","-"),IF(L58&gt;0,"+","-"))</f>
        <v/>
      </c>
      <c r="K58" s="14" t="n"/>
      <c r="L58" s="14" t="n">
        <v>3267</v>
      </c>
      <c r="M58" s="13" t="inlineStr">
        <is>
          <t>de vordering op de klant daalt</t>
        </is>
      </c>
      <c r="N58" s="13" t="inlineStr">
        <is>
          <t>nee</t>
        </is>
      </c>
    </row>
    <row r="59">
      <c r="A59" s="12" t="n">
        <v>58</v>
      </c>
      <c r="B59" s="16" t="n">
        <v>46413</v>
      </c>
      <c r="C59" s="5" t="inlineStr">
        <is>
          <t>K1</t>
        </is>
      </c>
      <c r="D59" s="13" t="inlineStr">
        <is>
          <t>K1</t>
        </is>
      </c>
      <c r="E59" s="13" t="inlineStr">
        <is>
          <t>J2CV2</t>
        </is>
      </c>
      <c r="F59" s="13" t="inlineStr">
        <is>
          <t>CN-2027-002</t>
        </is>
      </c>
      <c r="G59" s="13" t="n">
        <v>704010</v>
      </c>
      <c r="H59" s="13">
        <f>INDEX('MAR 2e graad'!$B$2:$B$58,MATCH(G59,'MAR 2e graad'!$A$2:$A$58,0))</f>
        <v/>
      </c>
      <c r="I59" s="13">
        <f>INDEX('MAR 2e graad'!$C$2:$C$58,MATCH(G59,'MAR 2e graad'!$A$2:$A$58,0))</f>
        <v/>
      </c>
      <c r="J59" s="13">
        <f>IF(OR(I59="A",I59="K"),IF(K59&gt;0,"+","-"),IF(L59&gt;0,"+","-"))</f>
        <v/>
      </c>
      <c r="K59" s="14" t="n">
        <v>3000</v>
      </c>
      <c r="L59" s="14" t="n"/>
      <c r="M59" s="13" t="inlineStr">
        <is>
          <t>de omzet daalt (retour)</t>
        </is>
      </c>
      <c r="N59" s="13" t="inlineStr">
        <is>
          <t>nee</t>
        </is>
      </c>
    </row>
    <row r="60">
      <c r="A60" s="12" t="n">
        <v>59</v>
      </c>
      <c r="B60" s="16" t="n">
        <v>46413</v>
      </c>
      <c r="C60" s="5" t="inlineStr">
        <is>
          <t>K1</t>
        </is>
      </c>
      <c r="D60" s="13" t="inlineStr">
        <is>
          <t>K1</t>
        </is>
      </c>
      <c r="E60" s="13" t="inlineStr">
        <is>
          <t>J2CV2</t>
        </is>
      </c>
      <c r="F60" s="13" t="inlineStr">
        <is>
          <t>CN-2027-002</t>
        </is>
      </c>
      <c r="G60" s="13" t="n">
        <v>704020</v>
      </c>
      <c r="H60" s="13">
        <f>INDEX('MAR 2e graad'!$B$2:$B$58,MATCH(G60,'MAR 2e graad'!$A$2:$A$58,0))</f>
        <v/>
      </c>
      <c r="I60" s="13">
        <f>INDEX('MAR 2e graad'!$C$2:$C$58,MATCH(G60,'MAR 2e graad'!$A$2:$A$58,0))</f>
        <v/>
      </c>
      <c r="J60" s="13">
        <f>IF(OR(I60="A",I60="K"),IF(K60&gt;0,"+","-"),IF(L60&gt;0,"+","-"))</f>
        <v/>
      </c>
      <c r="K60" s="14" t="n"/>
      <c r="L60" s="14" t="n">
        <v>300</v>
      </c>
      <c r="M60" s="13" t="inlineStr">
        <is>
          <t>de handelskorting op verkopen daalt (omzet stijgt)</t>
        </is>
      </c>
      <c r="N60" s="13" t="inlineStr">
        <is>
          <t>nee</t>
        </is>
      </c>
    </row>
    <row r="61">
      <c r="A61" s="12" t="n">
        <v>60</v>
      </c>
      <c r="B61" s="16" t="n">
        <v>46413</v>
      </c>
      <c r="C61" s="5" t="inlineStr">
        <is>
          <t>K1</t>
        </is>
      </c>
      <c r="D61" s="13" t="inlineStr">
        <is>
          <t>K1</t>
        </is>
      </c>
      <c r="E61" s="13" t="inlineStr">
        <is>
          <t>J2CV2</t>
        </is>
      </c>
      <c r="F61" s="13" t="inlineStr">
        <is>
          <t>CN-2027-002</t>
        </is>
      </c>
      <c r="G61" s="13" t="n">
        <v>411200</v>
      </c>
      <c r="H61" s="13">
        <f>INDEX('MAR 2e graad'!$B$2:$B$58,MATCH(G61,'MAR 2e graad'!$A$2:$A$58,0))</f>
        <v/>
      </c>
      <c r="I61" s="13">
        <f>INDEX('MAR 2e graad'!$C$2:$C$58,MATCH(G61,'MAR 2e graad'!$A$2:$A$58,0))</f>
        <v/>
      </c>
      <c r="J61" s="13">
        <f>IF(OR(I61="A",I61="K"),IF(K61&gt;0,"+","-"),IF(L61&gt;0,"+","-"))</f>
        <v/>
      </c>
      <c r="K61" s="14" t="n">
        <v>567</v>
      </c>
      <c r="L61" s="14" t="n"/>
      <c r="M61" s="13" t="inlineStr">
        <is>
          <t>de vordering op de overheid stijgt (btw op uitgaande creditnota)</t>
        </is>
      </c>
      <c r="N61" s="13" t="inlineStr">
        <is>
          <t>nee</t>
        </is>
      </c>
    </row>
    <row r="62">
      <c r="A62" s="12" t="n">
        <v>61</v>
      </c>
      <c r="B62" s="16" t="n">
        <v>46418</v>
      </c>
      <c r="C62" s="5" t="inlineStr">
        <is>
          <t>K1</t>
        </is>
      </c>
      <c r="D62" s="13" t="inlineStr">
        <is>
          <t>K1</t>
        </is>
      </c>
      <c r="E62" s="13" t="inlineStr">
        <is>
          <t>U2027-03/1</t>
        </is>
      </c>
      <c r="F62" s="13" t="inlineStr">
        <is>
          <t>uittreksel U2027-03/1</t>
        </is>
      </c>
      <c r="G62" s="13" t="n">
        <v>440000</v>
      </c>
      <c r="H62" s="13">
        <f>INDEX('MAR 2e graad'!$B$2:$B$58,MATCH(G62,'MAR 2e graad'!$A$2:$A$58,0))</f>
        <v/>
      </c>
      <c r="I62" s="13">
        <f>INDEX('MAR 2e graad'!$C$2:$C$58,MATCH(G62,'MAR 2e graad'!$A$2:$A$58,0))</f>
        <v/>
      </c>
      <c r="J62" s="13">
        <f>IF(OR(I62="A",I62="K"),IF(K62&gt;0,"+","-"),IF(L62&gt;0,"+","-"))</f>
        <v/>
      </c>
      <c r="K62" s="14" t="n">
        <v>6029</v>
      </c>
      <c r="L62" s="14" t="n"/>
      <c r="M62" s="13" t="inlineStr">
        <is>
          <t>de schuld aan de leverancier daalt</t>
        </is>
      </c>
      <c r="N62" s="13" t="inlineStr">
        <is>
          <t>nee</t>
        </is>
      </c>
    </row>
    <row r="63">
      <c r="A63" s="12" t="n">
        <v>62</v>
      </c>
      <c r="B63" s="16" t="n">
        <v>46418</v>
      </c>
      <c r="C63" s="5" t="inlineStr">
        <is>
          <t>K1</t>
        </is>
      </c>
      <c r="D63" s="13" t="inlineStr">
        <is>
          <t>K1</t>
        </is>
      </c>
      <c r="E63" s="13" t="inlineStr">
        <is>
          <t>U2027-03/1</t>
        </is>
      </c>
      <c r="F63" s="13" t="inlineStr">
        <is>
          <t>uittreksel U2027-03/1</t>
        </is>
      </c>
      <c r="G63" s="13" t="n">
        <v>550000</v>
      </c>
      <c r="H63" s="13">
        <f>INDEX('MAR 2e graad'!$B$2:$B$58,MATCH(G63,'MAR 2e graad'!$A$2:$A$58,0))</f>
        <v/>
      </c>
      <c r="I63" s="13">
        <f>INDEX('MAR 2e graad'!$C$2:$C$58,MATCH(G63,'MAR 2e graad'!$A$2:$A$58,0))</f>
        <v/>
      </c>
      <c r="J63" s="13">
        <f>IF(OR(I63="A",I63="K"),IF(K63&gt;0,"+","-"),IF(L63&gt;0,"+","-"))</f>
        <v/>
      </c>
      <c r="K63" s="14" t="n"/>
      <c r="L63" s="14" t="n">
        <v>5929</v>
      </c>
      <c r="M63" s="13" t="inlineStr">
        <is>
          <t>de bank daalt</t>
        </is>
      </c>
      <c r="N63" s="13" t="inlineStr">
        <is>
          <t>nee</t>
        </is>
      </c>
    </row>
    <row r="64">
      <c r="A64" s="12" t="n">
        <v>63</v>
      </c>
      <c r="B64" s="16" t="n">
        <v>46418</v>
      </c>
      <c r="C64" s="5" t="inlineStr">
        <is>
          <t>K1</t>
        </is>
      </c>
      <c r="D64" s="13" t="inlineStr">
        <is>
          <t>K1</t>
        </is>
      </c>
      <c r="E64" s="13" t="inlineStr">
        <is>
          <t>U2027-03/1</t>
        </is>
      </c>
      <c r="F64" s="13" t="inlineStr">
        <is>
          <t>uittreksel U2027-03/1</t>
        </is>
      </c>
      <c r="G64" s="13" t="n">
        <v>757000</v>
      </c>
      <c r="H64" s="13">
        <f>INDEX('MAR 2e graad'!$B$2:$B$58,MATCH(G64,'MAR 2e graad'!$A$2:$A$58,0))</f>
        <v/>
      </c>
      <c r="I64" s="13">
        <f>INDEX('MAR 2e graad'!$C$2:$C$58,MATCH(G64,'MAR 2e graad'!$A$2:$A$58,0))</f>
        <v/>
      </c>
      <c r="J64" s="13">
        <f>IF(OR(I64="A",I64="K"),IF(K64&gt;0,"+","-"),IF(L64&gt;0,"+","-"))</f>
        <v/>
      </c>
      <c r="K64" s="14" t="n"/>
      <c r="L64" s="14" t="n">
        <v>100</v>
      </c>
      <c r="M64" s="13" t="inlineStr">
        <is>
          <t>de financiële opbrengsten (ontvangen betalingskorting) stijgen</t>
        </is>
      </c>
      <c r="N64" s="13" t="inlineStr">
        <is>
          <t>nee</t>
        </is>
      </c>
    </row>
    <row r="65">
      <c r="A65" s="12" t="n">
        <v>64</v>
      </c>
      <c r="B65" s="16" t="n">
        <v>46418</v>
      </c>
      <c r="C65" s="5" t="inlineStr">
        <is>
          <t>K1</t>
        </is>
      </c>
      <c r="D65" s="13" t="inlineStr">
        <is>
          <t>K1</t>
        </is>
      </c>
      <c r="E65" s="13" t="inlineStr">
        <is>
          <t>U2027-03/2</t>
        </is>
      </c>
      <c r="F65" s="13" t="inlineStr">
        <is>
          <t>uittreksel U2027-03/2</t>
        </is>
      </c>
      <c r="G65" s="13" t="n">
        <v>440000</v>
      </c>
      <c r="H65" s="13">
        <f>INDEX('MAR 2e graad'!$B$2:$B$58,MATCH(G65,'MAR 2e graad'!$A$2:$A$58,0))</f>
        <v/>
      </c>
      <c r="I65" s="13">
        <f>INDEX('MAR 2e graad'!$C$2:$C$58,MATCH(G65,'MAR 2e graad'!$A$2:$A$58,0))</f>
        <v/>
      </c>
      <c r="J65" s="13">
        <f>IF(OR(I65="A",I65="K"),IF(K65&gt;0,"+","-"),IF(L65&gt;0,"+","-"))</f>
        <v/>
      </c>
      <c r="K65" s="14" t="n">
        <v>9801</v>
      </c>
      <c r="L65" s="14" t="n"/>
      <c r="M65" s="13" t="inlineStr">
        <is>
          <t>de schuld aan de leverancier daalt</t>
        </is>
      </c>
      <c r="N65" s="13" t="inlineStr">
        <is>
          <t>nee</t>
        </is>
      </c>
    </row>
    <row r="66">
      <c r="A66" s="12" t="n">
        <v>65</v>
      </c>
      <c r="B66" s="16" t="n">
        <v>46418</v>
      </c>
      <c r="C66" s="5" t="inlineStr">
        <is>
          <t>K1</t>
        </is>
      </c>
      <c r="D66" s="13" t="inlineStr">
        <is>
          <t>K1</t>
        </is>
      </c>
      <c r="E66" s="13" t="inlineStr">
        <is>
          <t>U2027-03/2</t>
        </is>
      </c>
      <c r="F66" s="13" t="inlineStr">
        <is>
          <t>uittreksel U2027-03/2</t>
        </is>
      </c>
      <c r="G66" s="13" t="n">
        <v>550000</v>
      </c>
      <c r="H66" s="13">
        <f>INDEX('MAR 2e graad'!$B$2:$B$58,MATCH(G66,'MAR 2e graad'!$A$2:$A$58,0))</f>
        <v/>
      </c>
      <c r="I66" s="13">
        <f>INDEX('MAR 2e graad'!$C$2:$C$58,MATCH(G66,'MAR 2e graad'!$A$2:$A$58,0))</f>
        <v/>
      </c>
      <c r="J66" s="13">
        <f>IF(OR(I66="A",I66="K"),IF(K66&gt;0,"+","-"),IF(L66&gt;0,"+","-"))</f>
        <v/>
      </c>
      <c r="K66" s="14" t="n"/>
      <c r="L66" s="14" t="n">
        <v>9801</v>
      </c>
      <c r="M66" s="13" t="inlineStr">
        <is>
          <t>de bank daalt</t>
        </is>
      </c>
      <c r="N66" s="13" t="inlineStr">
        <is>
          <t>nee</t>
        </is>
      </c>
    </row>
    <row r="67">
      <c r="A67" s="12" t="n">
        <v>66</v>
      </c>
      <c r="B67" s="16" t="n">
        <v>46418</v>
      </c>
      <c r="C67" s="5" t="inlineStr">
        <is>
          <t>K1</t>
        </is>
      </c>
      <c r="D67" s="13" t="inlineStr">
        <is>
          <t>K1</t>
        </is>
      </c>
      <c r="E67" s="13" t="inlineStr">
        <is>
          <t>U2027-03/3</t>
        </is>
      </c>
      <c r="F67" s="13" t="inlineStr">
        <is>
          <t>uittreksel U2027-03/3</t>
        </is>
      </c>
      <c r="G67" s="13" t="n">
        <v>550000</v>
      </c>
      <c r="H67" s="13">
        <f>INDEX('MAR 2e graad'!$B$2:$B$58,MATCH(G67,'MAR 2e graad'!$A$2:$A$58,0))</f>
        <v/>
      </c>
      <c r="I67" s="13">
        <f>INDEX('MAR 2e graad'!$C$2:$C$58,MATCH(G67,'MAR 2e graad'!$A$2:$A$58,0))</f>
        <v/>
      </c>
      <c r="J67" s="13">
        <f>IF(OR(I67="A",I67="K"),IF(K67&gt;0,"+","-"),IF(L67&gt;0,"+","-"))</f>
        <v/>
      </c>
      <c r="K67" s="14" t="n">
        <v>636</v>
      </c>
      <c r="L67" s="14" t="n"/>
      <c r="M67" s="13" t="inlineStr">
        <is>
          <t>de bank stijgt</t>
        </is>
      </c>
      <c r="N67" s="13" t="inlineStr">
        <is>
          <t>nee</t>
        </is>
      </c>
    </row>
    <row r="68">
      <c r="A68" s="12" t="n">
        <v>67</v>
      </c>
      <c r="B68" s="16" t="n">
        <v>46418</v>
      </c>
      <c r="C68" s="5" t="inlineStr">
        <is>
          <t>K1</t>
        </is>
      </c>
      <c r="D68" s="13" t="inlineStr">
        <is>
          <t>K1</t>
        </is>
      </c>
      <c r="E68" s="13" t="inlineStr">
        <is>
          <t>U2027-03/3</t>
        </is>
      </c>
      <c r="F68" s="13" t="inlineStr">
        <is>
          <t>uittreksel U2027-03/3</t>
        </is>
      </c>
      <c r="G68" s="13" t="n">
        <v>400000</v>
      </c>
      <c r="H68" s="13">
        <f>INDEX('MAR 2e graad'!$B$2:$B$58,MATCH(G68,'MAR 2e graad'!$A$2:$A$58,0))</f>
        <v/>
      </c>
      <c r="I68" s="13">
        <f>INDEX('MAR 2e graad'!$C$2:$C$58,MATCH(G68,'MAR 2e graad'!$A$2:$A$58,0))</f>
        <v/>
      </c>
      <c r="J68" s="13">
        <f>IF(OR(I68="A",I68="K"),IF(K68&gt;0,"+","-"),IF(L68&gt;0,"+","-"))</f>
        <v/>
      </c>
      <c r="K68" s="14" t="n"/>
      <c r="L68" s="14" t="n">
        <v>636</v>
      </c>
      <c r="M68" s="13" t="inlineStr">
        <is>
          <t>de vordering op de klant daalt</t>
        </is>
      </c>
      <c r="N68" s="13" t="inlineStr">
        <is>
          <t>nee</t>
        </is>
      </c>
    </row>
    <row r="69">
      <c r="A69" s="12" t="n">
        <v>68</v>
      </c>
      <c r="B69" s="16" t="n">
        <v>46418</v>
      </c>
      <c r="C69" s="5" t="inlineStr">
        <is>
          <t>K1</t>
        </is>
      </c>
      <c r="D69" s="13" t="inlineStr">
        <is>
          <t>K1</t>
        </is>
      </c>
      <c r="E69" s="13" t="inlineStr">
        <is>
          <t>U2027-03/4</t>
        </is>
      </c>
      <c r="F69" s="13" t="inlineStr">
        <is>
          <t>uittreksel U2027-03/4</t>
        </is>
      </c>
      <c r="G69" s="13" t="n">
        <v>440000</v>
      </c>
      <c r="H69" s="13">
        <f>INDEX('MAR 2e graad'!$B$2:$B$58,MATCH(G69,'MAR 2e graad'!$A$2:$A$58,0))</f>
        <v/>
      </c>
      <c r="I69" s="13">
        <f>INDEX('MAR 2e graad'!$C$2:$C$58,MATCH(G69,'MAR 2e graad'!$A$2:$A$58,0))</f>
        <v/>
      </c>
      <c r="J69" s="13">
        <f>IF(OR(I69="A",I69="K"),IF(K69&gt;0,"+","-"),IF(L69&gt;0,"+","-"))</f>
        <v/>
      </c>
      <c r="K69" s="14" t="n">
        <v>1089</v>
      </c>
      <c r="L69" s="14" t="n"/>
      <c r="M69" s="13" t="inlineStr">
        <is>
          <t>de schuld aan de leverancier daalt</t>
        </is>
      </c>
      <c r="N69" s="13" t="inlineStr">
        <is>
          <t>nee</t>
        </is>
      </c>
    </row>
    <row r="70">
      <c r="A70" s="12" t="n">
        <v>69</v>
      </c>
      <c r="B70" s="16" t="n">
        <v>46418</v>
      </c>
      <c r="C70" s="5" t="inlineStr">
        <is>
          <t>K1</t>
        </is>
      </c>
      <c r="D70" s="13" t="inlineStr">
        <is>
          <t>K1</t>
        </is>
      </c>
      <c r="E70" s="13" t="inlineStr">
        <is>
          <t>U2027-03/4</t>
        </is>
      </c>
      <c r="F70" s="13" t="inlineStr">
        <is>
          <t>uittreksel U2027-03/4</t>
        </is>
      </c>
      <c r="G70" s="13" t="n">
        <v>550000</v>
      </c>
      <c r="H70" s="13">
        <f>INDEX('MAR 2e graad'!$B$2:$B$58,MATCH(G70,'MAR 2e graad'!$A$2:$A$58,0))</f>
        <v/>
      </c>
      <c r="I70" s="13">
        <f>INDEX('MAR 2e graad'!$C$2:$C$58,MATCH(G70,'MAR 2e graad'!$A$2:$A$58,0))</f>
        <v/>
      </c>
      <c r="J70" s="13">
        <f>IF(OR(I70="A",I70="K"),IF(K70&gt;0,"+","-"),IF(L70&gt;0,"+","-"))</f>
        <v/>
      </c>
      <c r="K70" s="14" t="n"/>
      <c r="L70" s="14" t="n">
        <v>1089</v>
      </c>
      <c r="M70" s="13" t="inlineStr">
        <is>
          <t>de bank daalt</t>
        </is>
      </c>
      <c r="N70" s="13" t="inlineStr">
        <is>
          <t>nee</t>
        </is>
      </c>
    </row>
    <row r="71">
      <c r="A71" s="12" t="n">
        <v>70</v>
      </c>
      <c r="B71" s="16" t="n">
        <v>46418</v>
      </c>
      <c r="C71" s="5" t="inlineStr">
        <is>
          <t>K1</t>
        </is>
      </c>
      <c r="D71" s="13" t="inlineStr">
        <is>
          <t>K1</t>
        </is>
      </c>
      <c r="E71" s="13" t="inlineStr">
        <is>
          <t>U2027-03/5</t>
        </is>
      </c>
      <c r="F71" s="13" t="inlineStr">
        <is>
          <t>uittreksel U2027-03/5</t>
        </is>
      </c>
      <c r="G71" s="13" t="n">
        <v>550000</v>
      </c>
      <c r="H71" s="13">
        <f>INDEX('MAR 2e graad'!$B$2:$B$58,MATCH(G71,'MAR 2e graad'!$A$2:$A$58,0))</f>
        <v/>
      </c>
      <c r="I71" s="13">
        <f>INDEX('MAR 2e graad'!$C$2:$C$58,MATCH(G71,'MAR 2e graad'!$A$2:$A$58,0))</f>
        <v/>
      </c>
      <c r="J71" s="13">
        <f>IF(OR(I71="A",I71="K"),IF(K71&gt;0,"+","-"),IF(L71&gt;0,"+","-"))</f>
        <v/>
      </c>
      <c r="K71" s="14" t="n">
        <v>1000</v>
      </c>
      <c r="L71" s="14" t="n"/>
      <c r="M71" s="13" t="inlineStr">
        <is>
          <t>de bank stijgt</t>
        </is>
      </c>
      <c r="N71" s="13" t="inlineStr">
        <is>
          <t>nee</t>
        </is>
      </c>
    </row>
    <row r="72">
      <c r="A72" s="12" t="n">
        <v>71</v>
      </c>
      <c r="B72" s="16" t="n">
        <v>46418</v>
      </c>
      <c r="C72" s="5" t="inlineStr">
        <is>
          <t>K1</t>
        </is>
      </c>
      <c r="D72" s="13" t="inlineStr">
        <is>
          <t>K1</t>
        </is>
      </c>
      <c r="E72" s="13" t="inlineStr">
        <is>
          <t>U2027-03/5</t>
        </is>
      </c>
      <c r="F72" s="13" t="inlineStr">
        <is>
          <t>uittreksel U2027-03/5</t>
        </is>
      </c>
      <c r="G72" s="13" t="n">
        <v>400000</v>
      </c>
      <c r="H72" s="13">
        <f>INDEX('MAR 2e graad'!$B$2:$B$58,MATCH(G72,'MAR 2e graad'!$A$2:$A$58,0))</f>
        <v/>
      </c>
      <c r="I72" s="13">
        <f>INDEX('MAR 2e graad'!$C$2:$C$58,MATCH(G72,'MAR 2e graad'!$A$2:$A$58,0))</f>
        <v/>
      </c>
      <c r="J72" s="13">
        <f>IF(OR(I72="A",I72="K"),IF(K72&gt;0,"+","-"),IF(L72&gt;0,"+","-"))</f>
        <v/>
      </c>
      <c r="K72" s="14" t="n"/>
      <c r="L72" s="14" t="n">
        <v>1000</v>
      </c>
      <c r="M72" s="13" t="inlineStr">
        <is>
          <t>de vordering (bancontact) daalt</t>
        </is>
      </c>
      <c r="N72" s="13" t="inlineStr">
        <is>
          <t>nee</t>
        </is>
      </c>
    </row>
    <row r="73">
      <c r="A73" s="12" t="n">
        <v>72</v>
      </c>
      <c r="B73" s="16" t="n">
        <v>46419</v>
      </c>
      <c r="C73" s="5" t="inlineStr">
        <is>
          <t>K1</t>
        </is>
      </c>
      <c r="D73" s="13" t="inlineStr">
        <is>
          <t>K1</t>
        </is>
      </c>
      <c r="E73" s="13" t="inlineStr">
        <is>
          <t>U2027-04/1</t>
        </is>
      </c>
      <c r="F73" s="13" t="inlineStr">
        <is>
          <t>uittreksel U2027-04/1</t>
        </is>
      </c>
      <c r="G73" s="13" t="n">
        <v>550000</v>
      </c>
      <c r="H73" s="13">
        <f>INDEX('MAR 2e graad'!$B$2:$B$58,MATCH(G73,'MAR 2e graad'!$A$2:$A$58,0))</f>
        <v/>
      </c>
      <c r="I73" s="13">
        <f>INDEX('MAR 2e graad'!$C$2:$C$58,MATCH(G73,'MAR 2e graad'!$A$2:$A$58,0))</f>
        <v/>
      </c>
      <c r="J73" s="13">
        <f>IF(OR(I73="A",I73="K"),IF(K73&gt;0,"+","-"),IF(L73&gt;0,"+","-"))</f>
        <v/>
      </c>
      <c r="K73" s="14" t="n">
        <v>30000</v>
      </c>
      <c r="L73" s="14" t="n"/>
      <c r="M73" s="13" t="inlineStr">
        <is>
          <t>de bank stijgt</t>
        </is>
      </c>
      <c r="N73" s="13" t="inlineStr">
        <is>
          <t>nee</t>
        </is>
      </c>
    </row>
    <row r="74">
      <c r="A74" s="12" t="n">
        <v>73</v>
      </c>
      <c r="B74" s="16" t="n">
        <v>46419</v>
      </c>
      <c r="C74" s="5" t="inlineStr">
        <is>
          <t>K1</t>
        </is>
      </c>
      <c r="D74" s="13" t="inlineStr">
        <is>
          <t>K1</t>
        </is>
      </c>
      <c r="E74" s="13" t="inlineStr">
        <is>
          <t>U2027-04/1</t>
        </is>
      </c>
      <c r="F74" s="13" t="inlineStr">
        <is>
          <t>uittreksel U2027-04/1</t>
        </is>
      </c>
      <c r="G74" s="13" t="n">
        <v>173000</v>
      </c>
      <c r="H74" s="13">
        <f>INDEX('MAR 2e graad'!$B$2:$B$58,MATCH(G74,'MAR 2e graad'!$A$2:$A$58,0))</f>
        <v/>
      </c>
      <c r="I74" s="13">
        <f>INDEX('MAR 2e graad'!$C$2:$C$58,MATCH(G74,'MAR 2e graad'!$A$2:$A$58,0))</f>
        <v/>
      </c>
      <c r="J74" s="13">
        <f>IF(OR(I74="A",I74="K"),IF(K74&gt;0,"+","-"),IF(L74&gt;0,"+","-"))</f>
        <v/>
      </c>
      <c r="K74" s="14" t="n"/>
      <c r="L74" s="14" t="n">
        <v>30000</v>
      </c>
      <c r="M74" s="13" t="inlineStr">
        <is>
          <t>de schuld aan de bank (lening) stijgt</t>
        </is>
      </c>
      <c r="N74" s="13" t="inlineStr">
        <is>
          <t>nee</t>
        </is>
      </c>
    </row>
    <row r="75">
      <c r="A75" s="12" t="n">
        <v>74</v>
      </c>
      <c r="B75" s="16" t="n">
        <v>46419</v>
      </c>
      <c r="C75" s="5" t="inlineStr">
        <is>
          <t>K1</t>
        </is>
      </c>
      <c r="D75" s="13" t="inlineStr">
        <is>
          <t>K1</t>
        </is>
      </c>
      <c r="E75" s="13" t="inlineStr">
        <is>
          <t>U2027-04/2</t>
        </is>
      </c>
      <c r="F75" s="13" t="inlineStr">
        <is>
          <t>uittreksel U2027-04/2</t>
        </is>
      </c>
      <c r="G75" s="13" t="n">
        <v>550000</v>
      </c>
      <c r="H75" s="13">
        <f>INDEX('MAR 2e graad'!$B$2:$B$58,MATCH(G75,'MAR 2e graad'!$A$2:$A$58,0))</f>
        <v/>
      </c>
      <c r="I75" s="13">
        <f>INDEX('MAR 2e graad'!$C$2:$C$58,MATCH(G75,'MAR 2e graad'!$A$2:$A$58,0))</f>
        <v/>
      </c>
      <c r="J75" s="13">
        <f>IF(OR(I75="A",I75="K"),IF(K75&gt;0,"+","-"),IF(L75&gt;0,"+","-"))</f>
        <v/>
      </c>
      <c r="K75" s="14" t="n">
        <v>2904</v>
      </c>
      <c r="L75" s="14" t="n"/>
      <c r="M75" s="13" t="inlineStr">
        <is>
          <t>de bank stijgt</t>
        </is>
      </c>
      <c r="N75" s="13" t="inlineStr">
        <is>
          <t>nee</t>
        </is>
      </c>
    </row>
    <row r="76">
      <c r="A76" s="12" t="n">
        <v>75</v>
      </c>
      <c r="B76" s="16" t="n">
        <v>46419</v>
      </c>
      <c r="C76" s="5" t="inlineStr">
        <is>
          <t>K1</t>
        </is>
      </c>
      <c r="D76" s="13" t="inlineStr">
        <is>
          <t>K1</t>
        </is>
      </c>
      <c r="E76" s="13" t="inlineStr">
        <is>
          <t>U2027-04/2</t>
        </is>
      </c>
      <c r="F76" s="13" t="inlineStr">
        <is>
          <t>uittreksel U2027-04/2</t>
        </is>
      </c>
      <c r="G76" s="13" t="n">
        <v>657000</v>
      </c>
      <c r="H76" s="13">
        <f>INDEX('MAR 2e graad'!$B$2:$B$58,MATCH(G76,'MAR 2e graad'!$A$2:$A$58,0))</f>
        <v/>
      </c>
      <c r="I76" s="13">
        <f>INDEX('MAR 2e graad'!$C$2:$C$58,MATCH(G76,'MAR 2e graad'!$A$2:$A$58,0))</f>
        <v/>
      </c>
      <c r="J76" s="13">
        <f>IF(OR(I76="A",I76="K"),IF(K76&gt;0,"+","-"),IF(L76&gt;0,"+","-"))</f>
        <v/>
      </c>
      <c r="K76" s="14" t="n">
        <v>100</v>
      </c>
      <c r="L76" s="14" t="n"/>
      <c r="M76" s="13" t="inlineStr">
        <is>
          <t>de financiële kosten (toegekende betalingskorting) stijgen</t>
        </is>
      </c>
      <c r="N76" s="13" t="inlineStr">
        <is>
          <t>nee</t>
        </is>
      </c>
    </row>
    <row r="77">
      <c r="A77" s="12" t="n">
        <v>76</v>
      </c>
      <c r="B77" s="16" t="n">
        <v>46419</v>
      </c>
      <c r="C77" s="5" t="inlineStr">
        <is>
          <t>K1</t>
        </is>
      </c>
      <c r="D77" s="13" t="inlineStr">
        <is>
          <t>K1</t>
        </is>
      </c>
      <c r="E77" s="13" t="inlineStr">
        <is>
          <t>U2027-04/2</t>
        </is>
      </c>
      <c r="F77" s="13" t="inlineStr">
        <is>
          <t>uittreksel U2027-04/2</t>
        </is>
      </c>
      <c r="G77" s="13" t="n">
        <v>400000</v>
      </c>
      <c r="H77" s="13">
        <f>INDEX('MAR 2e graad'!$B$2:$B$58,MATCH(G77,'MAR 2e graad'!$A$2:$A$58,0))</f>
        <v/>
      </c>
      <c r="I77" s="13">
        <f>INDEX('MAR 2e graad'!$C$2:$C$58,MATCH(G77,'MAR 2e graad'!$A$2:$A$58,0))</f>
        <v/>
      </c>
      <c r="J77" s="13">
        <f>IF(OR(I77="A",I77="K"),IF(K77&gt;0,"+","-"),IF(L77&gt;0,"+","-"))</f>
        <v/>
      </c>
      <c r="K77" s="14" t="n"/>
      <c r="L77" s="14" t="n">
        <v>3004</v>
      </c>
      <c r="M77" s="13" t="inlineStr">
        <is>
          <t>de vordering op de klant daalt</t>
        </is>
      </c>
      <c r="N77" s="13" t="inlineStr">
        <is>
          <t>nee</t>
        </is>
      </c>
    </row>
    <row r="78">
      <c r="A78" s="12" t="n">
        <v>77</v>
      </c>
      <c r="B78" s="16" t="n">
        <v>46432</v>
      </c>
      <c r="C78" s="5" t="inlineStr">
        <is>
          <t>K1</t>
        </is>
      </c>
      <c r="D78" s="13" t="inlineStr">
        <is>
          <t>K1</t>
        </is>
      </c>
      <c r="E78" s="13" t="inlineStr">
        <is>
          <t>U2027-05/1</t>
        </is>
      </c>
      <c r="F78" s="13" t="inlineStr">
        <is>
          <t>uittreksel U2027-05/1</t>
        </is>
      </c>
      <c r="G78" s="13" t="n">
        <v>550000</v>
      </c>
      <c r="H78" s="13">
        <f>INDEX('MAR 2e graad'!$B$2:$B$58,MATCH(G78,'MAR 2e graad'!$A$2:$A$58,0))</f>
        <v/>
      </c>
      <c r="I78" s="13">
        <f>INDEX('MAR 2e graad'!$C$2:$C$58,MATCH(G78,'MAR 2e graad'!$A$2:$A$58,0))</f>
        <v/>
      </c>
      <c r="J78" s="13">
        <f>IF(OR(I78="A",I78="K"),IF(K78&gt;0,"+","-"),IF(L78&gt;0,"+","-"))</f>
        <v/>
      </c>
      <c r="K78" s="14" t="n">
        <v>3267</v>
      </c>
      <c r="L78" s="14" t="n"/>
      <c r="M78" s="13" t="inlineStr">
        <is>
          <t>de bank stijgt</t>
        </is>
      </c>
      <c r="N78" s="13" t="inlineStr">
        <is>
          <t>nee</t>
        </is>
      </c>
    </row>
    <row r="79">
      <c r="A79" s="12" t="n">
        <v>78</v>
      </c>
      <c r="B79" s="16" t="n">
        <v>46432</v>
      </c>
      <c r="C79" s="5" t="inlineStr">
        <is>
          <t>K1</t>
        </is>
      </c>
      <c r="D79" s="13" t="inlineStr">
        <is>
          <t>K1</t>
        </is>
      </c>
      <c r="E79" s="13" t="inlineStr">
        <is>
          <t>U2027-05/1</t>
        </is>
      </c>
      <c r="F79" s="13" t="inlineStr">
        <is>
          <t>uittreksel U2027-05/1</t>
        </is>
      </c>
      <c r="G79" s="13" t="n">
        <v>400000</v>
      </c>
      <c r="H79" s="13">
        <f>INDEX('MAR 2e graad'!$B$2:$B$58,MATCH(G79,'MAR 2e graad'!$A$2:$A$58,0))</f>
        <v/>
      </c>
      <c r="I79" s="13">
        <f>INDEX('MAR 2e graad'!$C$2:$C$58,MATCH(G79,'MAR 2e graad'!$A$2:$A$58,0))</f>
        <v/>
      </c>
      <c r="J79" s="13">
        <f>IF(OR(I79="A",I79="K"),IF(K79&gt;0,"+","-"),IF(L79&gt;0,"+","-"))</f>
        <v/>
      </c>
      <c r="K79" s="14" t="n"/>
      <c r="L79" s="14" t="n">
        <v>3267</v>
      </c>
      <c r="M79" s="13" t="inlineStr">
        <is>
          <t>de vordering op de klant daalt</t>
        </is>
      </c>
      <c r="N79" s="13" t="inlineStr">
        <is>
          <t>nee</t>
        </is>
      </c>
    </row>
    <row r="80">
      <c r="A80" s="12" t="n">
        <v>79</v>
      </c>
      <c r="B80" s="16" t="n">
        <v>46434</v>
      </c>
      <c r="C80" s="5" t="inlineStr">
        <is>
          <t>K1</t>
        </is>
      </c>
      <c r="D80" s="13" t="inlineStr">
        <is>
          <t>K1</t>
        </is>
      </c>
      <c r="E80" s="13" t="inlineStr">
        <is>
          <t>J2V5</t>
        </is>
      </c>
      <c r="F80" s="13" t="inlineStr">
        <is>
          <t>2027-005</t>
        </is>
      </c>
      <c r="G80" s="13" t="n">
        <v>400000</v>
      </c>
      <c r="H80" s="13">
        <f>INDEX('MAR 2e graad'!$B$2:$B$58,MATCH(G80,'MAR 2e graad'!$A$2:$A$58,0))</f>
        <v/>
      </c>
      <c r="I80" s="13">
        <f>INDEX('MAR 2e graad'!$C$2:$C$58,MATCH(G80,'MAR 2e graad'!$A$2:$A$58,0))</f>
        <v/>
      </c>
      <c r="J80" s="13">
        <f>IF(OR(I80="A",I80="K"),IF(K80&gt;0,"+","-"),IF(L80&gt;0,"+","-"))</f>
        <v/>
      </c>
      <c r="K80" s="14" t="n">
        <v>1936</v>
      </c>
      <c r="L80" s="14" t="n"/>
      <c r="M80" s="13" t="inlineStr">
        <is>
          <t>de vordering op de klant stijgt</t>
        </is>
      </c>
      <c r="N80" s="13" t="inlineStr">
        <is>
          <t>nee</t>
        </is>
      </c>
    </row>
    <row r="81">
      <c r="A81" s="12" t="n">
        <v>80</v>
      </c>
      <c r="B81" s="16" t="n">
        <v>46434</v>
      </c>
      <c r="C81" s="5" t="inlineStr">
        <is>
          <t>K1</t>
        </is>
      </c>
      <c r="D81" s="13" t="inlineStr">
        <is>
          <t>K1</t>
        </is>
      </c>
      <c r="E81" s="13" t="inlineStr">
        <is>
          <t>J2V5</t>
        </is>
      </c>
      <c r="F81" s="13" t="inlineStr">
        <is>
          <t>2027-005</t>
        </is>
      </c>
      <c r="G81" s="13" t="n">
        <v>704000</v>
      </c>
      <c r="H81" s="13">
        <f>INDEX('MAR 2e graad'!$B$2:$B$58,MATCH(G81,'MAR 2e graad'!$A$2:$A$58,0))</f>
        <v/>
      </c>
      <c r="I81" s="13">
        <f>INDEX('MAR 2e graad'!$C$2:$C$58,MATCH(G81,'MAR 2e graad'!$A$2:$A$58,0))</f>
        <v/>
      </c>
      <c r="J81" s="13">
        <f>IF(OR(I81="A",I81="K"),IF(K81&gt;0,"+","-"),IF(L81&gt;0,"+","-"))</f>
        <v/>
      </c>
      <c r="K81" s="14" t="n"/>
      <c r="L81" s="14" t="n">
        <v>1500</v>
      </c>
      <c r="M81" s="13" t="inlineStr">
        <is>
          <t>de omzet stijgt</t>
        </is>
      </c>
      <c r="N81" s="13" t="inlineStr">
        <is>
          <t>nee</t>
        </is>
      </c>
    </row>
    <row r="82">
      <c r="A82" s="12" t="n">
        <v>81</v>
      </c>
      <c r="B82" s="16" t="n">
        <v>46434</v>
      </c>
      <c r="C82" s="5" t="inlineStr">
        <is>
          <t>K1</t>
        </is>
      </c>
      <c r="D82" s="13" t="inlineStr">
        <is>
          <t>K1</t>
        </is>
      </c>
      <c r="E82" s="13" t="inlineStr">
        <is>
          <t>J2V5</t>
        </is>
      </c>
      <c r="F82" s="13" t="inlineStr">
        <is>
          <t>2027-005</t>
        </is>
      </c>
      <c r="G82" s="13" t="n">
        <v>746000</v>
      </c>
      <c r="H82" s="13">
        <f>INDEX('MAR 2e graad'!$B$2:$B$58,MATCH(G82,'MAR 2e graad'!$A$2:$A$58,0))</f>
        <v/>
      </c>
      <c r="I82" s="13">
        <f>INDEX('MAR 2e graad'!$C$2:$C$58,MATCH(G82,'MAR 2e graad'!$A$2:$A$58,0))</f>
        <v/>
      </c>
      <c r="J82" s="13">
        <f>IF(OR(I82="A",I82="K"),IF(K82&gt;0,"+","-"),IF(L82&gt;0,"+","-"))</f>
        <v/>
      </c>
      <c r="K82" s="14" t="n"/>
      <c r="L82" s="14" t="n">
        <v>100</v>
      </c>
      <c r="M82" s="13" t="inlineStr">
        <is>
          <t>de doorgerekende kosten (opbrengst) stijgen</t>
        </is>
      </c>
      <c r="N82" s="13" t="inlineStr">
        <is>
          <t>nee</t>
        </is>
      </c>
    </row>
    <row r="83">
      <c r="A83" s="12" t="n">
        <v>82</v>
      </c>
      <c r="B83" s="16" t="n">
        <v>46434</v>
      </c>
      <c r="C83" s="5" t="inlineStr">
        <is>
          <t>K1</t>
        </is>
      </c>
      <c r="D83" s="13" t="inlineStr">
        <is>
          <t>K1</t>
        </is>
      </c>
      <c r="E83" s="13" t="inlineStr">
        <is>
          <t>J2V5</t>
        </is>
      </c>
      <c r="F83" s="13" t="inlineStr">
        <is>
          <t>2027-005</t>
        </is>
      </c>
      <c r="G83" s="13" t="n">
        <v>451100</v>
      </c>
      <c r="H83" s="13">
        <f>INDEX('MAR 2e graad'!$B$2:$B$58,MATCH(G83,'MAR 2e graad'!$A$2:$A$58,0))</f>
        <v/>
      </c>
      <c r="I83" s="13">
        <f>INDEX('MAR 2e graad'!$C$2:$C$58,MATCH(G83,'MAR 2e graad'!$A$2:$A$58,0))</f>
        <v/>
      </c>
      <c r="J83" s="13">
        <f>IF(OR(I83="A",I83="K"),IF(K83&gt;0,"+","-"),IF(L83&gt;0,"+","-"))</f>
        <v/>
      </c>
      <c r="K83" s="14" t="n"/>
      <c r="L83" s="14" t="n">
        <v>336</v>
      </c>
      <c r="M83" s="13" t="inlineStr">
        <is>
          <t>de schuld aan de overheid (verschuldigde btw) stijgt</t>
        </is>
      </c>
      <c r="N83" s="13" t="inlineStr">
        <is>
          <t>nee</t>
        </is>
      </c>
    </row>
    <row r="84">
      <c r="A84" s="12" t="n">
        <v>83</v>
      </c>
      <c r="B84" s="16" t="n">
        <v>46442</v>
      </c>
      <c r="C84" s="5" t="inlineStr">
        <is>
          <t>K1</t>
        </is>
      </c>
      <c r="D84" s="13" t="inlineStr">
        <is>
          <t>K1</t>
        </is>
      </c>
      <c r="E84" s="13" t="inlineStr">
        <is>
          <t>J2V7</t>
        </is>
      </c>
      <c r="F84" s="13" t="inlineStr">
        <is>
          <t>2027-007</t>
        </is>
      </c>
      <c r="G84" s="13" t="n">
        <v>400000</v>
      </c>
      <c r="H84" s="13">
        <f>INDEX('MAR 2e graad'!$B$2:$B$58,MATCH(G84,'MAR 2e graad'!$A$2:$A$58,0))</f>
        <v/>
      </c>
      <c r="I84" s="13">
        <f>INDEX('MAR 2e graad'!$C$2:$C$58,MATCH(G84,'MAR 2e graad'!$A$2:$A$58,0))</f>
        <v/>
      </c>
      <c r="J84" s="13">
        <f>IF(OR(I84="A",I84="K"),IF(K84&gt;0,"+","-"),IF(L84&gt;0,"+","-"))</f>
        <v/>
      </c>
      <c r="K84" s="14" t="n">
        <v>4506</v>
      </c>
      <c r="L84" s="14" t="n"/>
      <c r="M84" s="13" t="inlineStr">
        <is>
          <t>de vordering op de klant stijgt</t>
        </is>
      </c>
      <c r="N84" s="13" t="inlineStr">
        <is>
          <t>nee</t>
        </is>
      </c>
    </row>
    <row r="85">
      <c r="A85" s="12" t="n">
        <v>84</v>
      </c>
      <c r="B85" s="16" t="n">
        <v>46442</v>
      </c>
      <c r="C85" s="5" t="inlineStr">
        <is>
          <t>K1</t>
        </is>
      </c>
      <c r="D85" s="13" t="inlineStr">
        <is>
          <t>K1</t>
        </is>
      </c>
      <c r="E85" s="13" t="inlineStr">
        <is>
          <t>J2V7</t>
        </is>
      </c>
      <c r="F85" s="13" t="inlineStr">
        <is>
          <t>2027-007</t>
        </is>
      </c>
      <c r="G85" s="13" t="n">
        <v>704000</v>
      </c>
      <c r="H85" s="13">
        <f>INDEX('MAR 2e graad'!$B$2:$B$58,MATCH(G85,'MAR 2e graad'!$A$2:$A$58,0))</f>
        <v/>
      </c>
      <c r="I85" s="13">
        <f>INDEX('MAR 2e graad'!$C$2:$C$58,MATCH(G85,'MAR 2e graad'!$A$2:$A$58,0))</f>
        <v/>
      </c>
      <c r="J85" s="13">
        <f>IF(OR(I85="A",I85="K"),IF(K85&gt;0,"+","-"),IF(L85&gt;0,"+","-"))</f>
        <v/>
      </c>
      <c r="K85" s="14" t="n"/>
      <c r="L85" s="14" t="n">
        <v>3600</v>
      </c>
      <c r="M85" s="13" t="inlineStr">
        <is>
          <t>de omzet stijgt</t>
        </is>
      </c>
      <c r="N85" s="13" t="inlineStr">
        <is>
          <t>nee</t>
        </is>
      </c>
    </row>
    <row r="86">
      <c r="A86" s="12" t="n">
        <v>85</v>
      </c>
      <c r="B86" s="16" t="n">
        <v>46442</v>
      </c>
      <c r="C86" s="5" t="inlineStr">
        <is>
          <t>K1</t>
        </is>
      </c>
      <c r="D86" s="13" t="inlineStr">
        <is>
          <t>K1</t>
        </is>
      </c>
      <c r="E86" s="13" t="inlineStr">
        <is>
          <t>J2V7</t>
        </is>
      </c>
      <c r="F86" s="13" t="inlineStr">
        <is>
          <t>2027-007</t>
        </is>
      </c>
      <c r="G86" s="13" t="n">
        <v>488000</v>
      </c>
      <c r="H86" s="13">
        <f>INDEX('MAR 2e graad'!$B$2:$B$58,MATCH(G86,'MAR 2e graad'!$A$2:$A$58,0))</f>
        <v/>
      </c>
      <c r="I86" s="13">
        <f>INDEX('MAR 2e graad'!$C$2:$C$58,MATCH(G86,'MAR 2e graad'!$A$2:$A$58,0))</f>
        <v/>
      </c>
      <c r="J86" s="13">
        <f>IF(OR(I86="A",I86="K"),IF(K86&gt;0,"+","-"),IF(L86&gt;0,"+","-"))</f>
        <v/>
      </c>
      <c r="K86" s="14" t="n"/>
      <c r="L86" s="14" t="n">
        <v>150</v>
      </c>
      <c r="M86" s="13" t="inlineStr">
        <is>
          <t>de schuld aan de klant (verpakking) stijgt</t>
        </is>
      </c>
      <c r="N86" s="13" t="inlineStr">
        <is>
          <t>nee</t>
        </is>
      </c>
    </row>
    <row r="87">
      <c r="A87" s="12" t="n">
        <v>86</v>
      </c>
      <c r="B87" s="16" t="n">
        <v>46442</v>
      </c>
      <c r="C87" s="5" t="inlineStr">
        <is>
          <t>K1</t>
        </is>
      </c>
      <c r="D87" s="13" t="inlineStr">
        <is>
          <t>K1</t>
        </is>
      </c>
      <c r="E87" s="13" t="inlineStr">
        <is>
          <t>J2V7</t>
        </is>
      </c>
      <c r="F87" s="13" t="inlineStr">
        <is>
          <t>2027-007</t>
        </is>
      </c>
      <c r="G87" s="13" t="n">
        <v>451100</v>
      </c>
      <c r="H87" s="13">
        <f>INDEX('MAR 2e graad'!$B$2:$B$58,MATCH(G87,'MAR 2e graad'!$A$2:$A$58,0))</f>
        <v/>
      </c>
      <c r="I87" s="13">
        <f>INDEX('MAR 2e graad'!$C$2:$C$58,MATCH(G87,'MAR 2e graad'!$A$2:$A$58,0))</f>
        <v/>
      </c>
      <c r="J87" s="13">
        <f>IF(OR(I87="A",I87="K"),IF(K87&gt;0,"+","-"),IF(L87&gt;0,"+","-"))</f>
        <v/>
      </c>
      <c r="K87" s="14" t="n"/>
      <c r="L87" s="14" t="n">
        <v>756</v>
      </c>
      <c r="M87" s="13" t="inlineStr">
        <is>
          <t>de schuld aan de overheid (verschuldigde btw) stijgt</t>
        </is>
      </c>
      <c r="N87" s="13" t="inlineStr">
        <is>
          <t>nee</t>
        </is>
      </c>
    </row>
    <row r="88">
      <c r="A88" s="12" t="n">
        <v>87</v>
      </c>
      <c r="B88" s="16" t="n">
        <v>46443</v>
      </c>
      <c r="C88" s="5" t="inlineStr">
        <is>
          <t>K1</t>
        </is>
      </c>
      <c r="D88" s="13" t="inlineStr">
        <is>
          <t>K1</t>
        </is>
      </c>
      <c r="E88" s="13" t="inlineStr">
        <is>
          <t>J2CA3</t>
        </is>
      </c>
      <c r="F88" s="13" t="inlineStr">
        <is>
          <t>CN-2027-009</t>
        </is>
      </c>
      <c r="G88" s="13" t="n">
        <v>418000</v>
      </c>
      <c r="H88" s="13">
        <f>INDEX('MAR 2e graad'!$B$2:$B$58,MATCH(G88,'MAR 2e graad'!$A$2:$A$58,0))</f>
        <v/>
      </c>
      <c r="I88" s="13">
        <f>INDEX('MAR 2e graad'!$C$2:$C$58,MATCH(G88,'MAR 2e graad'!$A$2:$A$58,0))</f>
        <v/>
      </c>
      <c r="J88" s="13">
        <f>IF(OR(I88="A",I88="K"),IF(K88&gt;0,"+","-"),IF(L88&gt;0,"+","-"))</f>
        <v/>
      </c>
      <c r="K88" s="14" t="n"/>
      <c r="L88" s="14" t="n">
        <v>100</v>
      </c>
      <c r="M88" s="13" t="inlineStr">
        <is>
          <t>de vordering op de leverancier (verpakking) daalt</t>
        </is>
      </c>
      <c r="N88" s="13" t="inlineStr">
        <is>
          <t>nee</t>
        </is>
      </c>
    </row>
    <row r="89">
      <c r="A89" s="12" t="n">
        <v>88</v>
      </c>
      <c r="B89" s="16" t="n">
        <v>46443</v>
      </c>
      <c r="C89" s="5" t="inlineStr">
        <is>
          <t>K1</t>
        </is>
      </c>
      <c r="D89" s="13" t="inlineStr">
        <is>
          <t>K1</t>
        </is>
      </c>
      <c r="E89" s="13" t="inlineStr">
        <is>
          <t>J2CA3</t>
        </is>
      </c>
      <c r="F89" s="13" t="inlineStr">
        <is>
          <t>CN-2027-009</t>
        </is>
      </c>
      <c r="G89" s="13" t="n">
        <v>440000</v>
      </c>
      <c r="H89" s="13">
        <f>INDEX('MAR 2e graad'!$B$2:$B$58,MATCH(G89,'MAR 2e graad'!$A$2:$A$58,0))</f>
        <v/>
      </c>
      <c r="I89" s="13">
        <f>INDEX('MAR 2e graad'!$C$2:$C$58,MATCH(G89,'MAR 2e graad'!$A$2:$A$58,0))</f>
        <v/>
      </c>
      <c r="J89" s="13">
        <f>IF(OR(I89="A",I89="K"),IF(K89&gt;0,"+","-"),IF(L89&gt;0,"+","-"))</f>
        <v/>
      </c>
      <c r="K89" s="14" t="n">
        <v>100</v>
      </c>
      <c r="L89" s="14" t="n"/>
      <c r="M89" s="13" t="inlineStr">
        <is>
          <t>de schuld aan de leverancier daalt</t>
        </is>
      </c>
      <c r="N89" s="13" t="inlineStr">
        <is>
          <t>nee</t>
        </is>
      </c>
    </row>
    <row r="90">
      <c r="A90" s="12" t="n">
        <v>89</v>
      </c>
      <c r="B90" s="16" t="n">
        <v>46446</v>
      </c>
      <c r="C90" s="5" t="inlineStr">
        <is>
          <t>K1</t>
        </is>
      </c>
      <c r="D90" s="13" t="inlineStr">
        <is>
          <t>K1</t>
        </is>
      </c>
      <c r="E90" s="13" t="inlineStr">
        <is>
          <t>U2027-06/1</t>
        </is>
      </c>
      <c r="F90" s="13" t="inlineStr">
        <is>
          <t>uittreksel U2027-06/1</t>
        </is>
      </c>
      <c r="G90" s="13" t="n">
        <v>440000</v>
      </c>
      <c r="H90" s="13">
        <f>INDEX('MAR 2e graad'!$B$2:$B$58,MATCH(G90,'MAR 2e graad'!$A$2:$A$58,0))</f>
        <v/>
      </c>
      <c r="I90" s="13">
        <f>INDEX('MAR 2e graad'!$C$2:$C$58,MATCH(G90,'MAR 2e graad'!$A$2:$A$58,0))</f>
        <v/>
      </c>
      <c r="J90" s="13">
        <f>IF(OR(I90="A",I90="K"),IF(K90&gt;0,"+","-"),IF(L90&gt;0,"+","-"))</f>
        <v/>
      </c>
      <c r="K90" s="14" t="n">
        <v>4356</v>
      </c>
      <c r="L90" s="14" t="n"/>
      <c r="M90" s="13" t="inlineStr">
        <is>
          <t>de schuld aan de leverancier daalt</t>
        </is>
      </c>
      <c r="N90" s="13" t="inlineStr">
        <is>
          <t>nee</t>
        </is>
      </c>
    </row>
    <row r="91">
      <c r="A91" s="12" t="n">
        <v>90</v>
      </c>
      <c r="B91" s="16" t="n">
        <v>46446</v>
      </c>
      <c r="C91" s="5" t="inlineStr">
        <is>
          <t>K1</t>
        </is>
      </c>
      <c r="D91" s="13" t="inlineStr">
        <is>
          <t>K1</t>
        </is>
      </c>
      <c r="E91" s="13" t="inlineStr">
        <is>
          <t>U2027-06/1</t>
        </is>
      </c>
      <c r="F91" s="13" t="inlineStr">
        <is>
          <t>uittreksel U2027-06/1</t>
        </is>
      </c>
      <c r="G91" s="13" t="n">
        <v>550000</v>
      </c>
      <c r="H91" s="13">
        <f>INDEX('MAR 2e graad'!$B$2:$B$58,MATCH(G91,'MAR 2e graad'!$A$2:$A$58,0))</f>
        <v/>
      </c>
      <c r="I91" s="13">
        <f>INDEX('MAR 2e graad'!$C$2:$C$58,MATCH(G91,'MAR 2e graad'!$A$2:$A$58,0))</f>
        <v/>
      </c>
      <c r="J91" s="13">
        <f>IF(OR(I91="A",I91="K"),IF(K91&gt;0,"+","-"),IF(L91&gt;0,"+","-"))</f>
        <v/>
      </c>
      <c r="K91" s="14" t="n"/>
      <c r="L91" s="14" t="n">
        <v>4356</v>
      </c>
      <c r="M91" s="13" t="inlineStr">
        <is>
          <t>de bank daalt</t>
        </is>
      </c>
      <c r="N91" s="13" t="inlineStr">
        <is>
          <t>nee</t>
        </is>
      </c>
    </row>
    <row r="92">
      <c r="A92" s="12" t="n">
        <v>91</v>
      </c>
      <c r="B92" s="16" t="n">
        <v>46447</v>
      </c>
      <c r="C92" s="5" t="inlineStr">
        <is>
          <t>K1</t>
        </is>
      </c>
      <c r="D92" s="13" t="inlineStr">
        <is>
          <t>K1</t>
        </is>
      </c>
      <c r="E92" s="13" t="inlineStr">
        <is>
          <t>J2K2</t>
        </is>
      </c>
      <c r="F92" s="13" t="inlineStr">
        <is>
          <t>KAS-2027-02</t>
        </is>
      </c>
      <c r="G92" s="13" t="n">
        <v>570000</v>
      </c>
      <c r="H92" s="13">
        <f>INDEX('MAR 2e graad'!$B$2:$B$58,MATCH(G92,'MAR 2e graad'!$A$2:$A$58,0))</f>
        <v/>
      </c>
      <c r="I92" s="13">
        <f>INDEX('MAR 2e graad'!$C$2:$C$58,MATCH(G92,'MAR 2e graad'!$A$2:$A$58,0))</f>
        <v/>
      </c>
      <c r="J92" s="13">
        <f>IF(OR(I92="A",I92="K"),IF(K92&gt;0,"+","-"),IF(L92&gt;0,"+","-"))</f>
        <v/>
      </c>
      <c r="K92" s="14" t="n">
        <v>300</v>
      </c>
      <c r="L92" s="14" t="n"/>
      <c r="M92" s="13" t="inlineStr">
        <is>
          <t>de kas stijgt</t>
        </is>
      </c>
      <c r="N92" s="13" t="inlineStr">
        <is>
          <t>nee</t>
        </is>
      </c>
    </row>
    <row r="93">
      <c r="A93" s="12" t="n">
        <v>92</v>
      </c>
      <c r="B93" s="16" t="n">
        <v>46447</v>
      </c>
      <c r="C93" s="5" t="inlineStr">
        <is>
          <t>K1</t>
        </is>
      </c>
      <c r="D93" s="13" t="inlineStr">
        <is>
          <t>K1</t>
        </is>
      </c>
      <c r="E93" s="13" t="inlineStr">
        <is>
          <t>J2K2</t>
        </is>
      </c>
      <c r="F93" s="13" t="inlineStr">
        <is>
          <t>KAS-2027-02</t>
        </is>
      </c>
      <c r="G93" s="13" t="n">
        <v>580000</v>
      </c>
      <c r="H93" s="13">
        <f>INDEX('MAR 2e graad'!$B$2:$B$58,MATCH(G93,'MAR 2e graad'!$A$2:$A$58,0))</f>
        <v/>
      </c>
      <c r="I93" s="13">
        <f>INDEX('MAR 2e graad'!$C$2:$C$58,MATCH(G93,'MAR 2e graad'!$A$2:$A$58,0))</f>
        <v/>
      </c>
      <c r="J93" s="13">
        <f>IF(OR(I93="A",I93="K"),IF(K93&gt;0,"+","-"),IF(L93&gt;0,"+","-"))</f>
        <v/>
      </c>
      <c r="K93" s="14" t="n"/>
      <c r="L93" s="14" t="n">
        <v>300</v>
      </c>
      <c r="M93" s="13" t="inlineStr">
        <is>
          <t>de interne overboeking (onderweg van de bank) daalt</t>
        </is>
      </c>
      <c r="N93" s="13" t="inlineStr">
        <is>
          <t>nee</t>
        </is>
      </c>
    </row>
    <row r="94">
      <c r="A94" s="12" t="n">
        <v>93</v>
      </c>
      <c r="B94" s="16" t="n">
        <v>46447</v>
      </c>
      <c r="C94" s="5" t="inlineStr">
        <is>
          <t>K1</t>
        </is>
      </c>
      <c r="D94" s="13" t="inlineStr">
        <is>
          <t>K1</t>
        </is>
      </c>
      <c r="E94" s="13" t="inlineStr">
        <is>
          <t>U2027-07/1</t>
        </is>
      </c>
      <c r="F94" s="13" t="inlineStr">
        <is>
          <t>uittreksel U2027-07/1</t>
        </is>
      </c>
      <c r="G94" s="13" t="n">
        <v>580000</v>
      </c>
      <c r="H94" s="13">
        <f>INDEX('MAR 2e graad'!$B$2:$B$58,MATCH(G94,'MAR 2e graad'!$A$2:$A$58,0))</f>
        <v/>
      </c>
      <c r="I94" s="13">
        <f>INDEX('MAR 2e graad'!$C$2:$C$58,MATCH(G94,'MAR 2e graad'!$A$2:$A$58,0))</f>
        <v/>
      </c>
      <c r="J94" s="13">
        <f>IF(OR(I94="A",I94="K"),IF(K94&gt;0,"+","-"),IF(L94&gt;0,"+","-"))</f>
        <v/>
      </c>
      <c r="K94" s="14" t="n">
        <v>300</v>
      </c>
      <c r="L94" s="14" t="n"/>
      <c r="M94" s="13" t="inlineStr">
        <is>
          <t>de interne overboeking (onderweg naar de kas) stijgt</t>
        </is>
      </c>
      <c r="N94" s="13" t="inlineStr">
        <is>
          <t>nee</t>
        </is>
      </c>
    </row>
    <row r="95">
      <c r="A95" s="12" t="n">
        <v>94</v>
      </c>
      <c r="B95" s="16" t="n">
        <v>46447</v>
      </c>
      <c r="C95" s="5" t="inlineStr">
        <is>
          <t>K1</t>
        </is>
      </c>
      <c r="D95" s="13" t="inlineStr">
        <is>
          <t>K1</t>
        </is>
      </c>
      <c r="E95" s="13" t="inlineStr">
        <is>
          <t>U2027-07/1</t>
        </is>
      </c>
      <c r="F95" s="13" t="inlineStr">
        <is>
          <t>uittreksel U2027-07/1</t>
        </is>
      </c>
      <c r="G95" s="13" t="n">
        <v>550000</v>
      </c>
      <c r="H95" s="13">
        <f>INDEX('MAR 2e graad'!$B$2:$B$58,MATCH(G95,'MAR 2e graad'!$A$2:$A$58,0))</f>
        <v/>
      </c>
      <c r="I95" s="13">
        <f>INDEX('MAR 2e graad'!$C$2:$C$58,MATCH(G95,'MAR 2e graad'!$A$2:$A$58,0))</f>
        <v/>
      </c>
      <c r="J95" s="13">
        <f>IF(OR(I95="A",I95="K"),IF(K95&gt;0,"+","-"),IF(L95&gt;0,"+","-"))</f>
        <v/>
      </c>
      <c r="K95" s="14" t="n"/>
      <c r="L95" s="14" t="n">
        <v>300</v>
      </c>
      <c r="M95" s="13" t="inlineStr">
        <is>
          <t>de bank daalt</t>
        </is>
      </c>
      <c r="N95" s="13" t="inlineStr">
        <is>
          <t>nee</t>
        </is>
      </c>
    </row>
    <row r="96">
      <c r="A96" s="12" t="n">
        <v>95</v>
      </c>
      <c r="B96" s="16" t="n">
        <v>46456</v>
      </c>
      <c r="C96" s="5" t="inlineStr">
        <is>
          <t>K1</t>
        </is>
      </c>
      <c r="D96" s="13" t="inlineStr">
        <is>
          <t>K1</t>
        </is>
      </c>
      <c r="E96" s="13" t="inlineStr">
        <is>
          <t>J2CV3</t>
        </is>
      </c>
      <c r="F96" s="13" t="inlineStr">
        <is>
          <t>CN-2027-003</t>
        </is>
      </c>
      <c r="G96" s="13" t="n">
        <v>400000</v>
      </c>
      <c r="H96" s="13">
        <f>INDEX('MAR 2e graad'!$B$2:$B$58,MATCH(G96,'MAR 2e graad'!$A$2:$A$58,0))</f>
        <v/>
      </c>
      <c r="I96" s="13">
        <f>INDEX('MAR 2e graad'!$C$2:$C$58,MATCH(G96,'MAR 2e graad'!$A$2:$A$58,0))</f>
        <v/>
      </c>
      <c r="J96" s="13">
        <f>IF(OR(I96="A",I96="K"),IF(K96&gt;0,"+","-"),IF(L96&gt;0,"+","-"))</f>
        <v/>
      </c>
      <c r="K96" s="14" t="n"/>
      <c r="L96" s="14" t="n">
        <v>150</v>
      </c>
      <c r="M96" s="13" t="inlineStr">
        <is>
          <t>de vordering op de klant daalt</t>
        </is>
      </c>
      <c r="N96" s="13" t="inlineStr">
        <is>
          <t>nee</t>
        </is>
      </c>
    </row>
    <row r="97">
      <c r="A97" s="12" t="n">
        <v>96</v>
      </c>
      <c r="B97" s="16" t="n">
        <v>46456</v>
      </c>
      <c r="C97" s="5" t="inlineStr">
        <is>
          <t>K1</t>
        </is>
      </c>
      <c r="D97" s="13" t="inlineStr">
        <is>
          <t>K1</t>
        </is>
      </c>
      <c r="E97" s="13" t="inlineStr">
        <is>
          <t>J2CV3</t>
        </is>
      </c>
      <c r="F97" s="13" t="inlineStr">
        <is>
          <t>CN-2027-003</t>
        </is>
      </c>
      <c r="G97" s="13" t="n">
        <v>488000</v>
      </c>
      <c r="H97" s="13">
        <f>INDEX('MAR 2e graad'!$B$2:$B$58,MATCH(G97,'MAR 2e graad'!$A$2:$A$58,0))</f>
        <v/>
      </c>
      <c r="I97" s="13">
        <f>INDEX('MAR 2e graad'!$C$2:$C$58,MATCH(G97,'MAR 2e graad'!$A$2:$A$58,0))</f>
        <v/>
      </c>
      <c r="J97" s="13">
        <f>IF(OR(I97="A",I97="K"),IF(K97&gt;0,"+","-"),IF(L97&gt;0,"+","-"))</f>
        <v/>
      </c>
      <c r="K97" s="14" t="n">
        <v>150</v>
      </c>
      <c r="L97" s="14" t="n"/>
      <c r="M97" s="13" t="inlineStr">
        <is>
          <t>de schuld aan de klant (verpakking) daalt</t>
        </is>
      </c>
      <c r="N97" s="13" t="inlineStr">
        <is>
          <t>nee</t>
        </is>
      </c>
    </row>
    <row r="98">
      <c r="A98" s="12" t="n">
        <v>97</v>
      </c>
      <c r="B98" s="16" t="n">
        <v>46466</v>
      </c>
      <c r="C98" s="5" t="inlineStr">
        <is>
          <t>K1</t>
        </is>
      </c>
      <c r="D98" s="13" t="inlineStr">
        <is>
          <t>K1</t>
        </is>
      </c>
      <c r="E98" s="13" t="inlineStr">
        <is>
          <t>U2027-08/1</t>
        </is>
      </c>
      <c r="F98" s="13" t="inlineStr">
        <is>
          <t>uittreksel U2027-08/1</t>
        </is>
      </c>
      <c r="G98" s="13" t="n">
        <v>550000</v>
      </c>
      <c r="H98" s="13">
        <f>INDEX('MAR 2e graad'!$B$2:$B$58,MATCH(G98,'MAR 2e graad'!$A$2:$A$58,0))</f>
        <v/>
      </c>
      <c r="I98" s="13">
        <f>INDEX('MAR 2e graad'!$C$2:$C$58,MATCH(G98,'MAR 2e graad'!$A$2:$A$58,0))</f>
        <v/>
      </c>
      <c r="J98" s="13">
        <f>IF(OR(I98="A",I98="K"),IF(K98&gt;0,"+","-"),IF(L98&gt;0,"+","-"))</f>
        <v/>
      </c>
      <c r="K98" s="14" t="n">
        <v>1936</v>
      </c>
      <c r="L98" s="14" t="n"/>
      <c r="M98" s="13" t="inlineStr">
        <is>
          <t>de bank stijgt</t>
        </is>
      </c>
      <c r="N98" s="13" t="inlineStr">
        <is>
          <t>nee</t>
        </is>
      </c>
    </row>
    <row r="99">
      <c r="A99" s="12" t="n">
        <v>98</v>
      </c>
      <c r="B99" s="16" t="n">
        <v>46466</v>
      </c>
      <c r="C99" s="5" t="inlineStr">
        <is>
          <t>K1</t>
        </is>
      </c>
      <c r="D99" s="13" t="inlineStr">
        <is>
          <t>K1</t>
        </is>
      </c>
      <c r="E99" s="13" t="inlineStr">
        <is>
          <t>U2027-08/1</t>
        </is>
      </c>
      <c r="F99" s="13" t="inlineStr">
        <is>
          <t>uittreksel U2027-08/1</t>
        </is>
      </c>
      <c r="G99" s="13" t="n">
        <v>400000</v>
      </c>
      <c r="H99" s="13">
        <f>INDEX('MAR 2e graad'!$B$2:$B$58,MATCH(G99,'MAR 2e graad'!$A$2:$A$58,0))</f>
        <v/>
      </c>
      <c r="I99" s="13">
        <f>INDEX('MAR 2e graad'!$C$2:$C$58,MATCH(G99,'MAR 2e graad'!$A$2:$A$58,0))</f>
        <v/>
      </c>
      <c r="J99" s="13">
        <f>IF(OR(I99="A",I99="K"),IF(K99&gt;0,"+","-"),IF(L99&gt;0,"+","-"))</f>
        <v/>
      </c>
      <c r="K99" s="14" t="n"/>
      <c r="L99" s="14" t="n">
        <v>1936</v>
      </c>
      <c r="M99" s="13" t="inlineStr">
        <is>
          <t>de vordering op de klant daalt</t>
        </is>
      </c>
      <c r="N99" s="13" t="inlineStr">
        <is>
          <t>nee</t>
        </is>
      </c>
    </row>
    <row r="100">
      <c r="A100" s="12" t="n">
        <v>99</v>
      </c>
      <c r="B100" s="16" t="n">
        <v>46466</v>
      </c>
      <c r="C100" s="5" t="inlineStr">
        <is>
          <t>K1</t>
        </is>
      </c>
      <c r="D100" s="13" t="inlineStr">
        <is>
          <t>K1</t>
        </is>
      </c>
      <c r="E100" s="13" t="inlineStr">
        <is>
          <t>U2027-08/2</t>
        </is>
      </c>
      <c r="F100" s="13" t="inlineStr">
        <is>
          <t>uittreksel U2027-08/2</t>
        </is>
      </c>
      <c r="G100" s="13" t="n">
        <v>550000</v>
      </c>
      <c r="H100" s="13">
        <f>INDEX('MAR 2e graad'!$B$2:$B$58,MATCH(G100,'MAR 2e graad'!$A$2:$A$58,0))</f>
        <v/>
      </c>
      <c r="I100" s="13">
        <f>INDEX('MAR 2e graad'!$C$2:$C$58,MATCH(G100,'MAR 2e graad'!$A$2:$A$58,0))</f>
        <v/>
      </c>
      <c r="J100" s="13">
        <f>IF(OR(I100="A",I100="K"),IF(K100&gt;0,"+","-"),IF(L100&gt;0,"+","-"))</f>
        <v/>
      </c>
      <c r="K100" s="14" t="n">
        <v>4356</v>
      </c>
      <c r="L100" s="14" t="n"/>
      <c r="M100" s="13" t="inlineStr">
        <is>
          <t>de bank stijgt</t>
        </is>
      </c>
      <c r="N100" s="13" t="inlineStr">
        <is>
          <t>nee</t>
        </is>
      </c>
    </row>
    <row r="101">
      <c r="A101" s="12" t="n">
        <v>100</v>
      </c>
      <c r="B101" s="16" t="n">
        <v>46466</v>
      </c>
      <c r="C101" s="5" t="inlineStr">
        <is>
          <t>K1</t>
        </is>
      </c>
      <c r="D101" s="13" t="inlineStr">
        <is>
          <t>K1</t>
        </is>
      </c>
      <c r="E101" s="13" t="inlineStr">
        <is>
          <t>U2027-08/2</t>
        </is>
      </c>
      <c r="F101" s="13" t="inlineStr">
        <is>
          <t>uittreksel U2027-08/2</t>
        </is>
      </c>
      <c r="G101" s="13" t="n">
        <v>400000</v>
      </c>
      <c r="H101" s="13">
        <f>INDEX('MAR 2e graad'!$B$2:$B$58,MATCH(G101,'MAR 2e graad'!$A$2:$A$58,0))</f>
        <v/>
      </c>
      <c r="I101" s="13">
        <f>INDEX('MAR 2e graad'!$C$2:$C$58,MATCH(G101,'MAR 2e graad'!$A$2:$A$58,0))</f>
        <v/>
      </c>
      <c r="J101" s="13">
        <f>IF(OR(I101="A",I101="K"),IF(K101&gt;0,"+","-"),IF(L101&gt;0,"+","-"))</f>
        <v/>
      </c>
      <c r="K101" s="14" t="n"/>
      <c r="L101" s="14" t="n">
        <v>4356</v>
      </c>
      <c r="M101" s="13" t="inlineStr">
        <is>
          <t>de vordering op de klant daalt</t>
        </is>
      </c>
      <c r="N101" s="13" t="inlineStr">
        <is>
          <t>nee</t>
        </is>
      </c>
    </row>
    <row r="102">
      <c r="A102" s="12" t="n">
        <v>101</v>
      </c>
      <c r="B102" s="16" t="n">
        <v>46477</v>
      </c>
      <c r="C102" s="5" t="inlineStr">
        <is>
          <t>K1</t>
        </is>
      </c>
      <c r="D102" s="13" t="inlineStr">
        <is>
          <t>K1</t>
        </is>
      </c>
      <c r="E102" s="13" t="inlineStr">
        <is>
          <t>J2BTW1</t>
        </is>
      </c>
      <c r="F102" s="13" t="inlineStr">
        <is>
          <t>J2BTW1</t>
        </is>
      </c>
      <c r="G102" s="13" t="n">
        <v>451100</v>
      </c>
      <c r="H102" s="13">
        <f>INDEX('MAR 2e graad'!$B$2:$B$58,MATCH(G102,'MAR 2e graad'!$A$2:$A$58,0))</f>
        <v/>
      </c>
      <c r="I102" s="13">
        <f>INDEX('MAR 2e graad'!$C$2:$C$58,MATCH(G102,'MAR 2e graad'!$A$2:$A$58,0))</f>
        <v/>
      </c>
      <c r="J102" s="13">
        <f>IF(OR(I102="A",I102="K"),IF(K102&gt;0,"+","-"),IF(L102&gt;0,"+","-"))</f>
        <v/>
      </c>
      <c r="K102" s="14" t="n">
        <v>3057</v>
      </c>
      <c r="L102" s="14" t="n"/>
      <c r="M102" s="13" t="inlineStr">
        <is>
          <t>de verschuldigde btw wordt op 0 gezet</t>
        </is>
      </c>
      <c r="N102" s="13" t="inlineStr">
        <is>
          <t>nee</t>
        </is>
      </c>
    </row>
    <row r="103">
      <c r="A103" s="12" t="n">
        <v>102</v>
      </c>
      <c r="B103" s="16" t="n">
        <v>46477</v>
      </c>
      <c r="C103" s="5" t="inlineStr">
        <is>
          <t>K1</t>
        </is>
      </c>
      <c r="D103" s="13" t="inlineStr">
        <is>
          <t>K1</t>
        </is>
      </c>
      <c r="E103" s="13" t="inlineStr">
        <is>
          <t>J2BTW1</t>
        </is>
      </c>
      <c r="F103" s="13" t="inlineStr">
        <is>
          <t>J2BTW1</t>
        </is>
      </c>
      <c r="G103" s="13" t="n">
        <v>451200</v>
      </c>
      <c r="H103" s="13">
        <f>INDEX('MAR 2e graad'!$B$2:$B$58,MATCH(G103,'MAR 2e graad'!$A$2:$A$58,0))</f>
        <v/>
      </c>
      <c r="I103" s="13">
        <f>INDEX('MAR 2e graad'!$C$2:$C$58,MATCH(G103,'MAR 2e graad'!$A$2:$A$58,0))</f>
        <v/>
      </c>
      <c r="J103" s="13">
        <f>IF(OR(I103="A",I103="K"),IF(K103&gt;0,"+","-"),IF(L103&gt;0,"+","-"))</f>
        <v/>
      </c>
      <c r="K103" s="14" t="n">
        <v>378</v>
      </c>
      <c r="L103" s="14" t="n"/>
      <c r="M103" s="13" t="inlineStr">
        <is>
          <t>de verschuldigde btw op inkomende creditnota’s wordt op 0 gezet</t>
        </is>
      </c>
      <c r="N103" s="13" t="inlineStr">
        <is>
          <t>nee</t>
        </is>
      </c>
    </row>
    <row r="104">
      <c r="A104" s="12" t="n">
        <v>103</v>
      </c>
      <c r="B104" s="16" t="n">
        <v>46477</v>
      </c>
      <c r="C104" s="5" t="inlineStr">
        <is>
          <t>K1</t>
        </is>
      </c>
      <c r="D104" s="13" t="inlineStr">
        <is>
          <t>K1</t>
        </is>
      </c>
      <c r="E104" s="13" t="inlineStr">
        <is>
          <t>J2BTW1</t>
        </is>
      </c>
      <c r="F104" s="13" t="inlineStr">
        <is>
          <t>J2BTW1</t>
        </is>
      </c>
      <c r="G104" s="13" t="n">
        <v>411100</v>
      </c>
      <c r="H104" s="13">
        <f>INDEX('MAR 2e graad'!$B$2:$B$58,MATCH(G104,'MAR 2e graad'!$A$2:$A$58,0))</f>
        <v/>
      </c>
      <c r="I104" s="13">
        <f>INDEX('MAR 2e graad'!$C$2:$C$58,MATCH(G104,'MAR 2e graad'!$A$2:$A$58,0))</f>
        <v/>
      </c>
      <c r="J104" s="13">
        <f>IF(OR(I104="A",I104="K"),IF(K104&gt;0,"+","-"),IF(L104&gt;0,"+","-"))</f>
        <v/>
      </c>
      <c r="K104" s="14" t="n"/>
      <c r="L104" s="14" t="n">
        <v>4116</v>
      </c>
      <c r="M104" s="13" t="inlineStr">
        <is>
          <t>de aftrekbare btw wordt op 0 gezet</t>
        </is>
      </c>
      <c r="N104" s="13" t="inlineStr">
        <is>
          <t>nee</t>
        </is>
      </c>
    </row>
    <row r="105">
      <c r="A105" s="12" t="n">
        <v>104</v>
      </c>
      <c r="B105" s="16" t="n">
        <v>46477</v>
      </c>
      <c r="C105" s="5" t="inlineStr">
        <is>
          <t>K1</t>
        </is>
      </c>
      <c r="D105" s="13" t="inlineStr">
        <is>
          <t>K1</t>
        </is>
      </c>
      <c r="E105" s="13" t="inlineStr">
        <is>
          <t>J2BTW1</t>
        </is>
      </c>
      <c r="F105" s="13" t="inlineStr">
        <is>
          <t>J2BTW1</t>
        </is>
      </c>
      <c r="G105" s="13" t="n">
        <v>411200</v>
      </c>
      <c r="H105" s="13">
        <f>INDEX('MAR 2e graad'!$B$2:$B$58,MATCH(G105,'MAR 2e graad'!$A$2:$A$58,0))</f>
        <v/>
      </c>
      <c r="I105" s="13">
        <f>INDEX('MAR 2e graad'!$C$2:$C$58,MATCH(G105,'MAR 2e graad'!$A$2:$A$58,0))</f>
        <v/>
      </c>
      <c r="J105" s="13">
        <f>IF(OR(I105="A",I105="K"),IF(K105&gt;0,"+","-"),IF(L105&gt;0,"+","-"))</f>
        <v/>
      </c>
      <c r="K105" s="14" t="n"/>
      <c r="L105" s="14" t="n">
        <v>567</v>
      </c>
      <c r="M105" s="13" t="inlineStr">
        <is>
          <t>de aftrekbare btw op uitgaande creditnota’s wordt op 0 gezet</t>
        </is>
      </c>
      <c r="N105" s="13" t="inlineStr">
        <is>
          <t>nee</t>
        </is>
      </c>
    </row>
    <row r="106">
      <c r="A106" s="12" t="n">
        <v>105</v>
      </c>
      <c r="B106" s="16" t="n">
        <v>46477</v>
      </c>
      <c r="C106" s="5" t="inlineStr">
        <is>
          <t>K1</t>
        </is>
      </c>
      <c r="D106" s="13" t="inlineStr">
        <is>
          <t>K1</t>
        </is>
      </c>
      <c r="E106" s="13" t="inlineStr">
        <is>
          <t>J2BTW1</t>
        </is>
      </c>
      <c r="F106" s="13" t="inlineStr">
        <is>
          <t>J2BTW1</t>
        </is>
      </c>
      <c r="G106" s="13" t="n">
        <v>411000</v>
      </c>
      <c r="H106" s="13">
        <f>INDEX('MAR 2e graad'!$B$2:$B$58,MATCH(G106,'MAR 2e graad'!$A$2:$A$58,0))</f>
        <v/>
      </c>
      <c r="I106" s="13">
        <f>INDEX('MAR 2e graad'!$C$2:$C$58,MATCH(G106,'MAR 2e graad'!$A$2:$A$58,0))</f>
        <v/>
      </c>
      <c r="J106" s="13">
        <f>IF(OR(I106="A",I106="K"),IF(K106&gt;0,"+","-"),IF(L106&gt;0,"+","-"))</f>
        <v/>
      </c>
      <c r="K106" s="14" t="n">
        <v>1248</v>
      </c>
      <c r="L106" s="14" t="n"/>
      <c r="M106" s="13" t="inlineStr">
        <is>
          <t>het btw-tegoed (terug te vorderen, door te schuiven) stijgt</t>
        </is>
      </c>
      <c r="N106" s="13" t="inlineStr">
        <is>
          <t>nee</t>
        </is>
      </c>
    </row>
    <row r="107">
      <c r="A107" s="12" t="n">
        <v>106</v>
      </c>
      <c r="B107" s="16" t="n">
        <v>46478</v>
      </c>
      <c r="C107" s="6" t="inlineStr">
        <is>
          <t>K2</t>
        </is>
      </c>
      <c r="D107" s="13" t="inlineStr">
        <is>
          <t>K2</t>
        </is>
      </c>
      <c r="E107" s="13" t="inlineStr">
        <is>
          <t>J2Q2A1</t>
        </is>
      </c>
      <c r="F107" s="13" t="inlineStr">
        <is>
          <t>2027-198</t>
        </is>
      </c>
      <c r="G107" s="13" t="n">
        <v>604000</v>
      </c>
      <c r="H107" s="13">
        <f>INDEX('MAR 2e graad'!$B$2:$B$58,MATCH(G107,'MAR 2e graad'!$A$2:$A$58,0))</f>
        <v/>
      </c>
      <c r="I107" s="13">
        <f>INDEX('MAR 2e graad'!$C$2:$C$58,MATCH(G107,'MAR 2e graad'!$A$2:$A$58,0))</f>
        <v/>
      </c>
      <c r="J107" s="13">
        <f>IF(OR(I107="A",I107="K"),IF(K107&gt;0,"+","-"),IF(L107&gt;0,"+","-"))</f>
        <v/>
      </c>
      <c r="K107" s="14" t="n">
        <v>6000</v>
      </c>
      <c r="L107" s="14" t="n"/>
      <c r="M107" s="13" t="inlineStr">
        <is>
          <t>de kosten voor handelsgoederen stijgen</t>
        </is>
      </c>
      <c r="N107" s="13" t="inlineStr">
        <is>
          <t>nee</t>
        </is>
      </c>
    </row>
    <row r="108">
      <c r="A108" s="12" t="n">
        <v>107</v>
      </c>
      <c r="B108" s="16" t="n">
        <v>46478</v>
      </c>
      <c r="C108" s="6" t="inlineStr">
        <is>
          <t>K2</t>
        </is>
      </c>
      <c r="D108" s="13" t="inlineStr">
        <is>
          <t>K2</t>
        </is>
      </c>
      <c r="E108" s="13" t="inlineStr">
        <is>
          <t>J2Q2A1</t>
        </is>
      </c>
      <c r="F108" s="13" t="inlineStr">
        <is>
          <t>2027-198</t>
        </is>
      </c>
      <c r="G108" s="13" t="n">
        <v>418000</v>
      </c>
      <c r="H108" s="13">
        <f>INDEX('MAR 2e graad'!$B$2:$B$58,MATCH(G108,'MAR 2e graad'!$A$2:$A$58,0))</f>
        <v/>
      </c>
      <c r="I108" s="13">
        <f>INDEX('MAR 2e graad'!$C$2:$C$58,MATCH(G108,'MAR 2e graad'!$A$2:$A$58,0))</f>
        <v/>
      </c>
      <c r="J108" s="13">
        <f>IF(OR(I108="A",I108="K"),IF(K108&gt;0,"+","-"),IF(L108&gt;0,"+","-"))</f>
        <v/>
      </c>
      <c r="K108" s="14" t="n">
        <v>200</v>
      </c>
      <c r="L108" s="14" t="n"/>
      <c r="M108" s="13" t="inlineStr">
        <is>
          <t>de vordering op de leverancier (verpakking) stijgt</t>
        </is>
      </c>
      <c r="N108" s="13" t="inlineStr">
        <is>
          <t>nee</t>
        </is>
      </c>
    </row>
    <row r="109">
      <c r="A109" s="12" t="n">
        <v>108</v>
      </c>
      <c r="B109" s="16" t="n">
        <v>46478</v>
      </c>
      <c r="C109" s="6" t="inlineStr">
        <is>
          <t>K2</t>
        </is>
      </c>
      <c r="D109" s="13" t="inlineStr">
        <is>
          <t>K2</t>
        </is>
      </c>
      <c r="E109" s="13" t="inlineStr">
        <is>
          <t>J2Q2A1</t>
        </is>
      </c>
      <c r="F109" s="13" t="inlineStr">
        <is>
          <t>2027-198</t>
        </is>
      </c>
      <c r="G109" s="13" t="n">
        <v>604020</v>
      </c>
      <c r="H109" s="13">
        <f>INDEX('MAR 2e graad'!$B$2:$B$58,MATCH(G109,'MAR 2e graad'!$A$2:$A$58,0))</f>
        <v/>
      </c>
      <c r="I109" s="13">
        <f>INDEX('MAR 2e graad'!$C$2:$C$58,MATCH(G109,'MAR 2e graad'!$A$2:$A$58,0))</f>
        <v/>
      </c>
      <c r="J109" s="13">
        <f>IF(OR(I109="A",I109="K"),IF(K109&gt;0,"+","-"),IF(L109&gt;0,"+","-"))</f>
        <v/>
      </c>
      <c r="K109" s="14" t="n"/>
      <c r="L109" s="14" t="n">
        <v>600</v>
      </c>
      <c r="M109" s="13" t="inlineStr">
        <is>
          <t>de handelskorting op aankopen stijgt (kost daalt)</t>
        </is>
      </c>
      <c r="N109" s="13" t="inlineStr">
        <is>
          <t>nee</t>
        </is>
      </c>
    </row>
    <row r="110">
      <c r="A110" s="12" t="n">
        <v>109</v>
      </c>
      <c r="B110" s="16" t="n">
        <v>46478</v>
      </c>
      <c r="C110" s="6" t="inlineStr">
        <is>
          <t>K2</t>
        </is>
      </c>
      <c r="D110" s="13" t="inlineStr">
        <is>
          <t>K2</t>
        </is>
      </c>
      <c r="E110" s="13" t="inlineStr">
        <is>
          <t>J2Q2A1</t>
        </is>
      </c>
      <c r="F110" s="13" t="inlineStr">
        <is>
          <t>2027-198</t>
        </is>
      </c>
      <c r="G110" s="13" t="n">
        <v>411100</v>
      </c>
      <c r="H110" s="13">
        <f>INDEX('MAR 2e graad'!$B$2:$B$58,MATCH(G110,'MAR 2e graad'!$A$2:$A$58,0))</f>
        <v/>
      </c>
      <c r="I110" s="13">
        <f>INDEX('MAR 2e graad'!$C$2:$C$58,MATCH(G110,'MAR 2e graad'!$A$2:$A$58,0))</f>
        <v/>
      </c>
      <c r="J110" s="13">
        <f>IF(OR(I110="A",I110="K"),IF(K110&gt;0,"+","-"),IF(L110&gt;0,"+","-"))</f>
        <v/>
      </c>
      <c r="K110" s="14" t="n">
        <v>1134</v>
      </c>
      <c r="L110" s="14" t="n"/>
      <c r="M110" s="13" t="inlineStr">
        <is>
          <t>de vordering op de overheid (aftrekbare btw) stijgt</t>
        </is>
      </c>
      <c r="N110" s="13" t="inlineStr">
        <is>
          <t>nee</t>
        </is>
      </c>
    </row>
    <row r="111">
      <c r="A111" s="12" t="n">
        <v>110</v>
      </c>
      <c r="B111" s="16" t="n">
        <v>46478</v>
      </c>
      <c r="C111" s="6" t="inlineStr">
        <is>
          <t>K2</t>
        </is>
      </c>
      <c r="D111" s="13" t="inlineStr">
        <is>
          <t>K2</t>
        </is>
      </c>
      <c r="E111" s="13" t="inlineStr">
        <is>
          <t>J2Q2A1</t>
        </is>
      </c>
      <c r="F111" s="13" t="inlineStr">
        <is>
          <t>2027-198</t>
        </is>
      </c>
      <c r="G111" s="13" t="n">
        <v>440000</v>
      </c>
      <c r="H111" s="13">
        <f>INDEX('MAR 2e graad'!$B$2:$B$58,MATCH(G111,'MAR 2e graad'!$A$2:$A$58,0))</f>
        <v/>
      </c>
      <c r="I111" s="13">
        <f>INDEX('MAR 2e graad'!$C$2:$C$58,MATCH(G111,'MAR 2e graad'!$A$2:$A$58,0))</f>
        <v/>
      </c>
      <c r="J111" s="13">
        <f>IF(OR(I111="A",I111="K"),IF(K111&gt;0,"+","-"),IF(L111&gt;0,"+","-"))</f>
        <v/>
      </c>
      <c r="K111" s="14" t="n"/>
      <c r="L111" s="14" t="n">
        <v>6734</v>
      </c>
      <c r="M111" s="13" t="inlineStr">
        <is>
          <t>de schuld aan de leverancier stijgt</t>
        </is>
      </c>
      <c r="N111" s="13" t="inlineStr">
        <is>
          <t>nee</t>
        </is>
      </c>
    </row>
    <row r="112">
      <c r="A112" s="12" t="n">
        <v>111</v>
      </c>
      <c r="B112" s="16" t="n">
        <v>46484</v>
      </c>
      <c r="C112" s="6" t="inlineStr">
        <is>
          <t>K2</t>
        </is>
      </c>
      <c r="D112" s="13" t="inlineStr">
        <is>
          <t>K2</t>
        </is>
      </c>
      <c r="E112" s="13" t="inlineStr">
        <is>
          <t>J2Q2A2</t>
        </is>
      </c>
      <c r="F112" s="13" t="inlineStr">
        <is>
          <t>SK-27-1104</t>
        </is>
      </c>
      <c r="G112" s="13" t="n">
        <v>612700</v>
      </c>
      <c r="H112" s="13">
        <f>INDEX('MAR 2e graad'!$B$2:$B$58,MATCH(G112,'MAR 2e graad'!$A$2:$A$58,0))</f>
        <v/>
      </c>
      <c r="I112" s="13">
        <f>INDEX('MAR 2e graad'!$C$2:$C$58,MATCH(G112,'MAR 2e graad'!$A$2:$A$58,0))</f>
        <v/>
      </c>
      <c r="J112" s="13">
        <f>IF(OR(I112="A",I112="K"),IF(K112&gt;0,"+","-"),IF(L112&gt;0,"+","-"))</f>
        <v/>
      </c>
      <c r="K112" s="14" t="n">
        <v>600</v>
      </c>
      <c r="L112" s="14" t="n"/>
      <c r="M112" s="13" t="inlineStr">
        <is>
          <t>de kosten voor diensten en diverse goederen stijgen</t>
        </is>
      </c>
      <c r="N112" s="13" t="inlineStr">
        <is>
          <t>nee</t>
        </is>
      </c>
    </row>
    <row r="113">
      <c r="A113" s="12" t="n">
        <v>112</v>
      </c>
      <c r="B113" s="16" t="n">
        <v>46484</v>
      </c>
      <c r="C113" s="6" t="inlineStr">
        <is>
          <t>K2</t>
        </is>
      </c>
      <c r="D113" s="13" t="inlineStr">
        <is>
          <t>K2</t>
        </is>
      </c>
      <c r="E113" s="13" t="inlineStr">
        <is>
          <t>J2Q2A2</t>
        </is>
      </c>
      <c r="F113" s="13" t="inlineStr">
        <is>
          <t>SK-27-1104</t>
        </is>
      </c>
      <c r="G113" s="13" t="n">
        <v>411100</v>
      </c>
      <c r="H113" s="13">
        <f>INDEX('MAR 2e graad'!$B$2:$B$58,MATCH(G113,'MAR 2e graad'!$A$2:$A$58,0))</f>
        <v/>
      </c>
      <c r="I113" s="13">
        <f>INDEX('MAR 2e graad'!$C$2:$C$58,MATCH(G113,'MAR 2e graad'!$A$2:$A$58,0))</f>
        <v/>
      </c>
      <c r="J113" s="13">
        <f>IF(OR(I113="A",I113="K"),IF(K113&gt;0,"+","-"),IF(L113&gt;0,"+","-"))</f>
        <v/>
      </c>
      <c r="K113" s="14" t="n">
        <v>126</v>
      </c>
      <c r="L113" s="14" t="n"/>
      <c r="M113" s="13" t="inlineStr">
        <is>
          <t>de vordering op de overheid (aftrekbare btw) stijgt</t>
        </is>
      </c>
      <c r="N113" s="13" t="inlineStr">
        <is>
          <t>nee</t>
        </is>
      </c>
    </row>
    <row r="114">
      <c r="A114" s="12" t="n">
        <v>113</v>
      </c>
      <c r="B114" s="16" t="n">
        <v>46484</v>
      </c>
      <c r="C114" s="6" t="inlineStr">
        <is>
          <t>K2</t>
        </is>
      </c>
      <c r="D114" s="13" t="inlineStr">
        <is>
          <t>K2</t>
        </is>
      </c>
      <c r="E114" s="13" t="inlineStr">
        <is>
          <t>J2Q2A2</t>
        </is>
      </c>
      <c r="F114" s="13" t="inlineStr">
        <is>
          <t>SK-27-1104</t>
        </is>
      </c>
      <c r="G114" s="13" t="n">
        <v>440000</v>
      </c>
      <c r="H114" s="13">
        <f>INDEX('MAR 2e graad'!$B$2:$B$58,MATCH(G114,'MAR 2e graad'!$A$2:$A$58,0))</f>
        <v/>
      </c>
      <c r="I114" s="13">
        <f>INDEX('MAR 2e graad'!$C$2:$C$58,MATCH(G114,'MAR 2e graad'!$A$2:$A$58,0))</f>
        <v/>
      </c>
      <c r="J114" s="13">
        <f>IF(OR(I114="A",I114="K"),IF(K114&gt;0,"+","-"),IF(L114&gt;0,"+","-"))</f>
        <v/>
      </c>
      <c r="K114" s="14" t="n"/>
      <c r="L114" s="14" t="n">
        <v>726</v>
      </c>
      <c r="M114" s="13" t="inlineStr">
        <is>
          <t>de schuld aan de leverancier stijgt</t>
        </is>
      </c>
      <c r="N114" s="13" t="inlineStr">
        <is>
          <t>nee</t>
        </is>
      </c>
    </row>
    <row r="115">
      <c r="A115" s="12" t="n">
        <v>114</v>
      </c>
      <c r="B115" s="16" t="n">
        <v>46485</v>
      </c>
      <c r="C115" s="6" t="inlineStr">
        <is>
          <t>K2</t>
        </is>
      </c>
      <c r="D115" s="13" t="inlineStr">
        <is>
          <t>K2</t>
        </is>
      </c>
      <c r="E115" s="13" t="inlineStr">
        <is>
          <t>J2Q2V1</t>
        </is>
      </c>
      <c r="F115" s="13" t="inlineStr">
        <is>
          <t>2027-009</t>
        </is>
      </c>
      <c r="G115" s="13" t="n">
        <v>400000</v>
      </c>
      <c r="H115" s="13">
        <f>INDEX('MAR 2e graad'!$B$2:$B$58,MATCH(G115,'MAR 2e graad'!$A$2:$A$58,0))</f>
        <v/>
      </c>
      <c r="I115" s="13">
        <f>INDEX('MAR 2e graad'!$C$2:$C$58,MATCH(G115,'MAR 2e graad'!$A$2:$A$58,0))</f>
        <v/>
      </c>
      <c r="J115" s="13">
        <f>IF(OR(I115="A",I115="K"),IF(K115&gt;0,"+","-"),IF(L115&gt;0,"+","-"))</f>
        <v/>
      </c>
      <c r="K115" s="14" t="n">
        <v>5082</v>
      </c>
      <c r="L115" s="14" t="n"/>
      <c r="M115" s="13" t="inlineStr">
        <is>
          <t>de vordering op de klant stijgt</t>
        </is>
      </c>
      <c r="N115" s="13" t="inlineStr">
        <is>
          <t>nee</t>
        </is>
      </c>
    </row>
    <row r="116">
      <c r="A116" s="12" t="n">
        <v>115</v>
      </c>
      <c r="B116" s="16" t="n">
        <v>46485</v>
      </c>
      <c r="C116" s="6" t="inlineStr">
        <is>
          <t>K2</t>
        </is>
      </c>
      <c r="D116" s="13" t="inlineStr">
        <is>
          <t>K2</t>
        </is>
      </c>
      <c r="E116" s="13" t="inlineStr">
        <is>
          <t>J2Q2V1</t>
        </is>
      </c>
      <c r="F116" s="13" t="inlineStr">
        <is>
          <t>2027-009</t>
        </is>
      </c>
      <c r="G116" s="13" t="n">
        <v>704000</v>
      </c>
      <c r="H116" s="13">
        <f>INDEX('MAR 2e graad'!$B$2:$B$58,MATCH(G116,'MAR 2e graad'!$A$2:$A$58,0))</f>
        <v/>
      </c>
      <c r="I116" s="13">
        <f>INDEX('MAR 2e graad'!$C$2:$C$58,MATCH(G116,'MAR 2e graad'!$A$2:$A$58,0))</f>
        <v/>
      </c>
      <c r="J116" s="13">
        <f>IF(OR(I116="A",I116="K"),IF(K116&gt;0,"+","-"),IF(L116&gt;0,"+","-"))</f>
        <v/>
      </c>
      <c r="K116" s="14" t="n"/>
      <c r="L116" s="14" t="n">
        <v>4000</v>
      </c>
      <c r="M116" s="13" t="inlineStr">
        <is>
          <t>de omzet stijgt</t>
        </is>
      </c>
      <c r="N116" s="13" t="inlineStr">
        <is>
          <t>nee</t>
        </is>
      </c>
    </row>
    <row r="117">
      <c r="A117" s="12" t="n">
        <v>116</v>
      </c>
      <c r="B117" s="16" t="n">
        <v>46485</v>
      </c>
      <c r="C117" s="6" t="inlineStr">
        <is>
          <t>K2</t>
        </is>
      </c>
      <c r="D117" s="13" t="inlineStr">
        <is>
          <t>K2</t>
        </is>
      </c>
      <c r="E117" s="13" t="inlineStr">
        <is>
          <t>J2Q2V1</t>
        </is>
      </c>
      <c r="F117" s="13" t="inlineStr">
        <is>
          <t>2027-009</t>
        </is>
      </c>
      <c r="G117" s="13" t="n">
        <v>704000</v>
      </c>
      <c r="H117" s="13">
        <f>INDEX('MAR 2e graad'!$B$2:$B$58,MATCH(G117,'MAR 2e graad'!$A$2:$A$58,0))</f>
        <v/>
      </c>
      <c r="I117" s="13">
        <f>INDEX('MAR 2e graad'!$C$2:$C$58,MATCH(G117,'MAR 2e graad'!$A$2:$A$58,0))</f>
        <v/>
      </c>
      <c r="J117" s="13">
        <f>IF(OR(I117="A",I117="K"),IF(K117&gt;0,"+","-"),IF(L117&gt;0,"+","-"))</f>
        <v/>
      </c>
      <c r="K117" s="14" t="n"/>
      <c r="L117" s="14" t="n">
        <v>200</v>
      </c>
      <c r="M117" s="13" t="inlineStr">
        <is>
          <t>de omzet stijgt</t>
        </is>
      </c>
      <c r="N117" s="13" t="inlineStr">
        <is>
          <t>nee</t>
        </is>
      </c>
    </row>
    <row r="118">
      <c r="A118" s="12" t="n">
        <v>117</v>
      </c>
      <c r="B118" s="16" t="n">
        <v>46485</v>
      </c>
      <c r="C118" s="6" t="inlineStr">
        <is>
          <t>K2</t>
        </is>
      </c>
      <c r="D118" s="13" t="inlineStr">
        <is>
          <t>K2</t>
        </is>
      </c>
      <c r="E118" s="13" t="inlineStr">
        <is>
          <t>J2Q2V1</t>
        </is>
      </c>
      <c r="F118" s="13" t="inlineStr">
        <is>
          <t>2027-009</t>
        </is>
      </c>
      <c r="G118" s="13" t="n">
        <v>451100</v>
      </c>
      <c r="H118" s="13">
        <f>INDEX('MAR 2e graad'!$B$2:$B$58,MATCH(G118,'MAR 2e graad'!$A$2:$A$58,0))</f>
        <v/>
      </c>
      <c r="I118" s="13">
        <f>INDEX('MAR 2e graad'!$C$2:$C$58,MATCH(G118,'MAR 2e graad'!$A$2:$A$58,0))</f>
        <v/>
      </c>
      <c r="J118" s="13">
        <f>IF(OR(I118="A",I118="K"),IF(K118&gt;0,"+","-"),IF(L118&gt;0,"+","-"))</f>
        <v/>
      </c>
      <c r="K118" s="14" t="n"/>
      <c r="L118" s="14" t="n">
        <v>882</v>
      </c>
      <c r="M118" s="13" t="inlineStr">
        <is>
          <t>de schuld aan de overheid (verschuldigde btw) stijgt</t>
        </is>
      </c>
      <c r="N118" s="13" t="inlineStr">
        <is>
          <t>nee</t>
        </is>
      </c>
    </row>
    <row r="119">
      <c r="A119" s="12" t="n">
        <v>118</v>
      </c>
      <c r="B119" s="16" t="n">
        <v>46487</v>
      </c>
      <c r="C119" s="6" t="inlineStr">
        <is>
          <t>K2</t>
        </is>
      </c>
      <c r="D119" s="13" t="inlineStr">
        <is>
          <t>K2</t>
        </is>
      </c>
      <c r="E119" s="13" t="inlineStr">
        <is>
          <t>J2Q2CA1</t>
        </is>
      </c>
      <c r="F119" s="13" t="inlineStr">
        <is>
          <t>CN-2027-021</t>
        </is>
      </c>
      <c r="G119" s="13" t="n">
        <v>604010</v>
      </c>
      <c r="H119" s="13">
        <f>INDEX('MAR 2e graad'!$B$2:$B$58,MATCH(G119,'MAR 2e graad'!$A$2:$A$58,0))</f>
        <v/>
      </c>
      <c r="I119" s="13">
        <f>INDEX('MAR 2e graad'!$C$2:$C$58,MATCH(G119,'MAR 2e graad'!$A$2:$A$58,0))</f>
        <v/>
      </c>
      <c r="J119" s="13">
        <f>IF(OR(I119="A",I119="K"),IF(K119&gt;0,"+","-"),IF(L119&gt;0,"+","-"))</f>
        <v/>
      </c>
      <c r="K119" s="14" t="n"/>
      <c r="L119" s="14" t="n">
        <v>2000</v>
      </c>
      <c r="M119" s="13" t="inlineStr">
        <is>
          <t>de kosten voor handelsgoederen dalen (retour)</t>
        </is>
      </c>
      <c r="N119" s="13" t="inlineStr">
        <is>
          <t>nee</t>
        </is>
      </c>
    </row>
    <row r="120">
      <c r="A120" s="12" t="n">
        <v>119</v>
      </c>
      <c r="B120" s="16" t="n">
        <v>46487</v>
      </c>
      <c r="C120" s="6" t="inlineStr">
        <is>
          <t>K2</t>
        </is>
      </c>
      <c r="D120" s="13" t="inlineStr">
        <is>
          <t>K2</t>
        </is>
      </c>
      <c r="E120" s="13" t="inlineStr">
        <is>
          <t>J2Q2CA1</t>
        </is>
      </c>
      <c r="F120" s="13" t="inlineStr">
        <is>
          <t>CN-2027-021</t>
        </is>
      </c>
      <c r="G120" s="13" t="n">
        <v>604020</v>
      </c>
      <c r="H120" s="13">
        <f>INDEX('MAR 2e graad'!$B$2:$B$58,MATCH(G120,'MAR 2e graad'!$A$2:$A$58,0))</f>
        <v/>
      </c>
      <c r="I120" s="13">
        <f>INDEX('MAR 2e graad'!$C$2:$C$58,MATCH(G120,'MAR 2e graad'!$A$2:$A$58,0))</f>
        <v/>
      </c>
      <c r="J120" s="13">
        <f>IF(OR(I120="A",I120="K"),IF(K120&gt;0,"+","-"),IF(L120&gt;0,"+","-"))</f>
        <v/>
      </c>
      <c r="K120" s="14" t="n">
        <v>200</v>
      </c>
      <c r="L120" s="14" t="n"/>
      <c r="M120" s="13" t="inlineStr">
        <is>
          <t>de handelskorting op aankopen daalt (kost stijgt)</t>
        </is>
      </c>
      <c r="N120" s="13" t="inlineStr">
        <is>
          <t>nee</t>
        </is>
      </c>
    </row>
    <row r="121">
      <c r="A121" s="12" t="n">
        <v>120</v>
      </c>
      <c r="B121" s="16" t="n">
        <v>46487</v>
      </c>
      <c r="C121" s="6" t="inlineStr">
        <is>
          <t>K2</t>
        </is>
      </c>
      <c r="D121" s="13" t="inlineStr">
        <is>
          <t>K2</t>
        </is>
      </c>
      <c r="E121" s="13" t="inlineStr">
        <is>
          <t>J2Q2CA1</t>
        </is>
      </c>
      <c r="F121" s="13" t="inlineStr">
        <is>
          <t>CN-2027-021</t>
        </is>
      </c>
      <c r="G121" s="13" t="n">
        <v>451200</v>
      </c>
      <c r="H121" s="13">
        <f>INDEX('MAR 2e graad'!$B$2:$B$58,MATCH(G121,'MAR 2e graad'!$A$2:$A$58,0))</f>
        <v/>
      </c>
      <c r="I121" s="13">
        <f>INDEX('MAR 2e graad'!$C$2:$C$58,MATCH(G121,'MAR 2e graad'!$A$2:$A$58,0))</f>
        <v/>
      </c>
      <c r="J121" s="13">
        <f>IF(OR(I121="A",I121="K"),IF(K121&gt;0,"+","-"),IF(L121&gt;0,"+","-"))</f>
        <v/>
      </c>
      <c r="K121" s="14" t="n"/>
      <c r="L121" s="14" t="n">
        <v>378</v>
      </c>
      <c r="M121" s="13" t="inlineStr">
        <is>
          <t>de schuld aan de overheid stijgt (btw op inkomende creditnota)</t>
        </is>
      </c>
      <c r="N121" s="13" t="inlineStr">
        <is>
          <t>nee</t>
        </is>
      </c>
    </row>
    <row r="122">
      <c r="A122" s="12" t="n">
        <v>121</v>
      </c>
      <c r="B122" s="16" t="n">
        <v>46487</v>
      </c>
      <c r="C122" s="6" t="inlineStr">
        <is>
          <t>K2</t>
        </is>
      </c>
      <c r="D122" s="13" t="inlineStr">
        <is>
          <t>K2</t>
        </is>
      </c>
      <c r="E122" s="13" t="inlineStr">
        <is>
          <t>J2Q2CA1</t>
        </is>
      </c>
      <c r="F122" s="13" t="inlineStr">
        <is>
          <t>CN-2027-021</t>
        </is>
      </c>
      <c r="G122" s="13" t="n">
        <v>440000</v>
      </c>
      <c r="H122" s="13">
        <f>INDEX('MAR 2e graad'!$B$2:$B$58,MATCH(G122,'MAR 2e graad'!$A$2:$A$58,0))</f>
        <v/>
      </c>
      <c r="I122" s="13">
        <f>INDEX('MAR 2e graad'!$C$2:$C$58,MATCH(G122,'MAR 2e graad'!$A$2:$A$58,0))</f>
        <v/>
      </c>
      <c r="J122" s="13">
        <f>IF(OR(I122="A",I122="K"),IF(K122&gt;0,"+","-"),IF(L122&gt;0,"+","-"))</f>
        <v/>
      </c>
      <c r="K122" s="14" t="n">
        <v>2178</v>
      </c>
      <c r="L122" s="14" t="n"/>
      <c r="M122" s="13" t="inlineStr">
        <is>
          <t>de schuld aan de leverancier daalt</t>
        </is>
      </c>
      <c r="N122" s="13" t="inlineStr">
        <is>
          <t>nee</t>
        </is>
      </c>
    </row>
    <row r="123">
      <c r="A123" s="12" t="n">
        <v>122</v>
      </c>
      <c r="B123" s="16" t="n">
        <v>46491</v>
      </c>
      <c r="C123" s="6" t="inlineStr">
        <is>
          <t>K2</t>
        </is>
      </c>
      <c r="D123" s="13" t="inlineStr">
        <is>
          <t>K2</t>
        </is>
      </c>
      <c r="E123" s="13" t="inlineStr">
        <is>
          <t>J2Q2V2</t>
        </is>
      </c>
      <c r="F123" s="13" t="inlineStr">
        <is>
          <t>2027-010</t>
        </is>
      </c>
      <c r="G123" s="13" t="n">
        <v>400000</v>
      </c>
      <c r="H123" s="13">
        <f>INDEX('MAR 2e graad'!$B$2:$B$58,MATCH(G123,'MAR 2e graad'!$A$2:$A$58,0))</f>
        <v/>
      </c>
      <c r="I123" s="13">
        <f>INDEX('MAR 2e graad'!$C$2:$C$58,MATCH(G123,'MAR 2e graad'!$A$2:$A$58,0))</f>
        <v/>
      </c>
      <c r="J123" s="13">
        <f>IF(OR(I123="A",I123="K"),IF(K123&gt;0,"+","-"),IF(L123&gt;0,"+","-"))</f>
        <v/>
      </c>
      <c r="K123" s="14" t="n">
        <v>6534</v>
      </c>
      <c r="L123" s="14" t="n"/>
      <c r="M123" s="13" t="inlineStr">
        <is>
          <t>de vordering op de klant stijgt</t>
        </is>
      </c>
      <c r="N123" s="13" t="inlineStr">
        <is>
          <t>nee</t>
        </is>
      </c>
    </row>
    <row r="124">
      <c r="A124" s="12" t="n">
        <v>123</v>
      </c>
      <c r="B124" s="16" t="n">
        <v>46491</v>
      </c>
      <c r="C124" s="6" t="inlineStr">
        <is>
          <t>K2</t>
        </is>
      </c>
      <c r="D124" s="13" t="inlineStr">
        <is>
          <t>K2</t>
        </is>
      </c>
      <c r="E124" s="13" t="inlineStr">
        <is>
          <t>J2Q2V2</t>
        </is>
      </c>
      <c r="F124" s="13" t="inlineStr">
        <is>
          <t>2027-010</t>
        </is>
      </c>
      <c r="G124" s="13" t="n">
        <v>704000</v>
      </c>
      <c r="H124" s="13">
        <f>INDEX('MAR 2e graad'!$B$2:$B$58,MATCH(G124,'MAR 2e graad'!$A$2:$A$58,0))</f>
        <v/>
      </c>
      <c r="I124" s="13">
        <f>INDEX('MAR 2e graad'!$C$2:$C$58,MATCH(G124,'MAR 2e graad'!$A$2:$A$58,0))</f>
        <v/>
      </c>
      <c r="J124" s="13">
        <f>IF(OR(I124="A",I124="K"),IF(K124&gt;0,"+","-"),IF(L124&gt;0,"+","-"))</f>
        <v/>
      </c>
      <c r="K124" s="14" t="n"/>
      <c r="L124" s="14" t="n">
        <v>6000</v>
      </c>
      <c r="M124" s="13" t="inlineStr">
        <is>
          <t>de omzet stijgt</t>
        </is>
      </c>
      <c r="N124" s="13" t="inlineStr">
        <is>
          <t>nee</t>
        </is>
      </c>
    </row>
    <row r="125">
      <c r="A125" s="12" t="n">
        <v>124</v>
      </c>
      <c r="B125" s="16" t="n">
        <v>46491</v>
      </c>
      <c r="C125" s="6" t="inlineStr">
        <is>
          <t>K2</t>
        </is>
      </c>
      <c r="D125" s="13" t="inlineStr">
        <is>
          <t>K2</t>
        </is>
      </c>
      <c r="E125" s="13" t="inlineStr">
        <is>
          <t>J2Q2V2</t>
        </is>
      </c>
      <c r="F125" s="13" t="inlineStr">
        <is>
          <t>2027-010</t>
        </is>
      </c>
      <c r="G125" s="13" t="n">
        <v>704020</v>
      </c>
      <c r="H125" s="13">
        <f>INDEX('MAR 2e graad'!$B$2:$B$58,MATCH(G125,'MAR 2e graad'!$A$2:$A$58,0))</f>
        <v/>
      </c>
      <c r="I125" s="13">
        <f>INDEX('MAR 2e graad'!$C$2:$C$58,MATCH(G125,'MAR 2e graad'!$A$2:$A$58,0))</f>
        <v/>
      </c>
      <c r="J125" s="13">
        <f>IF(OR(I125="A",I125="K"),IF(K125&gt;0,"+","-"),IF(L125&gt;0,"+","-"))</f>
        <v/>
      </c>
      <c r="K125" s="14" t="n">
        <v>600</v>
      </c>
      <c r="L125" s="14" t="n"/>
      <c r="M125" s="13" t="inlineStr">
        <is>
          <t>de handelskorting op verkopen stijgt (omzet daalt)</t>
        </is>
      </c>
      <c r="N125" s="13" t="inlineStr">
        <is>
          <t>nee</t>
        </is>
      </c>
    </row>
    <row r="126">
      <c r="A126" s="12" t="n">
        <v>125</v>
      </c>
      <c r="B126" s="16" t="n">
        <v>46491</v>
      </c>
      <c r="C126" s="6" t="inlineStr">
        <is>
          <t>K2</t>
        </is>
      </c>
      <c r="D126" s="13" t="inlineStr">
        <is>
          <t>K2</t>
        </is>
      </c>
      <c r="E126" s="13" t="inlineStr">
        <is>
          <t>J2Q2V2</t>
        </is>
      </c>
      <c r="F126" s="13" t="inlineStr">
        <is>
          <t>2027-010</t>
        </is>
      </c>
      <c r="G126" s="13" t="n">
        <v>451100</v>
      </c>
      <c r="H126" s="13">
        <f>INDEX('MAR 2e graad'!$B$2:$B$58,MATCH(G126,'MAR 2e graad'!$A$2:$A$58,0))</f>
        <v/>
      </c>
      <c r="I126" s="13">
        <f>INDEX('MAR 2e graad'!$C$2:$C$58,MATCH(G126,'MAR 2e graad'!$A$2:$A$58,0))</f>
        <v/>
      </c>
      <c r="J126" s="13">
        <f>IF(OR(I126="A",I126="K"),IF(K126&gt;0,"+","-"),IF(L126&gt;0,"+","-"))</f>
        <v/>
      </c>
      <c r="K126" s="14" t="n"/>
      <c r="L126" s="14" t="n">
        <v>1134</v>
      </c>
      <c r="M126" s="13" t="inlineStr">
        <is>
          <t>de schuld aan de overheid (verschuldigde btw) stijgt</t>
        </is>
      </c>
      <c r="N126" s="13" t="inlineStr">
        <is>
          <t>nee</t>
        </is>
      </c>
    </row>
    <row r="127">
      <c r="A127" s="12" t="n">
        <v>126</v>
      </c>
      <c r="B127" s="16" t="n">
        <v>46497</v>
      </c>
      <c r="C127" s="6" t="inlineStr">
        <is>
          <t>K2</t>
        </is>
      </c>
      <c r="D127" s="13" t="inlineStr">
        <is>
          <t>K2</t>
        </is>
      </c>
      <c r="E127" s="13" t="inlineStr">
        <is>
          <t>U2027-09/1</t>
        </is>
      </c>
      <c r="F127" s="13" t="inlineStr">
        <is>
          <t>uittreksel U2027-09/1</t>
        </is>
      </c>
      <c r="G127" s="13" t="n">
        <v>440000</v>
      </c>
      <c r="H127" s="13">
        <f>INDEX('MAR 2e graad'!$B$2:$B$58,MATCH(G127,'MAR 2e graad'!$A$2:$A$58,0))</f>
        <v/>
      </c>
      <c r="I127" s="13">
        <f>INDEX('MAR 2e graad'!$C$2:$C$58,MATCH(G127,'MAR 2e graad'!$A$2:$A$58,0))</f>
        <v/>
      </c>
      <c r="J127" s="13">
        <f>IF(OR(I127="A",I127="K"),IF(K127&gt;0,"+","-"),IF(L127&gt;0,"+","-"))</f>
        <v/>
      </c>
      <c r="K127" s="14" t="n">
        <v>4556</v>
      </c>
      <c r="L127" s="14" t="n"/>
      <c r="M127" s="13" t="inlineStr">
        <is>
          <t>de schuld aan de leverancier daalt</t>
        </is>
      </c>
      <c r="N127" s="13" t="inlineStr">
        <is>
          <t>nee</t>
        </is>
      </c>
    </row>
    <row r="128">
      <c r="A128" s="12" t="n">
        <v>127</v>
      </c>
      <c r="B128" s="16" t="n">
        <v>46497</v>
      </c>
      <c r="C128" s="6" t="inlineStr">
        <is>
          <t>K2</t>
        </is>
      </c>
      <c r="D128" s="13" t="inlineStr">
        <is>
          <t>K2</t>
        </is>
      </c>
      <c r="E128" s="13" t="inlineStr">
        <is>
          <t>U2027-09/1</t>
        </is>
      </c>
      <c r="F128" s="13" t="inlineStr">
        <is>
          <t>uittreksel U2027-09/1</t>
        </is>
      </c>
      <c r="G128" s="13" t="n">
        <v>550000</v>
      </c>
      <c r="H128" s="13">
        <f>INDEX('MAR 2e graad'!$B$2:$B$58,MATCH(G128,'MAR 2e graad'!$A$2:$A$58,0))</f>
        <v/>
      </c>
      <c r="I128" s="13">
        <f>INDEX('MAR 2e graad'!$C$2:$C$58,MATCH(G128,'MAR 2e graad'!$A$2:$A$58,0))</f>
        <v/>
      </c>
      <c r="J128" s="13">
        <f>IF(OR(I128="A",I128="K"),IF(K128&gt;0,"+","-"),IF(L128&gt;0,"+","-"))</f>
        <v/>
      </c>
      <c r="K128" s="14" t="n"/>
      <c r="L128" s="14" t="n">
        <v>4556</v>
      </c>
      <c r="M128" s="13" t="inlineStr">
        <is>
          <t>de bank daalt</t>
        </is>
      </c>
      <c r="N128" s="13" t="inlineStr">
        <is>
          <t>nee</t>
        </is>
      </c>
    </row>
    <row r="129">
      <c r="A129" s="12" t="n">
        <v>128</v>
      </c>
      <c r="B129" s="16" t="n">
        <v>46497</v>
      </c>
      <c r="C129" s="6" t="inlineStr">
        <is>
          <t>K2</t>
        </is>
      </c>
      <c r="D129" s="13" t="inlineStr">
        <is>
          <t>K2</t>
        </is>
      </c>
      <c r="E129" s="13" t="inlineStr">
        <is>
          <t>U2027-09/2</t>
        </is>
      </c>
      <c r="F129" s="13" t="inlineStr">
        <is>
          <t>uittreksel U2027-09/2</t>
        </is>
      </c>
      <c r="G129" s="13" t="n">
        <v>440000</v>
      </c>
      <c r="H129" s="13">
        <f>INDEX('MAR 2e graad'!$B$2:$B$58,MATCH(G129,'MAR 2e graad'!$A$2:$A$58,0))</f>
        <v/>
      </c>
      <c r="I129" s="13">
        <f>INDEX('MAR 2e graad'!$C$2:$C$58,MATCH(G129,'MAR 2e graad'!$A$2:$A$58,0))</f>
        <v/>
      </c>
      <c r="J129" s="13">
        <f>IF(OR(I129="A",I129="K"),IF(K129&gt;0,"+","-"),IF(L129&gt;0,"+","-"))</f>
        <v/>
      </c>
      <c r="K129" s="14" t="n">
        <v>726</v>
      </c>
      <c r="L129" s="14" t="n"/>
      <c r="M129" s="13" t="inlineStr">
        <is>
          <t>de schuld aan de leverancier daalt</t>
        </is>
      </c>
      <c r="N129" s="13" t="inlineStr">
        <is>
          <t>nee</t>
        </is>
      </c>
    </row>
    <row r="130">
      <c r="A130" s="12" t="n">
        <v>129</v>
      </c>
      <c r="B130" s="16" t="n">
        <v>46497</v>
      </c>
      <c r="C130" s="6" t="inlineStr">
        <is>
          <t>K2</t>
        </is>
      </c>
      <c r="D130" s="13" t="inlineStr">
        <is>
          <t>K2</t>
        </is>
      </c>
      <c r="E130" s="13" t="inlineStr">
        <is>
          <t>U2027-09/2</t>
        </is>
      </c>
      <c r="F130" s="13" t="inlineStr">
        <is>
          <t>uittreksel U2027-09/2</t>
        </is>
      </c>
      <c r="G130" s="13" t="n">
        <v>550000</v>
      </c>
      <c r="H130" s="13">
        <f>INDEX('MAR 2e graad'!$B$2:$B$58,MATCH(G130,'MAR 2e graad'!$A$2:$A$58,0))</f>
        <v/>
      </c>
      <c r="I130" s="13">
        <f>INDEX('MAR 2e graad'!$C$2:$C$58,MATCH(G130,'MAR 2e graad'!$A$2:$A$58,0))</f>
        <v/>
      </c>
      <c r="J130" s="13">
        <f>IF(OR(I130="A",I130="K"),IF(K130&gt;0,"+","-"),IF(L130&gt;0,"+","-"))</f>
        <v/>
      </c>
      <c r="K130" s="14" t="n"/>
      <c r="L130" s="14" t="n">
        <v>726</v>
      </c>
      <c r="M130" s="13" t="inlineStr">
        <is>
          <t>de bank daalt</t>
        </is>
      </c>
      <c r="N130" s="13" t="inlineStr">
        <is>
          <t>nee</t>
        </is>
      </c>
    </row>
    <row r="131">
      <c r="A131" s="12" t="n">
        <v>130</v>
      </c>
      <c r="B131" s="16" t="n">
        <v>46505</v>
      </c>
      <c r="C131" s="6" t="inlineStr">
        <is>
          <t>K2</t>
        </is>
      </c>
      <c r="D131" s="13" t="inlineStr">
        <is>
          <t>K2</t>
        </is>
      </c>
      <c r="E131" s="13" t="inlineStr">
        <is>
          <t>J2Q2V3</t>
        </is>
      </c>
      <c r="F131" s="13" t="inlineStr">
        <is>
          <t>2027-011</t>
        </is>
      </c>
      <c r="G131" s="13" t="n">
        <v>400000</v>
      </c>
      <c r="H131" s="13">
        <f>INDEX('MAR 2e graad'!$B$2:$B$58,MATCH(G131,'MAR 2e graad'!$A$2:$A$58,0))</f>
        <v/>
      </c>
      <c r="I131" s="13">
        <f>INDEX('MAR 2e graad'!$C$2:$C$58,MATCH(G131,'MAR 2e graad'!$A$2:$A$58,0))</f>
        <v/>
      </c>
      <c r="J131" s="13">
        <f>IF(OR(I131="A",I131="K"),IF(K131&gt;0,"+","-"),IF(L131&gt;0,"+","-"))</f>
        <v/>
      </c>
      <c r="K131" s="14" t="n">
        <v>4961</v>
      </c>
      <c r="L131" s="14" t="n"/>
      <c r="M131" s="13" t="inlineStr">
        <is>
          <t>de vordering op de klant stijgt</t>
        </is>
      </c>
      <c r="N131" s="13" t="inlineStr">
        <is>
          <t>nee</t>
        </is>
      </c>
    </row>
    <row r="132">
      <c r="A132" s="12" t="n">
        <v>131</v>
      </c>
      <c r="B132" s="16" t="n">
        <v>46505</v>
      </c>
      <c r="C132" s="6" t="inlineStr">
        <is>
          <t>K2</t>
        </is>
      </c>
      <c r="D132" s="13" t="inlineStr">
        <is>
          <t>K2</t>
        </is>
      </c>
      <c r="E132" s="13" t="inlineStr">
        <is>
          <t>J2Q2V3</t>
        </is>
      </c>
      <c r="F132" s="13" t="inlineStr">
        <is>
          <t>2027-011</t>
        </is>
      </c>
      <c r="G132" s="13" t="n">
        <v>704000</v>
      </c>
      <c r="H132" s="13">
        <f>INDEX('MAR 2e graad'!$B$2:$B$58,MATCH(G132,'MAR 2e graad'!$A$2:$A$58,0))</f>
        <v/>
      </c>
      <c r="I132" s="13">
        <f>INDEX('MAR 2e graad'!$C$2:$C$58,MATCH(G132,'MAR 2e graad'!$A$2:$A$58,0))</f>
        <v/>
      </c>
      <c r="J132" s="13">
        <f>IF(OR(I132="A",I132="K"),IF(K132&gt;0,"+","-"),IF(L132&gt;0,"+","-"))</f>
        <v/>
      </c>
      <c r="K132" s="14" t="n"/>
      <c r="L132" s="14" t="n">
        <v>4000</v>
      </c>
      <c r="M132" s="13" t="inlineStr">
        <is>
          <t>de omzet stijgt</t>
        </is>
      </c>
      <c r="N132" s="13" t="inlineStr">
        <is>
          <t>nee</t>
        </is>
      </c>
    </row>
    <row r="133">
      <c r="A133" s="12" t="n">
        <v>132</v>
      </c>
      <c r="B133" s="16" t="n">
        <v>46505</v>
      </c>
      <c r="C133" s="6" t="inlineStr">
        <is>
          <t>K2</t>
        </is>
      </c>
      <c r="D133" s="13" t="inlineStr">
        <is>
          <t>K2</t>
        </is>
      </c>
      <c r="E133" s="13" t="inlineStr">
        <is>
          <t>J2Q2V3</t>
        </is>
      </c>
      <c r="F133" s="13" t="inlineStr">
        <is>
          <t>2027-011</t>
        </is>
      </c>
      <c r="G133" s="13" t="n">
        <v>746000</v>
      </c>
      <c r="H133" s="13">
        <f>INDEX('MAR 2e graad'!$B$2:$B$58,MATCH(G133,'MAR 2e graad'!$A$2:$A$58,0))</f>
        <v/>
      </c>
      <c r="I133" s="13">
        <f>INDEX('MAR 2e graad'!$C$2:$C$58,MATCH(G133,'MAR 2e graad'!$A$2:$A$58,0))</f>
        <v/>
      </c>
      <c r="J133" s="13">
        <f>IF(OR(I133="A",I133="K"),IF(K133&gt;0,"+","-"),IF(L133&gt;0,"+","-"))</f>
        <v/>
      </c>
      <c r="K133" s="14" t="n"/>
      <c r="L133" s="14" t="n">
        <v>100</v>
      </c>
      <c r="M133" s="13" t="inlineStr">
        <is>
          <t>de doorgerekende kosten (opbrengst) stijgen</t>
        </is>
      </c>
      <c r="N133" s="13" t="inlineStr">
        <is>
          <t>nee</t>
        </is>
      </c>
    </row>
    <row r="134">
      <c r="A134" s="12" t="n">
        <v>133</v>
      </c>
      <c r="B134" s="16" t="n">
        <v>46505</v>
      </c>
      <c r="C134" s="6" t="inlineStr">
        <is>
          <t>K2</t>
        </is>
      </c>
      <c r="D134" s="13" t="inlineStr">
        <is>
          <t>K2</t>
        </is>
      </c>
      <c r="E134" s="13" t="inlineStr">
        <is>
          <t>J2Q2V3</t>
        </is>
      </c>
      <c r="F134" s="13" t="inlineStr">
        <is>
          <t>2027-011</t>
        </is>
      </c>
      <c r="G134" s="13" t="n">
        <v>451100</v>
      </c>
      <c r="H134" s="13">
        <f>INDEX('MAR 2e graad'!$B$2:$B$58,MATCH(G134,'MAR 2e graad'!$A$2:$A$58,0))</f>
        <v/>
      </c>
      <c r="I134" s="13">
        <f>INDEX('MAR 2e graad'!$C$2:$C$58,MATCH(G134,'MAR 2e graad'!$A$2:$A$58,0))</f>
        <v/>
      </c>
      <c r="J134" s="13">
        <f>IF(OR(I134="A",I134="K"),IF(K134&gt;0,"+","-"),IF(L134&gt;0,"+","-"))</f>
        <v/>
      </c>
      <c r="K134" s="14" t="n"/>
      <c r="L134" s="14" t="n">
        <v>861</v>
      </c>
      <c r="M134" s="13" t="inlineStr">
        <is>
          <t>de schuld aan de overheid (verschuldigde btw) stijgt</t>
        </is>
      </c>
      <c r="N134" s="13" t="inlineStr">
        <is>
          <t>nee</t>
        </is>
      </c>
    </row>
    <row r="135">
      <c r="A135" s="12" t="n">
        <v>134</v>
      </c>
      <c r="B135" s="16" t="n">
        <v>46508</v>
      </c>
      <c r="C135" s="6" t="inlineStr">
        <is>
          <t>K2</t>
        </is>
      </c>
      <c r="D135" s="13" t="inlineStr">
        <is>
          <t>K2</t>
        </is>
      </c>
      <c r="E135" s="13" t="inlineStr">
        <is>
          <t>U2027-10/1</t>
        </is>
      </c>
      <c r="F135" s="13" t="inlineStr">
        <is>
          <t>uittreksel U2027-10/1</t>
        </is>
      </c>
      <c r="G135" s="13" t="n">
        <v>173000</v>
      </c>
      <c r="H135" s="13">
        <f>INDEX('MAR 2e graad'!$B$2:$B$58,MATCH(G135,'MAR 2e graad'!$A$2:$A$58,0))</f>
        <v/>
      </c>
      <c r="I135" s="13">
        <f>INDEX('MAR 2e graad'!$C$2:$C$58,MATCH(G135,'MAR 2e graad'!$A$2:$A$58,0))</f>
        <v/>
      </c>
      <c r="J135" s="13">
        <f>IF(OR(I135="A",I135="K"),IF(K135&gt;0,"+","-"),IF(L135&gt;0,"+","-"))</f>
        <v/>
      </c>
      <c r="K135" s="14" t="n">
        <v>1500</v>
      </c>
      <c r="L135" s="14" t="n"/>
      <c r="M135" s="13" t="inlineStr">
        <is>
          <t>de schuld aan de bank (lening) daalt</t>
        </is>
      </c>
      <c r="N135" s="13" t="inlineStr">
        <is>
          <t>nee</t>
        </is>
      </c>
    </row>
    <row r="136">
      <c r="A136" s="12" t="n">
        <v>135</v>
      </c>
      <c r="B136" s="16" t="n">
        <v>46508</v>
      </c>
      <c r="C136" s="6" t="inlineStr">
        <is>
          <t>K2</t>
        </is>
      </c>
      <c r="D136" s="13" t="inlineStr">
        <is>
          <t>K2</t>
        </is>
      </c>
      <c r="E136" s="13" t="inlineStr">
        <is>
          <t>U2027-10/1</t>
        </is>
      </c>
      <c r="F136" s="13" t="inlineStr">
        <is>
          <t>uittreksel U2027-10/1</t>
        </is>
      </c>
      <c r="G136" s="13" t="n">
        <v>650000</v>
      </c>
      <c r="H136" s="13">
        <f>INDEX('MAR 2e graad'!$B$2:$B$58,MATCH(G136,'MAR 2e graad'!$A$2:$A$58,0))</f>
        <v/>
      </c>
      <c r="I136" s="13">
        <f>INDEX('MAR 2e graad'!$C$2:$C$58,MATCH(G136,'MAR 2e graad'!$A$2:$A$58,0))</f>
        <v/>
      </c>
      <c r="J136" s="13">
        <f>IF(OR(I136="A",I136="K"),IF(K136&gt;0,"+","-"),IF(L136&gt;0,"+","-"))</f>
        <v/>
      </c>
      <c r="K136" s="14" t="n">
        <v>300</v>
      </c>
      <c r="L136" s="14" t="n"/>
      <c r="M136" s="13" t="inlineStr">
        <is>
          <t>de financiële kosten (intrest) stijgen</t>
        </is>
      </c>
      <c r="N136" s="13" t="inlineStr">
        <is>
          <t>nee</t>
        </is>
      </c>
    </row>
    <row r="137">
      <c r="A137" s="12" t="n">
        <v>136</v>
      </c>
      <c r="B137" s="16" t="n">
        <v>46508</v>
      </c>
      <c r="C137" s="6" t="inlineStr">
        <is>
          <t>K2</t>
        </is>
      </c>
      <c r="D137" s="13" t="inlineStr">
        <is>
          <t>K2</t>
        </is>
      </c>
      <c r="E137" s="13" t="inlineStr">
        <is>
          <t>U2027-10/1</t>
        </is>
      </c>
      <c r="F137" s="13" t="inlineStr">
        <is>
          <t>uittreksel U2027-10/1</t>
        </is>
      </c>
      <c r="G137" s="13" t="n">
        <v>550000</v>
      </c>
      <c r="H137" s="13">
        <f>INDEX('MAR 2e graad'!$B$2:$B$58,MATCH(G137,'MAR 2e graad'!$A$2:$A$58,0))</f>
        <v/>
      </c>
      <c r="I137" s="13">
        <f>INDEX('MAR 2e graad'!$C$2:$C$58,MATCH(G137,'MAR 2e graad'!$A$2:$A$58,0))</f>
        <v/>
      </c>
      <c r="J137" s="13">
        <f>IF(OR(I137="A",I137="K"),IF(K137&gt;0,"+","-"),IF(L137&gt;0,"+","-"))</f>
        <v/>
      </c>
      <c r="K137" s="14" t="n"/>
      <c r="L137" s="14" t="n">
        <v>1800</v>
      </c>
      <c r="M137" s="13" t="inlineStr">
        <is>
          <t>de bank daalt</t>
        </is>
      </c>
      <c r="N137" s="13" t="inlineStr">
        <is>
          <t>nee</t>
        </is>
      </c>
    </row>
    <row r="138">
      <c r="A138" s="12" t="n">
        <v>137</v>
      </c>
      <c r="B138" s="16" t="n">
        <v>46513</v>
      </c>
      <c r="C138" s="6" t="inlineStr">
        <is>
          <t>K2</t>
        </is>
      </c>
      <c r="D138" s="13" t="inlineStr">
        <is>
          <t>K2</t>
        </is>
      </c>
      <c r="E138" s="13" t="inlineStr">
        <is>
          <t>J2Q2A4</t>
        </is>
      </c>
      <c r="F138" s="13" t="inlineStr">
        <is>
          <t>HH-27-102</t>
        </is>
      </c>
      <c r="G138" s="13" t="n">
        <v>604000</v>
      </c>
      <c r="H138" s="13">
        <f>INDEX('MAR 2e graad'!$B$2:$B$58,MATCH(G138,'MAR 2e graad'!$A$2:$A$58,0))</f>
        <v/>
      </c>
      <c r="I138" s="13">
        <f>INDEX('MAR 2e graad'!$C$2:$C$58,MATCH(G138,'MAR 2e graad'!$A$2:$A$58,0))</f>
        <v/>
      </c>
      <c r="J138" s="13">
        <f>IF(OR(I138="A",I138="K"),IF(K138&gt;0,"+","-"),IF(L138&gt;0,"+","-"))</f>
        <v/>
      </c>
      <c r="K138" s="14" t="n">
        <v>900</v>
      </c>
      <c r="L138" s="14" t="n"/>
      <c r="M138" s="13" t="inlineStr">
        <is>
          <t>de kosten voor handelsgoederen stijgen</t>
        </is>
      </c>
      <c r="N138" s="13" t="inlineStr">
        <is>
          <t>nee</t>
        </is>
      </c>
    </row>
    <row r="139">
      <c r="A139" s="12" t="n">
        <v>138</v>
      </c>
      <c r="B139" s="16" t="n">
        <v>46513</v>
      </c>
      <c r="C139" s="6" t="inlineStr">
        <is>
          <t>K2</t>
        </is>
      </c>
      <c r="D139" s="13" t="inlineStr">
        <is>
          <t>K2</t>
        </is>
      </c>
      <c r="E139" s="13" t="inlineStr">
        <is>
          <t>J2Q2A4</t>
        </is>
      </c>
      <c r="F139" s="13" t="inlineStr">
        <is>
          <t>HH-27-102</t>
        </is>
      </c>
      <c r="G139" s="13" t="n">
        <v>604000</v>
      </c>
      <c r="H139" s="13">
        <f>INDEX('MAR 2e graad'!$B$2:$B$58,MATCH(G139,'MAR 2e graad'!$A$2:$A$58,0))</f>
        <v/>
      </c>
      <c r="I139" s="13">
        <f>INDEX('MAR 2e graad'!$C$2:$C$58,MATCH(G139,'MAR 2e graad'!$A$2:$A$58,0))</f>
        <v/>
      </c>
      <c r="J139" s="13">
        <f>IF(OR(I139="A",I139="K"),IF(K139&gt;0,"+","-"),IF(L139&gt;0,"+","-"))</f>
        <v/>
      </c>
      <c r="K139" s="14" t="n">
        <v>100</v>
      </c>
      <c r="L139" s="14" t="n"/>
      <c r="M139" s="13" t="inlineStr">
        <is>
          <t>de kosten voor handelsgoederen stijgen</t>
        </is>
      </c>
      <c r="N139" s="13" t="inlineStr">
        <is>
          <t>nee</t>
        </is>
      </c>
    </row>
    <row r="140">
      <c r="A140" s="12" t="n">
        <v>139</v>
      </c>
      <c r="B140" s="16" t="n">
        <v>46513</v>
      </c>
      <c r="C140" s="6" t="inlineStr">
        <is>
          <t>K2</t>
        </is>
      </c>
      <c r="D140" s="13" t="inlineStr">
        <is>
          <t>K2</t>
        </is>
      </c>
      <c r="E140" s="13" t="inlineStr">
        <is>
          <t>J2Q2A4</t>
        </is>
      </c>
      <c r="F140" s="13" t="inlineStr">
        <is>
          <t>HH-27-102</t>
        </is>
      </c>
      <c r="G140" s="13" t="n">
        <v>604030</v>
      </c>
      <c r="H140" s="13">
        <f>INDEX('MAR 2e graad'!$B$2:$B$58,MATCH(G140,'MAR 2e graad'!$A$2:$A$58,0))</f>
        <v/>
      </c>
      <c r="I140" s="13">
        <f>INDEX('MAR 2e graad'!$C$2:$C$58,MATCH(G140,'MAR 2e graad'!$A$2:$A$58,0))</f>
        <v/>
      </c>
      <c r="J140" s="13">
        <f>IF(OR(I140="A",I140="K"),IF(K140&gt;0,"+","-"),IF(L140&gt;0,"+","-"))</f>
        <v/>
      </c>
      <c r="K140" s="14" t="n">
        <v>100</v>
      </c>
      <c r="L140" s="14" t="n"/>
      <c r="M140" s="13" t="inlineStr">
        <is>
          <t>de aankoopkosten stijgen</t>
        </is>
      </c>
      <c r="N140" s="13" t="inlineStr">
        <is>
          <t>nee</t>
        </is>
      </c>
    </row>
    <row r="141">
      <c r="A141" s="12" t="n">
        <v>140</v>
      </c>
      <c r="B141" s="16" t="n">
        <v>46513</v>
      </c>
      <c r="C141" s="6" t="inlineStr">
        <is>
          <t>K2</t>
        </is>
      </c>
      <c r="D141" s="13" t="inlineStr">
        <is>
          <t>K2</t>
        </is>
      </c>
      <c r="E141" s="13" t="inlineStr">
        <is>
          <t>J2Q2A4</t>
        </is>
      </c>
      <c r="F141" s="13" t="inlineStr">
        <is>
          <t>HH-27-102</t>
        </is>
      </c>
      <c r="G141" s="13" t="n">
        <v>411100</v>
      </c>
      <c r="H141" s="13">
        <f>INDEX('MAR 2e graad'!$B$2:$B$58,MATCH(G141,'MAR 2e graad'!$A$2:$A$58,0))</f>
        <v/>
      </c>
      <c r="I141" s="13">
        <f>INDEX('MAR 2e graad'!$C$2:$C$58,MATCH(G141,'MAR 2e graad'!$A$2:$A$58,0))</f>
        <v/>
      </c>
      <c r="J141" s="13">
        <f>IF(OR(I141="A",I141="K"),IF(K141&gt;0,"+","-"),IF(L141&gt;0,"+","-"))</f>
        <v/>
      </c>
      <c r="K141" s="14" t="n">
        <v>231</v>
      </c>
      <c r="L141" s="14" t="n"/>
      <c r="M141" s="13" t="inlineStr">
        <is>
          <t>de vordering op de overheid (aftrekbare btw) stijgt</t>
        </is>
      </c>
      <c r="N141" s="13" t="inlineStr">
        <is>
          <t>nee</t>
        </is>
      </c>
    </row>
    <row r="142">
      <c r="A142" s="12" t="n">
        <v>141</v>
      </c>
      <c r="B142" s="16" t="n">
        <v>46513</v>
      </c>
      <c r="C142" s="6" t="inlineStr">
        <is>
          <t>K2</t>
        </is>
      </c>
      <c r="D142" s="13" t="inlineStr">
        <is>
          <t>K2</t>
        </is>
      </c>
      <c r="E142" s="13" t="inlineStr">
        <is>
          <t>J2Q2A4</t>
        </is>
      </c>
      <c r="F142" s="13" t="inlineStr">
        <is>
          <t>HH-27-102</t>
        </is>
      </c>
      <c r="G142" s="13" t="n">
        <v>440000</v>
      </c>
      <c r="H142" s="13">
        <f>INDEX('MAR 2e graad'!$B$2:$B$58,MATCH(G142,'MAR 2e graad'!$A$2:$A$58,0))</f>
        <v/>
      </c>
      <c r="I142" s="13">
        <f>INDEX('MAR 2e graad'!$C$2:$C$58,MATCH(G142,'MAR 2e graad'!$A$2:$A$58,0))</f>
        <v/>
      </c>
      <c r="J142" s="13">
        <f>IF(OR(I142="A",I142="K"),IF(K142&gt;0,"+","-"),IF(L142&gt;0,"+","-"))</f>
        <v/>
      </c>
      <c r="K142" s="14" t="n"/>
      <c r="L142" s="14" t="n">
        <v>1331</v>
      </c>
      <c r="M142" s="13" t="inlineStr">
        <is>
          <t>de schuld aan de leverancier stijgt</t>
        </is>
      </c>
      <c r="N142" s="13" t="inlineStr">
        <is>
          <t>nee</t>
        </is>
      </c>
    </row>
    <row r="143">
      <c r="A143" s="12" t="n">
        <v>142</v>
      </c>
      <c r="B143" s="16" t="n">
        <v>46519</v>
      </c>
      <c r="C143" s="6" t="inlineStr">
        <is>
          <t>K2</t>
        </is>
      </c>
      <c r="D143" s="13" t="inlineStr">
        <is>
          <t>K2</t>
        </is>
      </c>
      <c r="E143" s="13" t="inlineStr">
        <is>
          <t>J2Q2A7</t>
        </is>
      </c>
      <c r="F143" s="13" t="inlineStr">
        <is>
          <t>2027-244</t>
        </is>
      </c>
      <c r="G143" s="13" t="n">
        <v>604000</v>
      </c>
      <c r="H143" s="13">
        <f>INDEX('MAR 2e graad'!$B$2:$B$58,MATCH(G143,'MAR 2e graad'!$A$2:$A$58,0))</f>
        <v/>
      </c>
      <c r="I143" s="13">
        <f>INDEX('MAR 2e graad'!$C$2:$C$58,MATCH(G143,'MAR 2e graad'!$A$2:$A$58,0))</f>
        <v/>
      </c>
      <c r="J143" s="13">
        <f>IF(OR(I143="A",I143="K"),IF(K143&gt;0,"+","-"),IF(L143&gt;0,"+","-"))</f>
        <v/>
      </c>
      <c r="K143" s="14" t="n">
        <v>2000</v>
      </c>
      <c r="L143" s="14" t="n"/>
      <c r="M143" s="13" t="inlineStr">
        <is>
          <t>de kosten voor handelsgoederen stijgen</t>
        </is>
      </c>
      <c r="N143" s="13" t="inlineStr">
        <is>
          <t>nee</t>
        </is>
      </c>
    </row>
    <row r="144">
      <c r="A144" s="12" t="n">
        <v>143</v>
      </c>
      <c r="B144" s="16" t="n">
        <v>46519</v>
      </c>
      <c r="C144" s="6" t="inlineStr">
        <is>
          <t>K2</t>
        </is>
      </c>
      <c r="D144" s="13" t="inlineStr">
        <is>
          <t>K2</t>
        </is>
      </c>
      <c r="E144" s="13" t="inlineStr">
        <is>
          <t>J2Q2A7</t>
        </is>
      </c>
      <c r="F144" s="13" t="inlineStr">
        <is>
          <t>2027-244</t>
        </is>
      </c>
      <c r="G144" s="13" t="n">
        <v>411100</v>
      </c>
      <c r="H144" s="13">
        <f>INDEX('MAR 2e graad'!$B$2:$B$58,MATCH(G144,'MAR 2e graad'!$A$2:$A$58,0))</f>
        <v/>
      </c>
      <c r="I144" s="13">
        <f>INDEX('MAR 2e graad'!$C$2:$C$58,MATCH(G144,'MAR 2e graad'!$A$2:$A$58,0))</f>
        <v/>
      </c>
      <c r="J144" s="13">
        <f>IF(OR(I144="A",I144="K"),IF(K144&gt;0,"+","-"),IF(L144&gt;0,"+","-"))</f>
        <v/>
      </c>
      <c r="K144" s="14" t="n">
        <v>399</v>
      </c>
      <c r="L144" s="14" t="n"/>
      <c r="M144" s="13" t="inlineStr">
        <is>
          <t>de vordering op de overheid (aftrekbare btw) stijgt</t>
        </is>
      </c>
      <c r="N144" s="13" t="inlineStr">
        <is>
          <t>nee</t>
        </is>
      </c>
    </row>
    <row r="145">
      <c r="A145" s="12" t="n">
        <v>144</v>
      </c>
      <c r="B145" s="16" t="n">
        <v>46519</v>
      </c>
      <c r="C145" s="6" t="inlineStr">
        <is>
          <t>K2</t>
        </is>
      </c>
      <c r="D145" s="13" t="inlineStr">
        <is>
          <t>K2</t>
        </is>
      </c>
      <c r="E145" s="13" t="inlineStr">
        <is>
          <t>J2Q2A7</t>
        </is>
      </c>
      <c r="F145" s="13" t="inlineStr">
        <is>
          <t>2027-244</t>
        </is>
      </c>
      <c r="G145" s="13" t="n">
        <v>440000</v>
      </c>
      <c r="H145" s="13">
        <f>INDEX('MAR 2e graad'!$B$2:$B$58,MATCH(G145,'MAR 2e graad'!$A$2:$A$58,0))</f>
        <v/>
      </c>
      <c r="I145" s="13">
        <f>INDEX('MAR 2e graad'!$C$2:$C$58,MATCH(G145,'MAR 2e graad'!$A$2:$A$58,0))</f>
        <v/>
      </c>
      <c r="J145" s="13">
        <f>IF(OR(I145="A",I145="K"),IF(K145&gt;0,"+","-"),IF(L145&gt;0,"+","-"))</f>
        <v/>
      </c>
      <c r="K145" s="14" t="n"/>
      <c r="L145" s="14" t="n">
        <v>2399</v>
      </c>
      <c r="M145" s="13" t="inlineStr">
        <is>
          <t>de schuld aan de leverancier stijgt</t>
        </is>
      </c>
      <c r="N145" s="13" t="inlineStr">
        <is>
          <t>nee</t>
        </is>
      </c>
    </row>
    <row r="146">
      <c r="A146" s="12" t="n">
        <v>145</v>
      </c>
      <c r="B146" s="16" t="n">
        <v>46522</v>
      </c>
      <c r="C146" s="6" t="inlineStr">
        <is>
          <t>K2</t>
        </is>
      </c>
      <c r="D146" s="13" t="inlineStr">
        <is>
          <t>K2</t>
        </is>
      </c>
      <c r="E146" s="13" t="inlineStr">
        <is>
          <t>U2027-11/1</t>
        </is>
      </c>
      <c r="F146" s="13" t="inlineStr">
        <is>
          <t>uittreksel U2027-11/1</t>
        </is>
      </c>
      <c r="G146" s="13" t="n">
        <v>550000</v>
      </c>
      <c r="H146" s="13">
        <f>INDEX('MAR 2e graad'!$B$2:$B$58,MATCH(G146,'MAR 2e graad'!$A$2:$A$58,0))</f>
        <v/>
      </c>
      <c r="I146" s="13">
        <f>INDEX('MAR 2e graad'!$C$2:$C$58,MATCH(G146,'MAR 2e graad'!$A$2:$A$58,0))</f>
        <v/>
      </c>
      <c r="J146" s="13">
        <f>IF(OR(I146="A",I146="K"),IF(K146&gt;0,"+","-"),IF(L146&gt;0,"+","-"))</f>
        <v/>
      </c>
      <c r="K146" s="14" t="n">
        <v>5082</v>
      </c>
      <c r="L146" s="14" t="n"/>
      <c r="M146" s="13" t="inlineStr">
        <is>
          <t>de bank stijgt</t>
        </is>
      </c>
      <c r="N146" s="13" t="inlineStr">
        <is>
          <t>nee</t>
        </is>
      </c>
    </row>
    <row r="147">
      <c r="A147" s="12" t="n">
        <v>146</v>
      </c>
      <c r="B147" s="16" t="n">
        <v>46522</v>
      </c>
      <c r="C147" s="6" t="inlineStr">
        <is>
          <t>K2</t>
        </is>
      </c>
      <c r="D147" s="13" t="inlineStr">
        <is>
          <t>K2</t>
        </is>
      </c>
      <c r="E147" s="13" t="inlineStr">
        <is>
          <t>U2027-11/1</t>
        </is>
      </c>
      <c r="F147" s="13" t="inlineStr">
        <is>
          <t>uittreksel U2027-11/1</t>
        </is>
      </c>
      <c r="G147" s="13" t="n">
        <v>400000</v>
      </c>
      <c r="H147" s="13">
        <f>INDEX('MAR 2e graad'!$B$2:$B$58,MATCH(G147,'MAR 2e graad'!$A$2:$A$58,0))</f>
        <v/>
      </c>
      <c r="I147" s="13">
        <f>INDEX('MAR 2e graad'!$C$2:$C$58,MATCH(G147,'MAR 2e graad'!$A$2:$A$58,0))</f>
        <v/>
      </c>
      <c r="J147" s="13">
        <f>IF(OR(I147="A",I147="K"),IF(K147&gt;0,"+","-"),IF(L147&gt;0,"+","-"))</f>
        <v/>
      </c>
      <c r="K147" s="14" t="n"/>
      <c r="L147" s="14" t="n">
        <v>5082</v>
      </c>
      <c r="M147" s="13" t="inlineStr">
        <is>
          <t>de vordering op de klant daalt</t>
        </is>
      </c>
      <c r="N147" s="13" t="inlineStr">
        <is>
          <t>nee</t>
        </is>
      </c>
    </row>
    <row r="148">
      <c r="A148" s="12" t="n">
        <v>147</v>
      </c>
      <c r="B148" s="16" t="n">
        <v>46522</v>
      </c>
      <c r="C148" s="6" t="inlineStr">
        <is>
          <t>K2</t>
        </is>
      </c>
      <c r="D148" s="13" t="inlineStr">
        <is>
          <t>K2</t>
        </is>
      </c>
      <c r="E148" s="13" t="inlineStr">
        <is>
          <t>U2027-11/2</t>
        </is>
      </c>
      <c r="F148" s="13" t="inlineStr">
        <is>
          <t>uittreksel U2027-11/2</t>
        </is>
      </c>
      <c r="G148" s="13" t="n">
        <v>550000</v>
      </c>
      <c r="H148" s="13">
        <f>INDEX('MAR 2e graad'!$B$2:$B$58,MATCH(G148,'MAR 2e graad'!$A$2:$A$58,0))</f>
        <v/>
      </c>
      <c r="I148" s="13">
        <f>INDEX('MAR 2e graad'!$C$2:$C$58,MATCH(G148,'MAR 2e graad'!$A$2:$A$58,0))</f>
        <v/>
      </c>
      <c r="J148" s="13">
        <f>IF(OR(I148="A",I148="K"),IF(K148&gt;0,"+","-"),IF(L148&gt;0,"+","-"))</f>
        <v/>
      </c>
      <c r="K148" s="14" t="n">
        <v>6534</v>
      </c>
      <c r="L148" s="14" t="n"/>
      <c r="M148" s="13" t="inlineStr">
        <is>
          <t>de bank stijgt</t>
        </is>
      </c>
      <c r="N148" s="13" t="inlineStr">
        <is>
          <t>nee</t>
        </is>
      </c>
    </row>
    <row r="149">
      <c r="A149" s="12" t="n">
        <v>148</v>
      </c>
      <c r="B149" s="16" t="n">
        <v>46522</v>
      </c>
      <c r="C149" s="6" t="inlineStr">
        <is>
          <t>K2</t>
        </is>
      </c>
      <c r="D149" s="13" t="inlineStr">
        <is>
          <t>K2</t>
        </is>
      </c>
      <c r="E149" s="13" t="inlineStr">
        <is>
          <t>U2027-11/2</t>
        </is>
      </c>
      <c r="F149" s="13" t="inlineStr">
        <is>
          <t>uittreksel U2027-11/2</t>
        </is>
      </c>
      <c r="G149" s="13" t="n">
        <v>400000</v>
      </c>
      <c r="H149" s="13">
        <f>INDEX('MAR 2e graad'!$B$2:$B$58,MATCH(G149,'MAR 2e graad'!$A$2:$A$58,0))</f>
        <v/>
      </c>
      <c r="I149" s="13">
        <f>INDEX('MAR 2e graad'!$C$2:$C$58,MATCH(G149,'MAR 2e graad'!$A$2:$A$58,0))</f>
        <v/>
      </c>
      <c r="J149" s="13">
        <f>IF(OR(I149="A",I149="K"),IF(K149&gt;0,"+","-"),IF(L149&gt;0,"+","-"))</f>
        <v/>
      </c>
      <c r="K149" s="14" t="n"/>
      <c r="L149" s="14" t="n">
        <v>6534</v>
      </c>
      <c r="M149" s="13" t="inlineStr">
        <is>
          <t>de vordering op de klant daalt</t>
        </is>
      </c>
      <c r="N149" s="13" t="inlineStr">
        <is>
          <t>nee</t>
        </is>
      </c>
    </row>
    <row r="150">
      <c r="A150" s="12" t="n">
        <v>149</v>
      </c>
      <c r="B150" s="16" t="n">
        <v>46522</v>
      </c>
      <c r="C150" s="6" t="inlineStr">
        <is>
          <t>K2</t>
        </is>
      </c>
      <c r="D150" s="13" t="inlineStr">
        <is>
          <t>K2</t>
        </is>
      </c>
      <c r="E150" s="13" t="inlineStr">
        <is>
          <t>U2027-11/3</t>
        </is>
      </c>
      <c r="F150" s="13" t="inlineStr">
        <is>
          <t>uittreksel U2027-11/3</t>
        </is>
      </c>
      <c r="G150" s="13" t="n">
        <v>440000</v>
      </c>
      <c r="H150" s="13">
        <f>INDEX('MAR 2e graad'!$B$2:$B$58,MATCH(G150,'MAR 2e graad'!$A$2:$A$58,0))</f>
        <v/>
      </c>
      <c r="I150" s="13">
        <f>INDEX('MAR 2e graad'!$C$2:$C$58,MATCH(G150,'MAR 2e graad'!$A$2:$A$58,0))</f>
        <v/>
      </c>
      <c r="J150" s="13">
        <f>IF(OR(I150="A",I150="K"),IF(K150&gt;0,"+","-"),IF(L150&gt;0,"+","-"))</f>
        <v/>
      </c>
      <c r="K150" s="14" t="n">
        <v>1331</v>
      </c>
      <c r="L150" s="14" t="n"/>
      <c r="M150" s="13" t="inlineStr">
        <is>
          <t>de schuld aan de leverancier daalt</t>
        </is>
      </c>
      <c r="N150" s="13" t="inlineStr">
        <is>
          <t>nee</t>
        </is>
      </c>
    </row>
    <row r="151">
      <c r="A151" s="12" t="n">
        <v>150</v>
      </c>
      <c r="B151" s="16" t="n">
        <v>46522</v>
      </c>
      <c r="C151" s="6" t="inlineStr">
        <is>
          <t>K2</t>
        </is>
      </c>
      <c r="D151" s="13" t="inlineStr">
        <is>
          <t>K2</t>
        </is>
      </c>
      <c r="E151" s="13" t="inlineStr">
        <is>
          <t>U2027-11/3</t>
        </is>
      </c>
      <c r="F151" s="13" t="inlineStr">
        <is>
          <t>uittreksel U2027-11/3</t>
        </is>
      </c>
      <c r="G151" s="13" t="n">
        <v>550000</v>
      </c>
      <c r="H151" s="13">
        <f>INDEX('MAR 2e graad'!$B$2:$B$58,MATCH(G151,'MAR 2e graad'!$A$2:$A$58,0))</f>
        <v/>
      </c>
      <c r="I151" s="13">
        <f>INDEX('MAR 2e graad'!$C$2:$C$58,MATCH(G151,'MAR 2e graad'!$A$2:$A$58,0))</f>
        <v/>
      </c>
      <c r="J151" s="13">
        <f>IF(OR(I151="A",I151="K"),IF(K151&gt;0,"+","-"),IF(L151&gt;0,"+","-"))</f>
        <v/>
      </c>
      <c r="K151" s="14" t="n"/>
      <c r="L151" s="14" t="n">
        <v>1331</v>
      </c>
      <c r="M151" s="13" t="inlineStr">
        <is>
          <t>de bank daalt</t>
        </is>
      </c>
      <c r="N151" s="13" t="inlineStr">
        <is>
          <t>nee</t>
        </is>
      </c>
    </row>
    <row r="152">
      <c r="A152" s="12" t="n">
        <v>151</v>
      </c>
      <c r="B152" s="16" t="n">
        <v>46522</v>
      </c>
      <c r="C152" s="6" t="inlineStr">
        <is>
          <t>K2</t>
        </is>
      </c>
      <c r="D152" s="13" t="inlineStr">
        <is>
          <t>K2</t>
        </is>
      </c>
      <c r="E152" s="13" t="inlineStr">
        <is>
          <t>U2027-11/4</t>
        </is>
      </c>
      <c r="F152" s="13" t="inlineStr">
        <is>
          <t>uittreksel U2027-11/4</t>
        </is>
      </c>
      <c r="G152" s="13" t="n">
        <v>550000</v>
      </c>
      <c r="H152" s="13">
        <f>INDEX('MAR 2e graad'!$B$2:$B$58,MATCH(G152,'MAR 2e graad'!$A$2:$A$58,0))</f>
        <v/>
      </c>
      <c r="I152" s="13">
        <f>INDEX('MAR 2e graad'!$C$2:$C$58,MATCH(G152,'MAR 2e graad'!$A$2:$A$58,0))</f>
        <v/>
      </c>
      <c r="J152" s="13">
        <f>IF(OR(I152="A",I152="K"),IF(K152&gt;0,"+","-"),IF(L152&gt;0,"+","-"))</f>
        <v/>
      </c>
      <c r="K152" s="14" t="n">
        <v>4961</v>
      </c>
      <c r="L152" s="14" t="n"/>
      <c r="M152" s="13" t="inlineStr">
        <is>
          <t>de bank stijgt</t>
        </is>
      </c>
      <c r="N152" s="13" t="inlineStr">
        <is>
          <t>nee</t>
        </is>
      </c>
    </row>
    <row r="153">
      <c r="A153" s="12" t="n">
        <v>152</v>
      </c>
      <c r="B153" s="16" t="n">
        <v>46522</v>
      </c>
      <c r="C153" s="6" t="inlineStr">
        <is>
          <t>K2</t>
        </is>
      </c>
      <c r="D153" s="13" t="inlineStr">
        <is>
          <t>K2</t>
        </is>
      </c>
      <c r="E153" s="13" t="inlineStr">
        <is>
          <t>U2027-11/4</t>
        </is>
      </c>
      <c r="F153" s="13" t="inlineStr">
        <is>
          <t>uittreksel U2027-11/4</t>
        </is>
      </c>
      <c r="G153" s="13" t="n">
        <v>400000</v>
      </c>
      <c r="H153" s="13">
        <f>INDEX('MAR 2e graad'!$B$2:$B$58,MATCH(G153,'MAR 2e graad'!$A$2:$A$58,0))</f>
        <v/>
      </c>
      <c r="I153" s="13">
        <f>INDEX('MAR 2e graad'!$C$2:$C$58,MATCH(G153,'MAR 2e graad'!$A$2:$A$58,0))</f>
        <v/>
      </c>
      <c r="J153" s="13">
        <f>IF(OR(I153="A",I153="K"),IF(K153&gt;0,"+","-"),IF(L153&gt;0,"+","-"))</f>
        <v/>
      </c>
      <c r="K153" s="14" t="n"/>
      <c r="L153" s="14" t="n">
        <v>4961</v>
      </c>
      <c r="M153" s="13" t="inlineStr">
        <is>
          <t>de vordering op de klant daalt</t>
        </is>
      </c>
      <c r="N153" s="13" t="inlineStr">
        <is>
          <t>nee</t>
        </is>
      </c>
    </row>
    <row r="154">
      <c r="A154" s="12" t="n">
        <v>153</v>
      </c>
      <c r="B154" s="16" t="n">
        <v>46522</v>
      </c>
      <c r="C154" s="6" t="inlineStr">
        <is>
          <t>K2</t>
        </is>
      </c>
      <c r="D154" s="13" t="inlineStr">
        <is>
          <t>K2</t>
        </is>
      </c>
      <c r="E154" s="13" t="inlineStr">
        <is>
          <t>U2027-11/5</t>
        </is>
      </c>
      <c r="F154" s="13" t="inlineStr">
        <is>
          <t>uittreksel U2027-11/5</t>
        </is>
      </c>
      <c r="G154" s="13" t="n">
        <v>440000</v>
      </c>
      <c r="H154" s="13">
        <f>INDEX('MAR 2e graad'!$B$2:$B$58,MATCH(G154,'MAR 2e graad'!$A$2:$A$58,0))</f>
        <v/>
      </c>
      <c r="I154" s="13">
        <f>INDEX('MAR 2e graad'!$C$2:$C$58,MATCH(G154,'MAR 2e graad'!$A$2:$A$58,0))</f>
        <v/>
      </c>
      <c r="J154" s="13">
        <f>IF(OR(I154="A",I154="K"),IF(K154&gt;0,"+","-"),IF(L154&gt;0,"+","-"))</f>
        <v/>
      </c>
      <c r="K154" s="14" t="n">
        <v>2399</v>
      </c>
      <c r="L154" s="14" t="n"/>
      <c r="M154" s="13" t="inlineStr">
        <is>
          <t>de schuld aan de leverancier daalt</t>
        </is>
      </c>
      <c r="N154" s="13" t="inlineStr">
        <is>
          <t>nee</t>
        </is>
      </c>
    </row>
    <row r="155">
      <c r="A155" s="12" t="n">
        <v>154</v>
      </c>
      <c r="B155" s="16" t="n">
        <v>46522</v>
      </c>
      <c r="C155" s="6" t="inlineStr">
        <is>
          <t>K2</t>
        </is>
      </c>
      <c r="D155" s="13" t="inlineStr">
        <is>
          <t>K2</t>
        </is>
      </c>
      <c r="E155" s="13" t="inlineStr">
        <is>
          <t>U2027-11/5</t>
        </is>
      </c>
      <c r="F155" s="13" t="inlineStr">
        <is>
          <t>uittreksel U2027-11/5</t>
        </is>
      </c>
      <c r="G155" s="13" t="n">
        <v>550000</v>
      </c>
      <c r="H155" s="13">
        <f>INDEX('MAR 2e graad'!$B$2:$B$58,MATCH(G155,'MAR 2e graad'!$A$2:$A$58,0))</f>
        <v/>
      </c>
      <c r="I155" s="13">
        <f>INDEX('MAR 2e graad'!$C$2:$C$58,MATCH(G155,'MAR 2e graad'!$A$2:$A$58,0))</f>
        <v/>
      </c>
      <c r="J155" s="13">
        <f>IF(OR(I155="A",I155="K"),IF(K155&gt;0,"+","-"),IF(L155&gt;0,"+","-"))</f>
        <v/>
      </c>
      <c r="K155" s="14" t="n"/>
      <c r="L155" s="14" t="n">
        <v>2299</v>
      </c>
      <c r="M155" s="13" t="inlineStr">
        <is>
          <t>de bank daalt</t>
        </is>
      </c>
      <c r="N155" s="13" t="inlineStr">
        <is>
          <t>nee</t>
        </is>
      </c>
    </row>
    <row r="156">
      <c r="A156" s="12" t="n">
        <v>155</v>
      </c>
      <c r="B156" s="16" t="n">
        <v>46522</v>
      </c>
      <c r="C156" s="6" t="inlineStr">
        <is>
          <t>K2</t>
        </is>
      </c>
      <c r="D156" s="13" t="inlineStr">
        <is>
          <t>K2</t>
        </is>
      </c>
      <c r="E156" s="13" t="inlineStr">
        <is>
          <t>U2027-11/5</t>
        </is>
      </c>
      <c r="F156" s="13" t="inlineStr">
        <is>
          <t>uittreksel U2027-11/5</t>
        </is>
      </c>
      <c r="G156" s="13" t="n">
        <v>757000</v>
      </c>
      <c r="H156" s="13">
        <f>INDEX('MAR 2e graad'!$B$2:$B$58,MATCH(G156,'MAR 2e graad'!$A$2:$A$58,0))</f>
        <v/>
      </c>
      <c r="I156" s="13">
        <f>INDEX('MAR 2e graad'!$C$2:$C$58,MATCH(G156,'MAR 2e graad'!$A$2:$A$58,0))</f>
        <v/>
      </c>
      <c r="J156" s="13">
        <f>IF(OR(I156="A",I156="K"),IF(K156&gt;0,"+","-"),IF(L156&gt;0,"+","-"))</f>
        <v/>
      </c>
      <c r="K156" s="14" t="n"/>
      <c r="L156" s="14" t="n">
        <v>100</v>
      </c>
      <c r="M156" s="13" t="inlineStr">
        <is>
          <t>de financiële opbrengsten (ontvangen betalingskorting) stijgen</t>
        </is>
      </c>
      <c r="N156" s="13" t="inlineStr">
        <is>
          <t>nee</t>
        </is>
      </c>
    </row>
    <row r="157">
      <c r="A157" s="12" t="n">
        <v>156</v>
      </c>
      <c r="B157" s="16" t="n">
        <v>46527</v>
      </c>
      <c r="C157" s="6" t="inlineStr">
        <is>
          <t>K2</t>
        </is>
      </c>
      <c r="D157" s="13" t="inlineStr">
        <is>
          <t>K2</t>
        </is>
      </c>
      <c r="E157" s="13" t="inlineStr">
        <is>
          <t>J2Q2A5</t>
        </is>
      </c>
      <c r="F157" s="13" t="inlineStr">
        <is>
          <t>2027-260</t>
        </is>
      </c>
      <c r="G157" s="13" t="n">
        <v>604000</v>
      </c>
      <c r="H157" s="13">
        <f>INDEX('MAR 2e graad'!$B$2:$B$58,MATCH(G157,'MAR 2e graad'!$A$2:$A$58,0))</f>
        <v/>
      </c>
      <c r="I157" s="13">
        <f>INDEX('MAR 2e graad'!$C$2:$C$58,MATCH(G157,'MAR 2e graad'!$A$2:$A$58,0))</f>
        <v/>
      </c>
      <c r="J157" s="13">
        <f>IF(OR(I157="A",I157="K"),IF(K157&gt;0,"+","-"),IF(L157&gt;0,"+","-"))</f>
        <v/>
      </c>
      <c r="K157" s="14" t="n">
        <v>1800</v>
      </c>
      <c r="L157" s="14" t="n"/>
      <c r="M157" s="13" t="inlineStr">
        <is>
          <t>de kosten voor handelsgoederen stijgen</t>
        </is>
      </c>
      <c r="N157" s="13" t="inlineStr">
        <is>
          <t>nee</t>
        </is>
      </c>
    </row>
    <row r="158">
      <c r="A158" s="12" t="n">
        <v>157</v>
      </c>
      <c r="B158" s="16" t="n">
        <v>46527</v>
      </c>
      <c r="C158" s="6" t="inlineStr">
        <is>
          <t>K2</t>
        </is>
      </c>
      <c r="D158" s="13" t="inlineStr">
        <is>
          <t>K2</t>
        </is>
      </c>
      <c r="E158" s="13" t="inlineStr">
        <is>
          <t>J2Q2A5</t>
        </is>
      </c>
      <c r="F158" s="13" t="inlineStr">
        <is>
          <t>2027-260</t>
        </is>
      </c>
      <c r="G158" s="13" t="n">
        <v>604000</v>
      </c>
      <c r="H158" s="13">
        <f>INDEX('MAR 2e graad'!$B$2:$B$58,MATCH(G158,'MAR 2e graad'!$A$2:$A$58,0))</f>
        <v/>
      </c>
      <c r="I158" s="13">
        <f>INDEX('MAR 2e graad'!$C$2:$C$58,MATCH(G158,'MAR 2e graad'!$A$2:$A$58,0))</f>
        <v/>
      </c>
      <c r="J158" s="13">
        <f>IF(OR(I158="A",I158="K"),IF(K158&gt;0,"+","-"),IF(L158&gt;0,"+","-"))</f>
        <v/>
      </c>
      <c r="K158" s="14" t="n">
        <v>1200</v>
      </c>
      <c r="L158" s="14" t="n"/>
      <c r="M158" s="13" t="inlineStr">
        <is>
          <t>de kosten voor handelsgoederen stijgen</t>
        </is>
      </c>
      <c r="N158" s="13" t="inlineStr">
        <is>
          <t>nee</t>
        </is>
      </c>
    </row>
    <row r="159">
      <c r="A159" s="12" t="n">
        <v>158</v>
      </c>
      <c r="B159" s="16" t="n">
        <v>46527</v>
      </c>
      <c r="C159" s="6" t="inlineStr">
        <is>
          <t>K2</t>
        </is>
      </c>
      <c r="D159" s="13" t="inlineStr">
        <is>
          <t>K2</t>
        </is>
      </c>
      <c r="E159" s="13" t="inlineStr">
        <is>
          <t>J2Q2A5</t>
        </is>
      </c>
      <c r="F159" s="13" t="inlineStr">
        <is>
          <t>2027-260</t>
        </is>
      </c>
      <c r="G159" s="13" t="n">
        <v>604030</v>
      </c>
      <c r="H159" s="13">
        <f>INDEX('MAR 2e graad'!$B$2:$B$58,MATCH(G159,'MAR 2e graad'!$A$2:$A$58,0))</f>
        <v/>
      </c>
      <c r="I159" s="13">
        <f>INDEX('MAR 2e graad'!$C$2:$C$58,MATCH(G159,'MAR 2e graad'!$A$2:$A$58,0))</f>
        <v/>
      </c>
      <c r="J159" s="13">
        <f>IF(OR(I159="A",I159="K"),IF(K159&gt;0,"+","-"),IF(L159&gt;0,"+","-"))</f>
        <v/>
      </c>
      <c r="K159" s="14" t="n">
        <v>100</v>
      </c>
      <c r="L159" s="14" t="n"/>
      <c r="M159" s="13" t="inlineStr">
        <is>
          <t>de aankoopkosten stijgen</t>
        </is>
      </c>
      <c r="N159" s="13" t="inlineStr">
        <is>
          <t>nee</t>
        </is>
      </c>
    </row>
    <row r="160">
      <c r="A160" s="12" t="n">
        <v>159</v>
      </c>
      <c r="B160" s="16" t="n">
        <v>46527</v>
      </c>
      <c r="C160" s="6" t="inlineStr">
        <is>
          <t>K2</t>
        </is>
      </c>
      <c r="D160" s="13" t="inlineStr">
        <is>
          <t>K2</t>
        </is>
      </c>
      <c r="E160" s="13" t="inlineStr">
        <is>
          <t>J2Q2A5</t>
        </is>
      </c>
      <c r="F160" s="13" t="inlineStr">
        <is>
          <t>2027-260</t>
        </is>
      </c>
      <c r="G160" s="13" t="n">
        <v>418000</v>
      </c>
      <c r="H160" s="13">
        <f>INDEX('MAR 2e graad'!$B$2:$B$58,MATCH(G160,'MAR 2e graad'!$A$2:$A$58,0))</f>
        <v/>
      </c>
      <c r="I160" s="13">
        <f>INDEX('MAR 2e graad'!$C$2:$C$58,MATCH(G160,'MAR 2e graad'!$A$2:$A$58,0))</f>
        <v/>
      </c>
      <c r="J160" s="13">
        <f>IF(OR(I160="A",I160="K"),IF(K160&gt;0,"+","-"),IF(L160&gt;0,"+","-"))</f>
        <v/>
      </c>
      <c r="K160" s="14" t="n">
        <v>100</v>
      </c>
      <c r="L160" s="14" t="n"/>
      <c r="M160" s="13" t="inlineStr">
        <is>
          <t>de vordering op de leverancier (verpakking) stijgt</t>
        </is>
      </c>
      <c r="N160" s="13" t="inlineStr">
        <is>
          <t>nee</t>
        </is>
      </c>
    </row>
    <row r="161">
      <c r="A161" s="12" t="n">
        <v>160</v>
      </c>
      <c r="B161" s="16" t="n">
        <v>46527</v>
      </c>
      <c r="C161" s="6" t="inlineStr">
        <is>
          <t>K2</t>
        </is>
      </c>
      <c r="D161" s="13" t="inlineStr">
        <is>
          <t>K2</t>
        </is>
      </c>
      <c r="E161" s="13" t="inlineStr">
        <is>
          <t>J2Q2A5</t>
        </is>
      </c>
      <c r="F161" s="13" t="inlineStr">
        <is>
          <t>2027-260</t>
        </is>
      </c>
      <c r="G161" s="13" t="n">
        <v>604020</v>
      </c>
      <c r="H161" s="13">
        <f>INDEX('MAR 2e graad'!$B$2:$B$58,MATCH(G161,'MAR 2e graad'!$A$2:$A$58,0))</f>
        <v/>
      </c>
      <c r="I161" s="13">
        <f>INDEX('MAR 2e graad'!$C$2:$C$58,MATCH(G161,'MAR 2e graad'!$A$2:$A$58,0))</f>
        <v/>
      </c>
      <c r="J161" s="13">
        <f>IF(OR(I161="A",I161="K"),IF(K161&gt;0,"+","-"),IF(L161&gt;0,"+","-"))</f>
        <v/>
      </c>
      <c r="K161" s="14" t="n"/>
      <c r="L161" s="14" t="n">
        <v>300</v>
      </c>
      <c r="M161" s="13" t="inlineStr">
        <is>
          <t>de handelskorting op aankopen stijgt (kost daalt)</t>
        </is>
      </c>
      <c r="N161" s="13" t="inlineStr">
        <is>
          <t>nee</t>
        </is>
      </c>
    </row>
    <row r="162">
      <c r="A162" s="12" t="n">
        <v>161</v>
      </c>
      <c r="B162" s="16" t="n">
        <v>46527</v>
      </c>
      <c r="C162" s="6" t="inlineStr">
        <is>
          <t>K2</t>
        </is>
      </c>
      <c r="D162" s="13" t="inlineStr">
        <is>
          <t>K2</t>
        </is>
      </c>
      <c r="E162" s="13" t="inlineStr">
        <is>
          <t>J2Q2A5</t>
        </is>
      </c>
      <c r="F162" s="13" t="inlineStr">
        <is>
          <t>2027-260</t>
        </is>
      </c>
      <c r="G162" s="13" t="n">
        <v>411100</v>
      </c>
      <c r="H162" s="13">
        <f>INDEX('MAR 2e graad'!$B$2:$B$58,MATCH(G162,'MAR 2e graad'!$A$2:$A$58,0))</f>
        <v/>
      </c>
      <c r="I162" s="13">
        <f>INDEX('MAR 2e graad'!$C$2:$C$58,MATCH(G162,'MAR 2e graad'!$A$2:$A$58,0))</f>
        <v/>
      </c>
      <c r="J162" s="13">
        <f>IF(OR(I162="A",I162="K"),IF(K162&gt;0,"+","-"),IF(L162&gt;0,"+","-"))</f>
        <v/>
      </c>
      <c r="K162" s="14" t="n">
        <v>588</v>
      </c>
      <c r="L162" s="14" t="n"/>
      <c r="M162" s="13" t="inlineStr">
        <is>
          <t>de vordering op de overheid (aftrekbare btw) stijgt</t>
        </is>
      </c>
      <c r="N162" s="13" t="inlineStr">
        <is>
          <t>nee</t>
        </is>
      </c>
    </row>
    <row r="163">
      <c r="A163" s="12" t="n">
        <v>162</v>
      </c>
      <c r="B163" s="16" t="n">
        <v>46527</v>
      </c>
      <c r="C163" s="6" t="inlineStr">
        <is>
          <t>K2</t>
        </is>
      </c>
      <c r="D163" s="13" t="inlineStr">
        <is>
          <t>K2</t>
        </is>
      </c>
      <c r="E163" s="13" t="inlineStr">
        <is>
          <t>J2Q2A5</t>
        </is>
      </c>
      <c r="F163" s="13" t="inlineStr">
        <is>
          <t>2027-260</t>
        </is>
      </c>
      <c r="G163" s="13" t="n">
        <v>440000</v>
      </c>
      <c r="H163" s="13">
        <f>INDEX('MAR 2e graad'!$B$2:$B$58,MATCH(G163,'MAR 2e graad'!$A$2:$A$58,0))</f>
        <v/>
      </c>
      <c r="I163" s="13">
        <f>INDEX('MAR 2e graad'!$C$2:$C$58,MATCH(G163,'MAR 2e graad'!$A$2:$A$58,0))</f>
        <v/>
      </c>
      <c r="J163" s="13">
        <f>IF(OR(I163="A",I163="K"),IF(K163&gt;0,"+","-"),IF(L163&gt;0,"+","-"))</f>
        <v/>
      </c>
      <c r="K163" s="14" t="n"/>
      <c r="L163" s="14" t="n">
        <v>3488</v>
      </c>
      <c r="M163" s="13" t="inlineStr">
        <is>
          <t>de schuld aan de leverancier stijgt</t>
        </is>
      </c>
      <c r="N163" s="13" t="inlineStr">
        <is>
          <t>nee</t>
        </is>
      </c>
    </row>
    <row r="164">
      <c r="A164" s="12" t="n">
        <v>163</v>
      </c>
      <c r="B164" s="16" t="n">
        <v>46527</v>
      </c>
      <c r="C164" s="6" t="inlineStr">
        <is>
          <t>K2</t>
        </is>
      </c>
      <c r="D164" s="13" t="inlineStr">
        <is>
          <t>K2</t>
        </is>
      </c>
      <c r="E164" s="13" t="inlineStr">
        <is>
          <t>J2Q2V7</t>
        </is>
      </c>
      <c r="F164" s="13" t="inlineStr">
        <is>
          <t>2027-027</t>
        </is>
      </c>
      <c r="G164" s="13" t="n">
        <v>400000</v>
      </c>
      <c r="H164" s="13">
        <f>INDEX('MAR 2e graad'!$B$2:$B$58,MATCH(G164,'MAR 2e graad'!$A$2:$A$58,0))</f>
        <v/>
      </c>
      <c r="I164" s="13">
        <f>INDEX('MAR 2e graad'!$C$2:$C$58,MATCH(G164,'MAR 2e graad'!$A$2:$A$58,0))</f>
        <v/>
      </c>
      <c r="J164" s="13">
        <f>IF(OR(I164="A",I164="K"),IF(K164&gt;0,"+","-"),IF(L164&gt;0,"+","-"))</f>
        <v/>
      </c>
      <c r="K164" s="14" t="n">
        <v>3004</v>
      </c>
      <c r="L164" s="14" t="n"/>
      <c r="M164" s="13" t="inlineStr">
        <is>
          <t>de vordering op de klant stijgt</t>
        </is>
      </c>
      <c r="N164" s="13" t="inlineStr">
        <is>
          <t>nee</t>
        </is>
      </c>
    </row>
    <row r="165">
      <c r="A165" s="12" t="n">
        <v>164</v>
      </c>
      <c r="B165" s="16" t="n">
        <v>46527</v>
      </c>
      <c r="C165" s="6" t="inlineStr">
        <is>
          <t>K2</t>
        </is>
      </c>
      <c r="D165" s="13" t="inlineStr">
        <is>
          <t>K2</t>
        </is>
      </c>
      <c r="E165" s="13" t="inlineStr">
        <is>
          <t>J2Q2V7</t>
        </is>
      </c>
      <c r="F165" s="13" t="inlineStr">
        <is>
          <t>2027-027</t>
        </is>
      </c>
      <c r="G165" s="13" t="n">
        <v>704000</v>
      </c>
      <c r="H165" s="13">
        <f>INDEX('MAR 2e graad'!$B$2:$B$58,MATCH(G165,'MAR 2e graad'!$A$2:$A$58,0))</f>
        <v/>
      </c>
      <c r="I165" s="13">
        <f>INDEX('MAR 2e graad'!$C$2:$C$58,MATCH(G165,'MAR 2e graad'!$A$2:$A$58,0))</f>
        <v/>
      </c>
      <c r="J165" s="13">
        <f>IF(OR(I165="A",I165="K"),IF(K165&gt;0,"+","-"),IF(L165&gt;0,"+","-"))</f>
        <v/>
      </c>
      <c r="K165" s="14" t="n"/>
      <c r="L165" s="14" t="n">
        <v>2000</v>
      </c>
      <c r="M165" s="13" t="inlineStr">
        <is>
          <t>de omzet stijgt</t>
        </is>
      </c>
      <c r="N165" s="13" t="inlineStr">
        <is>
          <t>nee</t>
        </is>
      </c>
    </row>
    <row r="166">
      <c r="A166" s="12" t="n">
        <v>165</v>
      </c>
      <c r="B166" s="16" t="n">
        <v>46527</v>
      </c>
      <c r="C166" s="6" t="inlineStr">
        <is>
          <t>K2</t>
        </is>
      </c>
      <c r="D166" s="13" t="inlineStr">
        <is>
          <t>K2</t>
        </is>
      </c>
      <c r="E166" s="13" t="inlineStr">
        <is>
          <t>J2Q2V7</t>
        </is>
      </c>
      <c r="F166" s="13" t="inlineStr">
        <is>
          <t>2027-027</t>
        </is>
      </c>
      <c r="G166" s="13" t="n">
        <v>704000</v>
      </c>
      <c r="H166" s="13">
        <f>INDEX('MAR 2e graad'!$B$2:$B$58,MATCH(G166,'MAR 2e graad'!$A$2:$A$58,0))</f>
        <v/>
      </c>
      <c r="I166" s="13">
        <f>INDEX('MAR 2e graad'!$C$2:$C$58,MATCH(G166,'MAR 2e graad'!$A$2:$A$58,0))</f>
        <v/>
      </c>
      <c r="J166" s="13">
        <f>IF(OR(I166="A",I166="K"),IF(K166&gt;0,"+","-"),IF(L166&gt;0,"+","-"))</f>
        <v/>
      </c>
      <c r="K166" s="14" t="n"/>
      <c r="L166" s="14" t="n">
        <v>500</v>
      </c>
      <c r="M166" s="13" t="inlineStr">
        <is>
          <t>de omzet stijgt</t>
        </is>
      </c>
      <c r="N166" s="13" t="inlineStr">
        <is>
          <t>nee</t>
        </is>
      </c>
    </row>
    <row r="167">
      <c r="A167" s="12" t="n">
        <v>166</v>
      </c>
      <c r="B167" s="16" t="n">
        <v>46527</v>
      </c>
      <c r="C167" s="6" t="inlineStr">
        <is>
          <t>K2</t>
        </is>
      </c>
      <c r="D167" s="13" t="inlineStr">
        <is>
          <t>K2</t>
        </is>
      </c>
      <c r="E167" s="13" t="inlineStr">
        <is>
          <t>J2Q2V7</t>
        </is>
      </c>
      <c r="F167" s="13" t="inlineStr">
        <is>
          <t>2027-027</t>
        </is>
      </c>
      <c r="G167" s="13" t="n">
        <v>451100</v>
      </c>
      <c r="H167" s="13">
        <f>INDEX('MAR 2e graad'!$B$2:$B$58,MATCH(G167,'MAR 2e graad'!$A$2:$A$58,0))</f>
        <v/>
      </c>
      <c r="I167" s="13">
        <f>INDEX('MAR 2e graad'!$C$2:$C$58,MATCH(G167,'MAR 2e graad'!$A$2:$A$58,0))</f>
        <v/>
      </c>
      <c r="J167" s="13">
        <f>IF(OR(I167="A",I167="K"),IF(K167&gt;0,"+","-"),IF(L167&gt;0,"+","-"))</f>
        <v/>
      </c>
      <c r="K167" s="14" t="n"/>
      <c r="L167" s="14" t="n">
        <v>504</v>
      </c>
      <c r="M167" s="13" t="inlineStr">
        <is>
          <t>de schuld aan de overheid (verschuldigde btw) stijgt</t>
        </is>
      </c>
      <c r="N167" s="13" t="inlineStr">
        <is>
          <t>nee</t>
        </is>
      </c>
    </row>
    <row r="168">
      <c r="A168" s="12" t="n">
        <v>167</v>
      </c>
      <c r="B168" s="16" t="n">
        <v>46532</v>
      </c>
      <c r="C168" s="6" t="inlineStr">
        <is>
          <t>K2</t>
        </is>
      </c>
      <c r="D168" s="13" t="inlineStr">
        <is>
          <t>K2</t>
        </is>
      </c>
      <c r="E168" s="13" t="inlineStr">
        <is>
          <t>J2Q2CA2</t>
        </is>
      </c>
      <c r="F168" s="13" t="inlineStr">
        <is>
          <t>CN-2027-030</t>
        </is>
      </c>
      <c r="G168" s="13" t="n">
        <v>418000</v>
      </c>
      <c r="H168" s="13">
        <f>INDEX('MAR 2e graad'!$B$2:$B$58,MATCH(G168,'MAR 2e graad'!$A$2:$A$58,0))</f>
        <v/>
      </c>
      <c r="I168" s="13">
        <f>INDEX('MAR 2e graad'!$C$2:$C$58,MATCH(G168,'MAR 2e graad'!$A$2:$A$58,0))</f>
        <v/>
      </c>
      <c r="J168" s="13">
        <f>IF(OR(I168="A",I168="K"),IF(K168&gt;0,"+","-"),IF(L168&gt;0,"+","-"))</f>
        <v/>
      </c>
      <c r="K168" s="14" t="n"/>
      <c r="L168" s="14" t="n">
        <v>200</v>
      </c>
      <c r="M168" s="13" t="inlineStr">
        <is>
          <t>de vordering op de leverancier (verpakking) daalt</t>
        </is>
      </c>
      <c r="N168" s="13" t="inlineStr">
        <is>
          <t>nee</t>
        </is>
      </c>
    </row>
    <row r="169">
      <c r="A169" s="12" t="n">
        <v>168</v>
      </c>
      <c r="B169" s="16" t="n">
        <v>46532</v>
      </c>
      <c r="C169" s="6" t="inlineStr">
        <is>
          <t>K2</t>
        </is>
      </c>
      <c r="D169" s="13" t="inlineStr">
        <is>
          <t>K2</t>
        </is>
      </c>
      <c r="E169" s="13" t="inlineStr">
        <is>
          <t>J2Q2CA2</t>
        </is>
      </c>
      <c r="F169" s="13" t="inlineStr">
        <is>
          <t>CN-2027-030</t>
        </is>
      </c>
      <c r="G169" s="13" t="n">
        <v>440000</v>
      </c>
      <c r="H169" s="13">
        <f>INDEX('MAR 2e graad'!$B$2:$B$58,MATCH(G169,'MAR 2e graad'!$A$2:$A$58,0))</f>
        <v/>
      </c>
      <c r="I169" s="13">
        <f>INDEX('MAR 2e graad'!$C$2:$C$58,MATCH(G169,'MAR 2e graad'!$A$2:$A$58,0))</f>
        <v/>
      </c>
      <c r="J169" s="13">
        <f>IF(OR(I169="A",I169="K"),IF(K169&gt;0,"+","-"),IF(L169&gt;0,"+","-"))</f>
        <v/>
      </c>
      <c r="K169" s="14" t="n">
        <v>200</v>
      </c>
      <c r="L169" s="14" t="n"/>
      <c r="M169" s="13" t="inlineStr">
        <is>
          <t>de schuld aan de leverancier daalt</t>
        </is>
      </c>
      <c r="N169" s="13" t="inlineStr">
        <is>
          <t>nee</t>
        </is>
      </c>
    </row>
    <row r="170">
      <c r="A170" s="12" t="n">
        <v>169</v>
      </c>
      <c r="B170" s="16" t="n">
        <v>46540</v>
      </c>
      <c r="C170" s="6" t="inlineStr">
        <is>
          <t>K2</t>
        </is>
      </c>
      <c r="D170" s="13" t="inlineStr">
        <is>
          <t>K2</t>
        </is>
      </c>
      <c r="E170" s="13" t="inlineStr">
        <is>
          <t>J2Q2V5</t>
        </is>
      </c>
      <c r="F170" s="13" t="inlineStr">
        <is>
          <t>2027-013</t>
        </is>
      </c>
      <c r="G170" s="13" t="n">
        <v>400000</v>
      </c>
      <c r="H170" s="13">
        <f>INDEX('MAR 2e graad'!$B$2:$B$58,MATCH(G170,'MAR 2e graad'!$A$2:$A$58,0))</f>
        <v/>
      </c>
      <c r="I170" s="13">
        <f>INDEX('MAR 2e graad'!$C$2:$C$58,MATCH(G170,'MAR 2e graad'!$A$2:$A$58,0))</f>
        <v/>
      </c>
      <c r="J170" s="13">
        <f>IF(OR(I170="A",I170="K"),IF(K170&gt;0,"+","-"),IF(L170&gt;0,"+","-"))</f>
        <v/>
      </c>
      <c r="K170" s="14" t="n">
        <v>6997</v>
      </c>
      <c r="L170" s="14" t="n"/>
      <c r="M170" s="13" t="inlineStr">
        <is>
          <t>de vordering op de klant stijgt</t>
        </is>
      </c>
      <c r="N170" s="13" t="inlineStr">
        <is>
          <t>nee</t>
        </is>
      </c>
    </row>
    <row r="171">
      <c r="A171" s="12" t="n">
        <v>170</v>
      </c>
      <c r="B171" s="16" t="n">
        <v>46540</v>
      </c>
      <c r="C171" s="6" t="inlineStr">
        <is>
          <t>K2</t>
        </is>
      </c>
      <c r="D171" s="13" t="inlineStr">
        <is>
          <t>K2</t>
        </is>
      </c>
      <c r="E171" s="13" t="inlineStr">
        <is>
          <t>J2Q2V5</t>
        </is>
      </c>
      <c r="F171" s="13" t="inlineStr">
        <is>
          <t>2027-013</t>
        </is>
      </c>
      <c r="G171" s="13" t="n">
        <v>704000</v>
      </c>
      <c r="H171" s="13">
        <f>INDEX('MAR 2e graad'!$B$2:$B$58,MATCH(G171,'MAR 2e graad'!$A$2:$A$58,0))</f>
        <v/>
      </c>
      <c r="I171" s="13">
        <f>INDEX('MAR 2e graad'!$C$2:$C$58,MATCH(G171,'MAR 2e graad'!$A$2:$A$58,0))</f>
        <v/>
      </c>
      <c r="J171" s="13">
        <f>IF(OR(I171="A",I171="K"),IF(K171&gt;0,"+","-"),IF(L171&gt;0,"+","-"))</f>
        <v/>
      </c>
      <c r="K171" s="14" t="n"/>
      <c r="L171" s="14" t="n">
        <v>5200</v>
      </c>
      <c r="M171" s="13" t="inlineStr">
        <is>
          <t>de omzet stijgt</t>
        </is>
      </c>
      <c r="N171" s="13" t="inlineStr">
        <is>
          <t>nee</t>
        </is>
      </c>
    </row>
    <row r="172">
      <c r="A172" s="12" t="n">
        <v>171</v>
      </c>
      <c r="B172" s="16" t="n">
        <v>46540</v>
      </c>
      <c r="C172" s="6" t="inlineStr">
        <is>
          <t>K2</t>
        </is>
      </c>
      <c r="D172" s="13" t="inlineStr">
        <is>
          <t>K2</t>
        </is>
      </c>
      <c r="E172" s="13" t="inlineStr">
        <is>
          <t>J2Q2V5</t>
        </is>
      </c>
      <c r="F172" s="13" t="inlineStr">
        <is>
          <t>2027-013</t>
        </is>
      </c>
      <c r="G172" s="13" t="n">
        <v>704000</v>
      </c>
      <c r="H172" s="13">
        <f>INDEX('MAR 2e graad'!$B$2:$B$58,MATCH(G172,'MAR 2e graad'!$A$2:$A$58,0))</f>
        <v/>
      </c>
      <c r="I172" s="13">
        <f>INDEX('MAR 2e graad'!$C$2:$C$58,MATCH(G172,'MAR 2e graad'!$A$2:$A$58,0))</f>
        <v/>
      </c>
      <c r="J172" s="13">
        <f>IF(OR(I172="A",I172="K"),IF(K172&gt;0,"+","-"),IF(L172&gt;0,"+","-"))</f>
        <v/>
      </c>
      <c r="K172" s="14" t="n"/>
      <c r="L172" s="14" t="n">
        <v>1000</v>
      </c>
      <c r="M172" s="13" t="inlineStr">
        <is>
          <t>de omzet stijgt</t>
        </is>
      </c>
      <c r="N172" s="13" t="inlineStr">
        <is>
          <t>nee</t>
        </is>
      </c>
    </row>
    <row r="173">
      <c r="A173" s="12" t="n">
        <v>172</v>
      </c>
      <c r="B173" s="16" t="n">
        <v>46540</v>
      </c>
      <c r="C173" s="6" t="inlineStr">
        <is>
          <t>K2</t>
        </is>
      </c>
      <c r="D173" s="13" t="inlineStr">
        <is>
          <t>K2</t>
        </is>
      </c>
      <c r="E173" s="13" t="inlineStr">
        <is>
          <t>J2Q2V5</t>
        </is>
      </c>
      <c r="F173" s="13" t="inlineStr">
        <is>
          <t>2027-013</t>
        </is>
      </c>
      <c r="G173" s="13" t="n">
        <v>746000</v>
      </c>
      <c r="H173" s="13">
        <f>INDEX('MAR 2e graad'!$B$2:$B$58,MATCH(G173,'MAR 2e graad'!$A$2:$A$58,0))</f>
        <v/>
      </c>
      <c r="I173" s="13">
        <f>INDEX('MAR 2e graad'!$C$2:$C$58,MATCH(G173,'MAR 2e graad'!$A$2:$A$58,0))</f>
        <v/>
      </c>
      <c r="J173" s="13">
        <f>IF(OR(I173="A",I173="K"),IF(K173&gt;0,"+","-"),IF(L173&gt;0,"+","-"))</f>
        <v/>
      </c>
      <c r="K173" s="14" t="n"/>
      <c r="L173" s="14" t="n">
        <v>120</v>
      </c>
      <c r="M173" s="13" t="inlineStr">
        <is>
          <t>de doorgerekende kosten (opbrengst) stijgen</t>
        </is>
      </c>
      <c r="N173" s="13" t="inlineStr">
        <is>
          <t>nee</t>
        </is>
      </c>
    </row>
    <row r="174">
      <c r="A174" s="12" t="n">
        <v>173</v>
      </c>
      <c r="B174" s="16" t="n">
        <v>46540</v>
      </c>
      <c r="C174" s="6" t="inlineStr">
        <is>
          <t>K2</t>
        </is>
      </c>
      <c r="D174" s="13" t="inlineStr">
        <is>
          <t>K2</t>
        </is>
      </c>
      <c r="E174" s="13" t="inlineStr">
        <is>
          <t>J2Q2V5</t>
        </is>
      </c>
      <c r="F174" s="13" t="inlineStr">
        <is>
          <t>2027-013</t>
        </is>
      </c>
      <c r="G174" s="13" t="n">
        <v>488000</v>
      </c>
      <c r="H174" s="13">
        <f>INDEX('MAR 2e graad'!$B$2:$B$58,MATCH(G174,'MAR 2e graad'!$A$2:$A$58,0))</f>
        <v/>
      </c>
      <c r="I174" s="13">
        <f>INDEX('MAR 2e graad'!$C$2:$C$58,MATCH(G174,'MAR 2e graad'!$A$2:$A$58,0))</f>
        <v/>
      </c>
      <c r="J174" s="13">
        <f>IF(OR(I174="A",I174="K"),IF(K174&gt;0,"+","-"),IF(L174&gt;0,"+","-"))</f>
        <v/>
      </c>
      <c r="K174" s="14" t="n"/>
      <c r="L174" s="14" t="n">
        <v>100</v>
      </c>
      <c r="M174" s="13" t="inlineStr">
        <is>
          <t>de schuld aan de klant (verpakking) stijgt</t>
        </is>
      </c>
      <c r="N174" s="13" t="inlineStr">
        <is>
          <t>nee</t>
        </is>
      </c>
    </row>
    <row r="175">
      <c r="A175" s="12" t="n">
        <v>174</v>
      </c>
      <c r="B175" s="16" t="n">
        <v>46540</v>
      </c>
      <c r="C175" s="6" t="inlineStr">
        <is>
          <t>K2</t>
        </is>
      </c>
      <c r="D175" s="13" t="inlineStr">
        <is>
          <t>K2</t>
        </is>
      </c>
      <c r="E175" s="13" t="inlineStr">
        <is>
          <t>J2Q2V5</t>
        </is>
      </c>
      <c r="F175" s="13" t="inlineStr">
        <is>
          <t>2027-013</t>
        </is>
      </c>
      <c r="G175" s="13" t="n">
        <v>704020</v>
      </c>
      <c r="H175" s="13">
        <f>INDEX('MAR 2e graad'!$B$2:$B$58,MATCH(G175,'MAR 2e graad'!$A$2:$A$58,0))</f>
        <v/>
      </c>
      <c r="I175" s="13">
        <f>INDEX('MAR 2e graad'!$C$2:$C$58,MATCH(G175,'MAR 2e graad'!$A$2:$A$58,0))</f>
        <v/>
      </c>
      <c r="J175" s="13">
        <f>IF(OR(I175="A",I175="K"),IF(K175&gt;0,"+","-"),IF(L175&gt;0,"+","-"))</f>
        <v/>
      </c>
      <c r="K175" s="14" t="n">
        <v>620</v>
      </c>
      <c r="L175" s="14" t="n"/>
      <c r="M175" s="13" t="inlineStr">
        <is>
          <t>de handelskorting op verkopen stijgt (omzet daalt)</t>
        </is>
      </c>
      <c r="N175" s="13" t="inlineStr">
        <is>
          <t>nee</t>
        </is>
      </c>
    </row>
    <row r="176">
      <c r="A176" s="12" t="n">
        <v>175</v>
      </c>
      <c r="B176" s="16" t="n">
        <v>46540</v>
      </c>
      <c r="C176" s="6" t="inlineStr">
        <is>
          <t>K2</t>
        </is>
      </c>
      <c r="D176" s="13" t="inlineStr">
        <is>
          <t>K2</t>
        </is>
      </c>
      <c r="E176" s="13" t="inlineStr">
        <is>
          <t>J2Q2V5</t>
        </is>
      </c>
      <c r="F176" s="13" t="inlineStr">
        <is>
          <t>2027-013</t>
        </is>
      </c>
      <c r="G176" s="13" t="n">
        <v>451100</v>
      </c>
      <c r="H176" s="13">
        <f>INDEX('MAR 2e graad'!$B$2:$B$58,MATCH(G176,'MAR 2e graad'!$A$2:$A$58,0))</f>
        <v/>
      </c>
      <c r="I176" s="13">
        <f>INDEX('MAR 2e graad'!$C$2:$C$58,MATCH(G176,'MAR 2e graad'!$A$2:$A$58,0))</f>
        <v/>
      </c>
      <c r="J176" s="13">
        <f>IF(OR(I176="A",I176="K"),IF(K176&gt;0,"+","-"),IF(L176&gt;0,"+","-"))</f>
        <v/>
      </c>
      <c r="K176" s="14" t="n"/>
      <c r="L176" s="14" t="n">
        <v>1197</v>
      </c>
      <c r="M176" s="13" t="inlineStr">
        <is>
          <t>de schuld aan de overheid (verschuldigde btw) stijgt</t>
        </is>
      </c>
      <c r="N176" s="13" t="inlineStr">
        <is>
          <t>nee</t>
        </is>
      </c>
    </row>
    <row r="177">
      <c r="A177" s="12" t="n">
        <v>176</v>
      </c>
      <c r="B177" s="16" t="n">
        <v>46543</v>
      </c>
      <c r="C177" s="6" t="inlineStr">
        <is>
          <t>K2</t>
        </is>
      </c>
      <c r="D177" s="13" t="inlineStr">
        <is>
          <t>K2</t>
        </is>
      </c>
      <c r="E177" s="13" t="inlineStr">
        <is>
          <t>J2Q2D1</t>
        </is>
      </c>
      <c r="F177" s="13" t="inlineStr">
        <is>
          <t>DO-2027-03</t>
        </is>
      </c>
      <c r="G177" s="13" t="n">
        <v>400000</v>
      </c>
      <c r="H177" s="13">
        <f>INDEX('MAR 2e graad'!$B$2:$B$58,MATCH(G177,'MAR 2e graad'!$A$2:$A$58,0))</f>
        <v/>
      </c>
      <c r="I177" s="13">
        <f>INDEX('MAR 2e graad'!$C$2:$C$58,MATCH(G177,'MAR 2e graad'!$A$2:$A$58,0))</f>
        <v/>
      </c>
      <c r="J177" s="13">
        <f>IF(OR(I177="A",I177="K"),IF(K177&gt;0,"+","-"),IF(L177&gt;0,"+","-"))</f>
        <v/>
      </c>
      <c r="K177" s="14" t="n">
        <v>2708</v>
      </c>
      <c r="L177" s="14" t="n"/>
      <c r="M177" s="13" t="inlineStr">
        <is>
          <t>de vordering op de klanten (dagontvangsten) stijgt</t>
        </is>
      </c>
      <c r="N177" s="13" t="inlineStr">
        <is>
          <t>nee</t>
        </is>
      </c>
    </row>
    <row r="178">
      <c r="A178" s="12" t="n">
        <v>177</v>
      </c>
      <c r="B178" s="16" t="n">
        <v>46543</v>
      </c>
      <c r="C178" s="6" t="inlineStr">
        <is>
          <t>K2</t>
        </is>
      </c>
      <c r="D178" s="13" t="inlineStr">
        <is>
          <t>K2</t>
        </is>
      </c>
      <c r="E178" s="13" t="inlineStr">
        <is>
          <t>J2Q2D1</t>
        </is>
      </c>
      <c r="F178" s="13" t="inlineStr">
        <is>
          <t>DO-2027-03</t>
        </is>
      </c>
      <c r="G178" s="13" t="n">
        <v>704000</v>
      </c>
      <c r="H178" s="13">
        <f>INDEX('MAR 2e graad'!$B$2:$B$58,MATCH(G178,'MAR 2e graad'!$A$2:$A$58,0))</f>
        <v/>
      </c>
      <c r="I178" s="13">
        <f>INDEX('MAR 2e graad'!$C$2:$C$58,MATCH(G178,'MAR 2e graad'!$A$2:$A$58,0))</f>
        <v/>
      </c>
      <c r="J178" s="13">
        <f>IF(OR(I178="A",I178="K"),IF(K178&gt;0,"+","-"),IF(L178&gt;0,"+","-"))</f>
        <v/>
      </c>
      <c r="K178" s="14" t="n"/>
      <c r="L178" s="14" t="n">
        <v>1200</v>
      </c>
      <c r="M178" s="13" t="inlineStr">
        <is>
          <t>de omzet stijgt</t>
        </is>
      </c>
      <c r="N178" s="13" t="inlineStr">
        <is>
          <t>nee</t>
        </is>
      </c>
    </row>
    <row r="179">
      <c r="A179" s="12" t="n">
        <v>178</v>
      </c>
      <c r="B179" s="16" t="n">
        <v>46543</v>
      </c>
      <c r="C179" s="6" t="inlineStr">
        <is>
          <t>K2</t>
        </is>
      </c>
      <c r="D179" s="13" t="inlineStr">
        <is>
          <t>K2</t>
        </is>
      </c>
      <c r="E179" s="13" t="inlineStr">
        <is>
          <t>J2Q2D1</t>
        </is>
      </c>
      <c r="F179" s="13" t="inlineStr">
        <is>
          <t>DO-2027-03</t>
        </is>
      </c>
      <c r="G179" s="13" t="n">
        <v>704000</v>
      </c>
      <c r="H179" s="13">
        <f>INDEX('MAR 2e graad'!$B$2:$B$58,MATCH(G179,'MAR 2e graad'!$A$2:$A$58,0))</f>
        <v/>
      </c>
      <c r="I179" s="13">
        <f>INDEX('MAR 2e graad'!$C$2:$C$58,MATCH(G179,'MAR 2e graad'!$A$2:$A$58,0))</f>
        <v/>
      </c>
      <c r="J179" s="13">
        <f>IF(OR(I179="A",I179="K"),IF(K179&gt;0,"+","-"),IF(L179&gt;0,"+","-"))</f>
        <v/>
      </c>
      <c r="K179" s="14" t="n"/>
      <c r="L179" s="14" t="n">
        <v>400</v>
      </c>
      <c r="M179" s="13" t="inlineStr">
        <is>
          <t>de omzet stijgt</t>
        </is>
      </c>
      <c r="N179" s="13" t="inlineStr">
        <is>
          <t>nee</t>
        </is>
      </c>
    </row>
    <row r="180">
      <c r="A180" s="12" t="n">
        <v>179</v>
      </c>
      <c r="B180" s="16" t="n">
        <v>46543</v>
      </c>
      <c r="C180" s="6" t="inlineStr">
        <is>
          <t>K2</t>
        </is>
      </c>
      <c r="D180" s="13" t="inlineStr">
        <is>
          <t>K2</t>
        </is>
      </c>
      <c r="E180" s="13" t="inlineStr">
        <is>
          <t>J2Q2D1</t>
        </is>
      </c>
      <c r="F180" s="13" t="inlineStr">
        <is>
          <t>DO-2027-03</t>
        </is>
      </c>
      <c r="G180" s="13" t="n">
        <v>704000</v>
      </c>
      <c r="H180" s="13">
        <f>INDEX('MAR 2e graad'!$B$2:$B$58,MATCH(G180,'MAR 2e graad'!$A$2:$A$58,0))</f>
        <v/>
      </c>
      <c r="I180" s="13">
        <f>INDEX('MAR 2e graad'!$C$2:$C$58,MATCH(G180,'MAR 2e graad'!$A$2:$A$58,0))</f>
        <v/>
      </c>
      <c r="J180" s="13">
        <f>IF(OR(I180="A",I180="K"),IF(K180&gt;0,"+","-"),IF(L180&gt;0,"+","-"))</f>
        <v/>
      </c>
      <c r="K180" s="14" t="n"/>
      <c r="L180" s="14" t="n">
        <v>140</v>
      </c>
      <c r="M180" s="13" t="inlineStr">
        <is>
          <t>de omzet stijgt</t>
        </is>
      </c>
      <c r="N180" s="13" t="inlineStr">
        <is>
          <t>nee</t>
        </is>
      </c>
    </row>
    <row r="181">
      <c r="A181" s="12" t="n">
        <v>180</v>
      </c>
      <c r="B181" s="16" t="n">
        <v>46543</v>
      </c>
      <c r="C181" s="6" t="inlineStr">
        <is>
          <t>K2</t>
        </is>
      </c>
      <c r="D181" s="13" t="inlineStr">
        <is>
          <t>K2</t>
        </is>
      </c>
      <c r="E181" s="13" t="inlineStr">
        <is>
          <t>J2Q2D1</t>
        </is>
      </c>
      <c r="F181" s="13" t="inlineStr">
        <is>
          <t>DO-2027-03</t>
        </is>
      </c>
      <c r="G181" s="13" t="n">
        <v>704000</v>
      </c>
      <c r="H181" s="13">
        <f>INDEX('MAR 2e graad'!$B$2:$B$58,MATCH(G181,'MAR 2e graad'!$A$2:$A$58,0))</f>
        <v/>
      </c>
      <c r="I181" s="13">
        <f>INDEX('MAR 2e graad'!$C$2:$C$58,MATCH(G181,'MAR 2e graad'!$A$2:$A$58,0))</f>
        <v/>
      </c>
      <c r="J181" s="13">
        <f>IF(OR(I181="A",I181="K"),IF(K181&gt;0,"+","-"),IF(L181&gt;0,"+","-"))</f>
        <v/>
      </c>
      <c r="K181" s="14" t="n"/>
      <c r="L181" s="14" t="n">
        <v>60</v>
      </c>
      <c r="M181" s="13" t="inlineStr">
        <is>
          <t>de omzet stijgt</t>
        </is>
      </c>
      <c r="N181" s="13" t="inlineStr">
        <is>
          <t>nee</t>
        </is>
      </c>
    </row>
    <row r="182">
      <c r="A182" s="12" t="n">
        <v>181</v>
      </c>
      <c r="B182" s="16" t="n">
        <v>46543</v>
      </c>
      <c r="C182" s="6" t="inlineStr">
        <is>
          <t>K2</t>
        </is>
      </c>
      <c r="D182" s="13" t="inlineStr">
        <is>
          <t>K2</t>
        </is>
      </c>
      <c r="E182" s="13" t="inlineStr">
        <is>
          <t>J2Q2D1</t>
        </is>
      </c>
      <c r="F182" s="13" t="inlineStr">
        <is>
          <t>DO-2027-03</t>
        </is>
      </c>
      <c r="G182" s="13" t="n">
        <v>700000</v>
      </c>
      <c r="H182" s="13">
        <f>INDEX('MAR 2e graad'!$B$2:$B$58,MATCH(G182,'MAR 2e graad'!$A$2:$A$58,0))</f>
        <v/>
      </c>
      <c r="I182" s="13">
        <f>INDEX('MAR 2e graad'!$C$2:$C$58,MATCH(G182,'MAR 2e graad'!$A$2:$A$58,0))</f>
        <v/>
      </c>
      <c r="J182" s="13">
        <f>IF(OR(I182="A",I182="K"),IF(K182&gt;0,"+","-"),IF(L182&gt;0,"+","-"))</f>
        <v/>
      </c>
      <c r="K182" s="14" t="n"/>
      <c r="L182" s="14" t="n">
        <v>500</v>
      </c>
      <c r="M182" s="13" t="inlineStr">
        <is>
          <t>de omzet (diensten) stijgt</t>
        </is>
      </c>
      <c r="N182" s="13" t="inlineStr">
        <is>
          <t>nee</t>
        </is>
      </c>
    </row>
    <row r="183">
      <c r="A183" s="12" t="n">
        <v>182</v>
      </c>
      <c r="B183" s="16" t="n">
        <v>46543</v>
      </c>
      <c r="C183" s="6" t="inlineStr">
        <is>
          <t>K2</t>
        </is>
      </c>
      <c r="D183" s="13" t="inlineStr">
        <is>
          <t>K2</t>
        </is>
      </c>
      <c r="E183" s="13" t="inlineStr">
        <is>
          <t>J2Q2D1</t>
        </is>
      </c>
      <c r="F183" s="13" t="inlineStr">
        <is>
          <t>DO-2027-03</t>
        </is>
      </c>
      <c r="G183" s="13" t="n">
        <v>451100</v>
      </c>
      <c r="H183" s="13">
        <f>INDEX('MAR 2e graad'!$B$2:$B$58,MATCH(G183,'MAR 2e graad'!$A$2:$A$58,0))</f>
        <v/>
      </c>
      <c r="I183" s="13">
        <f>INDEX('MAR 2e graad'!$C$2:$C$58,MATCH(G183,'MAR 2e graad'!$A$2:$A$58,0))</f>
        <v/>
      </c>
      <c r="J183" s="13">
        <f>IF(OR(I183="A",I183="K"),IF(K183&gt;0,"+","-"),IF(L183&gt;0,"+","-"))</f>
        <v/>
      </c>
      <c r="K183" s="14" t="n"/>
      <c r="L183" s="14" t="n">
        <v>408</v>
      </c>
      <c r="M183" s="13" t="inlineStr">
        <is>
          <t>de schuld aan de overheid (verschuldigde btw) stijgt</t>
        </is>
      </c>
      <c r="N183" s="13" t="inlineStr">
        <is>
          <t>nee</t>
        </is>
      </c>
    </row>
    <row r="184">
      <c r="A184" s="12" t="n">
        <v>183</v>
      </c>
      <c r="B184" s="16" t="n">
        <v>46543</v>
      </c>
      <c r="C184" s="6" t="inlineStr">
        <is>
          <t>K2</t>
        </is>
      </c>
      <c r="D184" s="13" t="inlineStr">
        <is>
          <t>K2</t>
        </is>
      </c>
      <c r="E184" s="13" t="inlineStr">
        <is>
          <t>J2Q2D1K</t>
        </is>
      </c>
      <c r="F184" s="13" t="inlineStr">
        <is>
          <t>Kasboek DO-2027-03</t>
        </is>
      </c>
      <c r="G184" s="13" t="n">
        <v>570000</v>
      </c>
      <c r="H184" s="13">
        <f>INDEX('MAR 2e graad'!$B$2:$B$58,MATCH(G184,'MAR 2e graad'!$A$2:$A$58,0))</f>
        <v/>
      </c>
      <c r="I184" s="13">
        <f>INDEX('MAR 2e graad'!$C$2:$C$58,MATCH(G184,'MAR 2e graad'!$A$2:$A$58,0))</f>
        <v/>
      </c>
      <c r="J184" s="13">
        <f>IF(OR(I184="A",I184="K"),IF(K184&gt;0,"+","-"),IF(L184&gt;0,"+","-"))</f>
        <v/>
      </c>
      <c r="K184" s="14" t="n">
        <v>708</v>
      </c>
      <c r="L184" s="14" t="n"/>
      <c r="M184" s="13" t="inlineStr">
        <is>
          <t>de kas stijgt</t>
        </is>
      </c>
      <c r="N184" s="13" t="inlineStr">
        <is>
          <t>nee</t>
        </is>
      </c>
    </row>
    <row r="185">
      <c r="A185" s="12" t="n">
        <v>184</v>
      </c>
      <c r="B185" s="16" t="n">
        <v>46543</v>
      </c>
      <c r="C185" s="6" t="inlineStr">
        <is>
          <t>K2</t>
        </is>
      </c>
      <c r="D185" s="13" t="inlineStr">
        <is>
          <t>K2</t>
        </is>
      </c>
      <c r="E185" s="13" t="inlineStr">
        <is>
          <t>J2Q2D1K</t>
        </is>
      </c>
      <c r="F185" s="13" t="inlineStr">
        <is>
          <t>Kasboek DO-2027-03</t>
        </is>
      </c>
      <c r="G185" s="13" t="n">
        <v>400000</v>
      </c>
      <c r="H185" s="13">
        <f>INDEX('MAR 2e graad'!$B$2:$B$58,MATCH(G185,'MAR 2e graad'!$A$2:$A$58,0))</f>
        <v/>
      </c>
      <c r="I185" s="13">
        <f>INDEX('MAR 2e graad'!$C$2:$C$58,MATCH(G185,'MAR 2e graad'!$A$2:$A$58,0))</f>
        <v/>
      </c>
      <c r="J185" s="13">
        <f>IF(OR(I185="A",I185="K"),IF(K185&gt;0,"+","-"),IF(L185&gt;0,"+","-"))</f>
        <v/>
      </c>
      <c r="K185" s="14" t="n"/>
      <c r="L185" s="14" t="n">
        <v>708</v>
      </c>
      <c r="M185" s="13" t="inlineStr">
        <is>
          <t>de vordering op de klanten (contant betaald) daalt</t>
        </is>
      </c>
      <c r="N185" s="13" t="inlineStr">
        <is>
          <t>nee</t>
        </is>
      </c>
    </row>
    <row r="186">
      <c r="A186" s="12" t="n">
        <v>185</v>
      </c>
      <c r="B186" s="16" t="n">
        <v>46547</v>
      </c>
      <c r="C186" s="6" t="inlineStr">
        <is>
          <t>K2</t>
        </is>
      </c>
      <c r="D186" s="13" t="inlineStr">
        <is>
          <t>K2</t>
        </is>
      </c>
      <c r="E186" s="13" t="inlineStr">
        <is>
          <t>J2Q2CV1</t>
        </is>
      </c>
      <c r="F186" s="13" t="inlineStr">
        <is>
          <t>CN-2027-004</t>
        </is>
      </c>
      <c r="G186" s="13" t="n">
        <v>400000</v>
      </c>
      <c r="H186" s="13">
        <f>INDEX('MAR 2e graad'!$B$2:$B$58,MATCH(G186,'MAR 2e graad'!$A$2:$A$58,0))</f>
        <v/>
      </c>
      <c r="I186" s="13">
        <f>INDEX('MAR 2e graad'!$C$2:$C$58,MATCH(G186,'MAR 2e graad'!$A$2:$A$58,0))</f>
        <v/>
      </c>
      <c r="J186" s="13">
        <f>IF(OR(I186="A",I186="K"),IF(K186&gt;0,"+","-"),IF(L186&gt;0,"+","-"))</f>
        <v/>
      </c>
      <c r="K186" s="14" t="n"/>
      <c r="L186" s="14" t="n">
        <v>1089</v>
      </c>
      <c r="M186" s="13" t="inlineStr">
        <is>
          <t>de vordering op de klant daalt</t>
        </is>
      </c>
      <c r="N186" s="13" t="inlineStr">
        <is>
          <t>nee</t>
        </is>
      </c>
    </row>
    <row r="187">
      <c r="A187" s="12" t="n">
        <v>186</v>
      </c>
      <c r="B187" s="16" t="n">
        <v>46547</v>
      </c>
      <c r="C187" s="6" t="inlineStr">
        <is>
          <t>K2</t>
        </is>
      </c>
      <c r="D187" s="13" t="inlineStr">
        <is>
          <t>K2</t>
        </is>
      </c>
      <c r="E187" s="13" t="inlineStr">
        <is>
          <t>J2Q2CV1</t>
        </is>
      </c>
      <c r="F187" s="13" t="inlineStr">
        <is>
          <t>CN-2027-004</t>
        </is>
      </c>
      <c r="G187" s="13" t="n">
        <v>704010</v>
      </c>
      <c r="H187" s="13">
        <f>INDEX('MAR 2e graad'!$B$2:$B$58,MATCH(G187,'MAR 2e graad'!$A$2:$A$58,0))</f>
        <v/>
      </c>
      <c r="I187" s="13">
        <f>INDEX('MAR 2e graad'!$C$2:$C$58,MATCH(G187,'MAR 2e graad'!$A$2:$A$58,0))</f>
        <v/>
      </c>
      <c r="J187" s="13">
        <f>IF(OR(I187="A",I187="K"),IF(K187&gt;0,"+","-"),IF(L187&gt;0,"+","-"))</f>
        <v/>
      </c>
      <c r="K187" s="14" t="n">
        <v>1000</v>
      </c>
      <c r="L187" s="14" t="n"/>
      <c r="M187" s="13" t="inlineStr">
        <is>
          <t>de omzet daalt (retour)</t>
        </is>
      </c>
      <c r="N187" s="13" t="inlineStr">
        <is>
          <t>nee</t>
        </is>
      </c>
    </row>
    <row r="188">
      <c r="A188" s="12" t="n">
        <v>187</v>
      </c>
      <c r="B188" s="16" t="n">
        <v>46547</v>
      </c>
      <c r="C188" s="6" t="inlineStr">
        <is>
          <t>K2</t>
        </is>
      </c>
      <c r="D188" s="13" t="inlineStr">
        <is>
          <t>K2</t>
        </is>
      </c>
      <c r="E188" s="13" t="inlineStr">
        <is>
          <t>J2Q2CV1</t>
        </is>
      </c>
      <c r="F188" s="13" t="inlineStr">
        <is>
          <t>CN-2027-004</t>
        </is>
      </c>
      <c r="G188" s="13" t="n">
        <v>704020</v>
      </c>
      <c r="H188" s="13">
        <f>INDEX('MAR 2e graad'!$B$2:$B$58,MATCH(G188,'MAR 2e graad'!$A$2:$A$58,0))</f>
        <v/>
      </c>
      <c r="I188" s="13">
        <f>INDEX('MAR 2e graad'!$C$2:$C$58,MATCH(G188,'MAR 2e graad'!$A$2:$A$58,0))</f>
        <v/>
      </c>
      <c r="J188" s="13">
        <f>IF(OR(I188="A",I188="K"),IF(K188&gt;0,"+","-"),IF(L188&gt;0,"+","-"))</f>
        <v/>
      </c>
      <c r="K188" s="14" t="n"/>
      <c r="L188" s="14" t="n">
        <v>100</v>
      </c>
      <c r="M188" s="13" t="inlineStr">
        <is>
          <t>de handelskorting op verkopen daalt (omzet stijgt)</t>
        </is>
      </c>
      <c r="N188" s="13" t="inlineStr">
        <is>
          <t>nee</t>
        </is>
      </c>
    </row>
    <row r="189">
      <c r="A189" s="12" t="n">
        <v>188</v>
      </c>
      <c r="B189" s="16" t="n">
        <v>46547</v>
      </c>
      <c r="C189" s="6" t="inlineStr">
        <is>
          <t>K2</t>
        </is>
      </c>
      <c r="D189" s="13" t="inlineStr">
        <is>
          <t>K2</t>
        </is>
      </c>
      <c r="E189" s="13" t="inlineStr">
        <is>
          <t>J2Q2CV1</t>
        </is>
      </c>
      <c r="F189" s="13" t="inlineStr">
        <is>
          <t>CN-2027-004</t>
        </is>
      </c>
      <c r="G189" s="13" t="n">
        <v>411200</v>
      </c>
      <c r="H189" s="13">
        <f>INDEX('MAR 2e graad'!$B$2:$B$58,MATCH(G189,'MAR 2e graad'!$A$2:$A$58,0))</f>
        <v/>
      </c>
      <c r="I189" s="13">
        <f>INDEX('MAR 2e graad'!$C$2:$C$58,MATCH(G189,'MAR 2e graad'!$A$2:$A$58,0))</f>
        <v/>
      </c>
      <c r="J189" s="13">
        <f>IF(OR(I189="A",I189="K"),IF(K189&gt;0,"+","-"),IF(L189&gt;0,"+","-"))</f>
        <v/>
      </c>
      <c r="K189" s="14" t="n">
        <v>189</v>
      </c>
      <c r="L189" s="14" t="n"/>
      <c r="M189" s="13" t="inlineStr">
        <is>
          <t>de vordering op de overheid stijgt (btw op uitgaande creditnota)</t>
        </is>
      </c>
      <c r="N189" s="13" t="inlineStr">
        <is>
          <t>nee</t>
        </is>
      </c>
    </row>
    <row r="190">
      <c r="A190" s="12" t="n">
        <v>189</v>
      </c>
      <c r="B190" s="16" t="n">
        <v>46548</v>
      </c>
      <c r="C190" s="6" t="inlineStr">
        <is>
          <t>K2</t>
        </is>
      </c>
      <c r="D190" s="13" t="inlineStr">
        <is>
          <t>K2</t>
        </is>
      </c>
      <c r="E190" s="13" t="inlineStr">
        <is>
          <t>U2027-12/1</t>
        </is>
      </c>
      <c r="F190" s="13" t="inlineStr">
        <is>
          <t>uittreksel U2027-12/1</t>
        </is>
      </c>
      <c r="G190" s="13" t="n">
        <v>440000</v>
      </c>
      <c r="H190" s="13">
        <f>INDEX('MAR 2e graad'!$B$2:$B$58,MATCH(G190,'MAR 2e graad'!$A$2:$A$58,0))</f>
        <v/>
      </c>
      <c r="I190" s="13">
        <f>INDEX('MAR 2e graad'!$C$2:$C$58,MATCH(G190,'MAR 2e graad'!$A$2:$A$58,0))</f>
        <v/>
      </c>
      <c r="J190" s="13">
        <f>IF(OR(I190="A",I190="K"),IF(K190&gt;0,"+","-"),IF(L190&gt;0,"+","-"))</f>
        <v/>
      </c>
      <c r="K190" s="14" t="n">
        <v>3288</v>
      </c>
      <c r="L190" s="14" t="n"/>
      <c r="M190" s="13" t="inlineStr">
        <is>
          <t>de schuld aan de leverancier daalt</t>
        </is>
      </c>
      <c r="N190" s="13" t="inlineStr">
        <is>
          <t>nee</t>
        </is>
      </c>
    </row>
    <row r="191">
      <c r="A191" s="12" t="n">
        <v>190</v>
      </c>
      <c r="B191" s="16" t="n">
        <v>46548</v>
      </c>
      <c r="C191" s="6" t="inlineStr">
        <is>
          <t>K2</t>
        </is>
      </c>
      <c r="D191" s="13" t="inlineStr">
        <is>
          <t>K2</t>
        </is>
      </c>
      <c r="E191" s="13" t="inlineStr">
        <is>
          <t>U2027-12/1</t>
        </is>
      </c>
      <c r="F191" s="13" t="inlineStr">
        <is>
          <t>uittreksel U2027-12/1</t>
        </is>
      </c>
      <c r="G191" s="13" t="n">
        <v>550000</v>
      </c>
      <c r="H191" s="13">
        <f>INDEX('MAR 2e graad'!$B$2:$B$58,MATCH(G191,'MAR 2e graad'!$A$2:$A$58,0))</f>
        <v/>
      </c>
      <c r="I191" s="13">
        <f>INDEX('MAR 2e graad'!$C$2:$C$58,MATCH(G191,'MAR 2e graad'!$A$2:$A$58,0))</f>
        <v/>
      </c>
      <c r="J191" s="13">
        <f>IF(OR(I191="A",I191="K"),IF(K191&gt;0,"+","-"),IF(L191&gt;0,"+","-"))</f>
        <v/>
      </c>
      <c r="K191" s="14" t="n"/>
      <c r="L191" s="14" t="n">
        <v>3288</v>
      </c>
      <c r="M191" s="13" t="inlineStr">
        <is>
          <t>de bank daalt</t>
        </is>
      </c>
      <c r="N191" s="13" t="inlineStr">
        <is>
          <t>nee</t>
        </is>
      </c>
    </row>
    <row r="192">
      <c r="A192" s="12" t="n">
        <v>191</v>
      </c>
      <c r="B192" s="16" t="n">
        <v>46548</v>
      </c>
      <c r="C192" s="6" t="inlineStr">
        <is>
          <t>K2</t>
        </is>
      </c>
      <c r="D192" s="13" t="inlineStr">
        <is>
          <t>K2</t>
        </is>
      </c>
      <c r="E192" s="13" t="inlineStr">
        <is>
          <t>U2027-12/2</t>
        </is>
      </c>
      <c r="F192" s="13" t="inlineStr">
        <is>
          <t>uittreksel U2027-12/2</t>
        </is>
      </c>
      <c r="G192" s="13" t="n">
        <v>550000</v>
      </c>
      <c r="H192" s="13">
        <f>INDEX('MAR 2e graad'!$B$2:$B$58,MATCH(G192,'MAR 2e graad'!$A$2:$A$58,0))</f>
        <v/>
      </c>
      <c r="I192" s="13">
        <f>INDEX('MAR 2e graad'!$C$2:$C$58,MATCH(G192,'MAR 2e graad'!$A$2:$A$58,0))</f>
        <v/>
      </c>
      <c r="J192" s="13">
        <f>IF(OR(I192="A",I192="K"),IF(K192&gt;0,"+","-"),IF(L192&gt;0,"+","-"))</f>
        <v/>
      </c>
      <c r="K192" s="14" t="n">
        <v>2000</v>
      </c>
      <c r="L192" s="14" t="n"/>
      <c r="M192" s="13" t="inlineStr">
        <is>
          <t>de bank stijgt</t>
        </is>
      </c>
      <c r="N192" s="13" t="inlineStr">
        <is>
          <t>nee</t>
        </is>
      </c>
    </row>
    <row r="193">
      <c r="A193" s="12" t="n">
        <v>192</v>
      </c>
      <c r="B193" s="16" t="n">
        <v>46548</v>
      </c>
      <c r="C193" s="6" t="inlineStr">
        <is>
          <t>K2</t>
        </is>
      </c>
      <c r="D193" s="13" t="inlineStr">
        <is>
          <t>K2</t>
        </is>
      </c>
      <c r="E193" s="13" t="inlineStr">
        <is>
          <t>U2027-12/2</t>
        </is>
      </c>
      <c r="F193" s="13" t="inlineStr">
        <is>
          <t>uittreksel U2027-12/2</t>
        </is>
      </c>
      <c r="G193" s="13" t="n">
        <v>400000</v>
      </c>
      <c r="H193" s="13">
        <f>INDEX('MAR 2e graad'!$B$2:$B$58,MATCH(G193,'MAR 2e graad'!$A$2:$A$58,0))</f>
        <v/>
      </c>
      <c r="I193" s="13">
        <f>INDEX('MAR 2e graad'!$C$2:$C$58,MATCH(G193,'MAR 2e graad'!$A$2:$A$58,0))</f>
        <v/>
      </c>
      <c r="J193" s="13">
        <f>IF(OR(I193="A",I193="K"),IF(K193&gt;0,"+","-"),IF(L193&gt;0,"+","-"))</f>
        <v/>
      </c>
      <c r="K193" s="14" t="n"/>
      <c r="L193" s="14" t="n">
        <v>2000</v>
      </c>
      <c r="M193" s="13" t="inlineStr">
        <is>
          <t>de vordering (bancontact) daalt</t>
        </is>
      </c>
      <c r="N193" s="13" t="inlineStr">
        <is>
          <t>nee</t>
        </is>
      </c>
    </row>
    <row r="194">
      <c r="A194" s="12" t="n">
        <v>193</v>
      </c>
      <c r="B194" s="16" t="n">
        <v>46548</v>
      </c>
      <c r="C194" s="6" t="inlineStr">
        <is>
          <t>K2</t>
        </is>
      </c>
      <c r="D194" s="13" t="inlineStr">
        <is>
          <t>K2</t>
        </is>
      </c>
      <c r="E194" s="13" t="inlineStr">
        <is>
          <t>U2027-12/3</t>
        </is>
      </c>
      <c r="F194" s="13" t="inlineStr">
        <is>
          <t>uittreksel U2027-12/3</t>
        </is>
      </c>
      <c r="G194" s="13" t="n">
        <v>550000</v>
      </c>
      <c r="H194" s="13">
        <f>INDEX('MAR 2e graad'!$B$2:$B$58,MATCH(G194,'MAR 2e graad'!$A$2:$A$58,0))</f>
        <v/>
      </c>
      <c r="I194" s="13">
        <f>INDEX('MAR 2e graad'!$C$2:$C$58,MATCH(G194,'MAR 2e graad'!$A$2:$A$58,0))</f>
        <v/>
      </c>
      <c r="J194" s="13">
        <f>IF(OR(I194="A",I194="K"),IF(K194&gt;0,"+","-"),IF(L194&gt;0,"+","-"))</f>
        <v/>
      </c>
      <c r="K194" s="14" t="n">
        <v>3004</v>
      </c>
      <c r="L194" s="14" t="n"/>
      <c r="M194" s="13" t="inlineStr">
        <is>
          <t>de bank stijgt</t>
        </is>
      </c>
      <c r="N194" s="13" t="inlineStr">
        <is>
          <t>nee</t>
        </is>
      </c>
    </row>
    <row r="195">
      <c r="A195" s="12" t="n">
        <v>194</v>
      </c>
      <c r="B195" s="16" t="n">
        <v>46548</v>
      </c>
      <c r="C195" s="6" t="inlineStr">
        <is>
          <t>K2</t>
        </is>
      </c>
      <c r="D195" s="13" t="inlineStr">
        <is>
          <t>K2</t>
        </is>
      </c>
      <c r="E195" s="13" t="inlineStr">
        <is>
          <t>U2027-12/3</t>
        </is>
      </c>
      <c r="F195" s="13" t="inlineStr">
        <is>
          <t>uittreksel U2027-12/3</t>
        </is>
      </c>
      <c r="G195" s="13" t="n">
        <v>400000</v>
      </c>
      <c r="H195" s="13">
        <f>INDEX('MAR 2e graad'!$B$2:$B$58,MATCH(G195,'MAR 2e graad'!$A$2:$A$58,0))</f>
        <v/>
      </c>
      <c r="I195" s="13">
        <f>INDEX('MAR 2e graad'!$C$2:$C$58,MATCH(G195,'MAR 2e graad'!$A$2:$A$58,0))</f>
        <v/>
      </c>
      <c r="J195" s="13">
        <f>IF(OR(I195="A",I195="K"),IF(K195&gt;0,"+","-"),IF(L195&gt;0,"+","-"))</f>
        <v/>
      </c>
      <c r="K195" s="14" t="n"/>
      <c r="L195" s="14" t="n">
        <v>3004</v>
      </c>
      <c r="M195" s="13" t="inlineStr">
        <is>
          <t>de vordering op de klant daalt</t>
        </is>
      </c>
      <c r="N195" s="13" t="inlineStr">
        <is>
          <t>nee</t>
        </is>
      </c>
    </row>
    <row r="196">
      <c r="A196" s="12" t="n">
        <v>195</v>
      </c>
      <c r="B196" s="16" t="n">
        <v>46559</v>
      </c>
      <c r="C196" s="6" t="inlineStr">
        <is>
          <t>K2</t>
        </is>
      </c>
      <c r="D196" s="13" t="inlineStr">
        <is>
          <t>K2</t>
        </is>
      </c>
      <c r="E196" s="13" t="inlineStr">
        <is>
          <t>J2Q2CV2</t>
        </is>
      </c>
      <c r="F196" s="13" t="inlineStr">
        <is>
          <t>CN-2027-005</t>
        </is>
      </c>
      <c r="G196" s="13" t="n">
        <v>400000</v>
      </c>
      <c r="H196" s="13">
        <f>INDEX('MAR 2e graad'!$B$2:$B$58,MATCH(G196,'MAR 2e graad'!$A$2:$A$58,0))</f>
        <v/>
      </c>
      <c r="I196" s="13">
        <f>INDEX('MAR 2e graad'!$C$2:$C$58,MATCH(G196,'MAR 2e graad'!$A$2:$A$58,0))</f>
        <v/>
      </c>
      <c r="J196" s="13">
        <f>IF(OR(I196="A",I196="K"),IF(K196&gt;0,"+","-"),IF(L196&gt;0,"+","-"))</f>
        <v/>
      </c>
      <c r="K196" s="14" t="n"/>
      <c r="L196" s="14" t="n">
        <v>100</v>
      </c>
      <c r="M196" s="13" t="inlineStr">
        <is>
          <t>de vordering op de klant daalt</t>
        </is>
      </c>
      <c r="N196" s="13" t="inlineStr">
        <is>
          <t>nee</t>
        </is>
      </c>
    </row>
    <row r="197">
      <c r="A197" s="12" t="n">
        <v>196</v>
      </c>
      <c r="B197" s="16" t="n">
        <v>46559</v>
      </c>
      <c r="C197" s="6" t="inlineStr">
        <is>
          <t>K2</t>
        </is>
      </c>
      <c r="D197" s="13" t="inlineStr">
        <is>
          <t>K2</t>
        </is>
      </c>
      <c r="E197" s="13" t="inlineStr">
        <is>
          <t>J2Q2CV2</t>
        </is>
      </c>
      <c r="F197" s="13" t="inlineStr">
        <is>
          <t>CN-2027-005</t>
        </is>
      </c>
      <c r="G197" s="13" t="n">
        <v>488000</v>
      </c>
      <c r="H197" s="13">
        <f>INDEX('MAR 2e graad'!$B$2:$B$58,MATCH(G197,'MAR 2e graad'!$A$2:$A$58,0))</f>
        <v/>
      </c>
      <c r="I197" s="13">
        <f>INDEX('MAR 2e graad'!$C$2:$C$58,MATCH(G197,'MAR 2e graad'!$A$2:$A$58,0))</f>
        <v/>
      </c>
      <c r="J197" s="13">
        <f>IF(OR(I197="A",I197="K"),IF(K197&gt;0,"+","-"),IF(L197&gt;0,"+","-"))</f>
        <v/>
      </c>
      <c r="K197" s="14" t="n">
        <v>100</v>
      </c>
      <c r="L197" s="14" t="n"/>
      <c r="M197" s="13" t="inlineStr">
        <is>
          <t>de schuld aan de klant (verpakking) daalt</t>
        </is>
      </c>
      <c r="N197" s="13" t="inlineStr">
        <is>
          <t>nee</t>
        </is>
      </c>
    </row>
    <row r="198">
      <c r="A198" s="12" t="n">
        <v>197</v>
      </c>
      <c r="B198" s="16" t="n">
        <v>46562</v>
      </c>
      <c r="C198" s="6" t="inlineStr">
        <is>
          <t>K2</t>
        </is>
      </c>
      <c r="D198" s="13" t="inlineStr">
        <is>
          <t>K2</t>
        </is>
      </c>
      <c r="E198" s="13" t="inlineStr">
        <is>
          <t>J2Q2K1</t>
        </is>
      </c>
      <c r="F198" s="13" t="inlineStr">
        <is>
          <t>KAS-2027-03</t>
        </is>
      </c>
      <c r="G198" s="13" t="n">
        <v>580000</v>
      </c>
      <c r="H198" s="13">
        <f>INDEX('MAR 2e graad'!$B$2:$B$58,MATCH(G198,'MAR 2e graad'!$A$2:$A$58,0))</f>
        <v/>
      </c>
      <c r="I198" s="13">
        <f>INDEX('MAR 2e graad'!$C$2:$C$58,MATCH(G198,'MAR 2e graad'!$A$2:$A$58,0))</f>
        <v/>
      </c>
      <c r="J198" s="13">
        <f>IF(OR(I198="A",I198="K"),IF(K198&gt;0,"+","-"),IF(L198&gt;0,"+","-"))</f>
        <v/>
      </c>
      <c r="K198" s="14" t="n">
        <v>3000</v>
      </c>
      <c r="L198" s="14" t="n"/>
      <c r="M198" s="13" t="inlineStr">
        <is>
          <t>de interne overboeking (onderweg naar de bank) stijgt</t>
        </is>
      </c>
      <c r="N198" s="13" t="inlineStr">
        <is>
          <t>nee</t>
        </is>
      </c>
    </row>
    <row r="199">
      <c r="A199" s="12" t="n">
        <v>198</v>
      </c>
      <c r="B199" s="16" t="n">
        <v>46562</v>
      </c>
      <c r="C199" s="6" t="inlineStr">
        <is>
          <t>K2</t>
        </is>
      </c>
      <c r="D199" s="13" t="inlineStr">
        <is>
          <t>K2</t>
        </is>
      </c>
      <c r="E199" s="13" t="inlineStr">
        <is>
          <t>J2Q2K1</t>
        </is>
      </c>
      <c r="F199" s="13" t="inlineStr">
        <is>
          <t>KAS-2027-03</t>
        </is>
      </c>
      <c r="G199" s="13" t="n">
        <v>570000</v>
      </c>
      <c r="H199" s="13">
        <f>INDEX('MAR 2e graad'!$B$2:$B$58,MATCH(G199,'MAR 2e graad'!$A$2:$A$58,0))</f>
        <v/>
      </c>
      <c r="I199" s="13">
        <f>INDEX('MAR 2e graad'!$C$2:$C$58,MATCH(G199,'MAR 2e graad'!$A$2:$A$58,0))</f>
        <v/>
      </c>
      <c r="J199" s="13">
        <f>IF(OR(I199="A",I199="K"),IF(K199&gt;0,"+","-"),IF(L199&gt;0,"+","-"))</f>
        <v/>
      </c>
      <c r="K199" s="14" t="n"/>
      <c r="L199" s="14" t="n">
        <v>3000</v>
      </c>
      <c r="M199" s="13" t="inlineStr">
        <is>
          <t>de kas daalt</t>
        </is>
      </c>
      <c r="N199" s="13" t="inlineStr">
        <is>
          <t>nee</t>
        </is>
      </c>
    </row>
    <row r="200">
      <c r="A200" s="12" t="n">
        <v>199</v>
      </c>
      <c r="B200" s="16" t="n">
        <v>46563</v>
      </c>
      <c r="C200" s="6" t="inlineStr">
        <is>
          <t>K2</t>
        </is>
      </c>
      <c r="D200" s="13" t="inlineStr">
        <is>
          <t>K2</t>
        </is>
      </c>
      <c r="E200" s="13" t="inlineStr">
        <is>
          <t>U2027-13/1</t>
        </is>
      </c>
      <c r="F200" s="13" t="inlineStr">
        <is>
          <t>uittreksel U2027-13/1</t>
        </is>
      </c>
      <c r="G200" s="13" t="n">
        <v>550000</v>
      </c>
      <c r="H200" s="13">
        <f>INDEX('MAR 2e graad'!$B$2:$B$58,MATCH(G200,'MAR 2e graad'!$A$2:$A$58,0))</f>
        <v/>
      </c>
      <c r="I200" s="13">
        <f>INDEX('MAR 2e graad'!$C$2:$C$58,MATCH(G200,'MAR 2e graad'!$A$2:$A$58,0))</f>
        <v/>
      </c>
      <c r="J200" s="13">
        <f>IF(OR(I200="A",I200="K"),IF(K200&gt;0,"+","-"),IF(L200&gt;0,"+","-"))</f>
        <v/>
      </c>
      <c r="K200" s="14" t="n">
        <v>3000</v>
      </c>
      <c r="L200" s="14" t="n"/>
      <c r="M200" s="13" t="inlineStr">
        <is>
          <t>de bank stijgt</t>
        </is>
      </c>
      <c r="N200" s="13" t="inlineStr">
        <is>
          <t>nee</t>
        </is>
      </c>
    </row>
    <row r="201">
      <c r="A201" s="12" t="n">
        <v>200</v>
      </c>
      <c r="B201" s="16" t="n">
        <v>46563</v>
      </c>
      <c r="C201" s="6" t="inlineStr">
        <is>
          <t>K2</t>
        </is>
      </c>
      <c r="D201" s="13" t="inlineStr">
        <is>
          <t>K2</t>
        </is>
      </c>
      <c r="E201" s="13" t="inlineStr">
        <is>
          <t>U2027-13/1</t>
        </is>
      </c>
      <c r="F201" s="13" t="inlineStr">
        <is>
          <t>uittreksel U2027-13/1</t>
        </is>
      </c>
      <c r="G201" s="13" t="n">
        <v>580000</v>
      </c>
      <c r="H201" s="13">
        <f>INDEX('MAR 2e graad'!$B$2:$B$58,MATCH(G201,'MAR 2e graad'!$A$2:$A$58,0))</f>
        <v/>
      </c>
      <c r="I201" s="13">
        <f>INDEX('MAR 2e graad'!$C$2:$C$58,MATCH(G201,'MAR 2e graad'!$A$2:$A$58,0))</f>
        <v/>
      </c>
      <c r="J201" s="13">
        <f>IF(OR(I201="A",I201="K"),IF(K201&gt;0,"+","-"),IF(L201&gt;0,"+","-"))</f>
        <v/>
      </c>
      <c r="K201" s="14" t="n"/>
      <c r="L201" s="14" t="n">
        <v>3000</v>
      </c>
      <c r="M201" s="13" t="inlineStr">
        <is>
          <t>de interne overboeking daalt</t>
        </is>
      </c>
      <c r="N201" s="13" t="inlineStr">
        <is>
          <t>nee</t>
        </is>
      </c>
    </row>
    <row r="202">
      <c r="A202" s="12" t="n">
        <v>201</v>
      </c>
      <c r="B202" s="16" t="n">
        <v>46563</v>
      </c>
      <c r="C202" s="6" t="inlineStr">
        <is>
          <t>K2</t>
        </is>
      </c>
      <c r="D202" s="13" t="inlineStr">
        <is>
          <t>K2</t>
        </is>
      </c>
      <c r="E202" s="13" t="inlineStr">
        <is>
          <t>U2027-13/2</t>
        </is>
      </c>
      <c r="F202" s="13" t="inlineStr">
        <is>
          <t>uittreksel U2027-13/2</t>
        </is>
      </c>
      <c r="G202" s="13" t="n">
        <v>550000</v>
      </c>
      <c r="H202" s="13">
        <f>INDEX('MAR 2e graad'!$B$2:$B$58,MATCH(G202,'MAR 2e graad'!$A$2:$A$58,0))</f>
        <v/>
      </c>
      <c r="I202" s="13">
        <f>INDEX('MAR 2e graad'!$C$2:$C$58,MATCH(G202,'MAR 2e graad'!$A$2:$A$58,0))</f>
        <v/>
      </c>
      <c r="J202" s="13">
        <f>IF(OR(I202="A",I202="K"),IF(K202&gt;0,"+","-"),IF(L202&gt;0,"+","-"))</f>
        <v/>
      </c>
      <c r="K202" s="14" t="n">
        <v>5808</v>
      </c>
      <c r="L202" s="14" t="n"/>
      <c r="M202" s="13" t="inlineStr">
        <is>
          <t>de bank stijgt</t>
        </is>
      </c>
      <c r="N202" s="13" t="inlineStr">
        <is>
          <t>nee</t>
        </is>
      </c>
    </row>
    <row r="203">
      <c r="A203" s="12" t="n">
        <v>202</v>
      </c>
      <c r="B203" s="16" t="n">
        <v>46563</v>
      </c>
      <c r="C203" s="6" t="inlineStr">
        <is>
          <t>K2</t>
        </is>
      </c>
      <c r="D203" s="13" t="inlineStr">
        <is>
          <t>K2</t>
        </is>
      </c>
      <c r="E203" s="13" t="inlineStr">
        <is>
          <t>U2027-13/2</t>
        </is>
      </c>
      <c r="F203" s="13" t="inlineStr">
        <is>
          <t>uittreksel U2027-13/2</t>
        </is>
      </c>
      <c r="G203" s="13" t="n">
        <v>400000</v>
      </c>
      <c r="H203" s="13">
        <f>INDEX('MAR 2e graad'!$B$2:$B$58,MATCH(G203,'MAR 2e graad'!$A$2:$A$58,0))</f>
        <v/>
      </c>
      <c r="I203" s="13">
        <f>INDEX('MAR 2e graad'!$C$2:$C$58,MATCH(G203,'MAR 2e graad'!$A$2:$A$58,0))</f>
        <v/>
      </c>
      <c r="J203" s="13">
        <f>IF(OR(I203="A",I203="K"),IF(K203&gt;0,"+","-"),IF(L203&gt;0,"+","-"))</f>
        <v/>
      </c>
      <c r="K203" s="14" t="n"/>
      <c r="L203" s="14" t="n">
        <v>5808</v>
      </c>
      <c r="M203" s="13" t="inlineStr">
        <is>
          <t>de vordering op de klant daalt</t>
        </is>
      </c>
      <c r="N203" s="13" t="inlineStr">
        <is>
          <t>nee</t>
        </is>
      </c>
    </row>
    <row r="204">
      <c r="A204" s="12" t="n">
        <v>203</v>
      </c>
      <c r="B204" s="16" t="n">
        <v>46568</v>
      </c>
      <c r="C204" s="6" t="inlineStr">
        <is>
          <t>K2</t>
        </is>
      </c>
      <c r="D204" s="13" t="inlineStr">
        <is>
          <t>K2</t>
        </is>
      </c>
      <c r="E204" s="13" t="inlineStr">
        <is>
          <t>J2BTW2</t>
        </is>
      </c>
      <c r="F204" s="13" t="inlineStr">
        <is>
          <t>J2BTW2</t>
        </is>
      </c>
      <c r="G204" s="13" t="n">
        <v>451100</v>
      </c>
      <c r="H204" s="13">
        <f>INDEX('MAR 2e graad'!$B$2:$B$58,MATCH(G204,'MAR 2e graad'!$A$2:$A$58,0))</f>
        <v/>
      </c>
      <c r="I204" s="13">
        <f>INDEX('MAR 2e graad'!$C$2:$C$58,MATCH(G204,'MAR 2e graad'!$A$2:$A$58,0))</f>
        <v/>
      </c>
      <c r="J204" s="13">
        <f>IF(OR(I204="A",I204="K"),IF(K204&gt;0,"+","-"),IF(L204&gt;0,"+","-"))</f>
        <v/>
      </c>
      <c r="K204" s="14" t="n">
        <v>4986</v>
      </c>
      <c r="L204" s="14" t="n"/>
      <c r="M204" s="13" t="inlineStr">
        <is>
          <t>de verschuldigde btw wordt op 0 gezet</t>
        </is>
      </c>
      <c r="N204" s="13" t="inlineStr">
        <is>
          <t>nee</t>
        </is>
      </c>
    </row>
    <row r="205">
      <c r="A205" s="12" t="n">
        <v>204</v>
      </c>
      <c r="B205" s="16" t="n">
        <v>46568</v>
      </c>
      <c r="C205" s="6" t="inlineStr">
        <is>
          <t>K2</t>
        </is>
      </c>
      <c r="D205" s="13" t="inlineStr">
        <is>
          <t>K2</t>
        </is>
      </c>
      <c r="E205" s="13" t="inlineStr">
        <is>
          <t>J2BTW2</t>
        </is>
      </c>
      <c r="F205" s="13" t="inlineStr">
        <is>
          <t>J2BTW2</t>
        </is>
      </c>
      <c r="G205" s="13" t="n">
        <v>451200</v>
      </c>
      <c r="H205" s="13">
        <f>INDEX('MAR 2e graad'!$B$2:$B$58,MATCH(G205,'MAR 2e graad'!$A$2:$A$58,0))</f>
        <v/>
      </c>
      <c r="I205" s="13">
        <f>INDEX('MAR 2e graad'!$C$2:$C$58,MATCH(G205,'MAR 2e graad'!$A$2:$A$58,0))</f>
        <v/>
      </c>
      <c r="J205" s="13">
        <f>IF(OR(I205="A",I205="K"),IF(K205&gt;0,"+","-"),IF(L205&gt;0,"+","-"))</f>
        <v/>
      </c>
      <c r="K205" s="14" t="n">
        <v>378</v>
      </c>
      <c r="L205" s="14" t="n"/>
      <c r="M205" s="13" t="inlineStr">
        <is>
          <t>de verschuldigde btw op inkomende creditnota’s wordt op 0 gezet</t>
        </is>
      </c>
      <c r="N205" s="13" t="inlineStr">
        <is>
          <t>nee</t>
        </is>
      </c>
    </row>
    <row r="206">
      <c r="A206" s="12" t="n">
        <v>205</v>
      </c>
      <c r="B206" s="16" t="n">
        <v>46568</v>
      </c>
      <c r="C206" s="6" t="inlineStr">
        <is>
          <t>K2</t>
        </is>
      </c>
      <c r="D206" s="13" t="inlineStr">
        <is>
          <t>K2</t>
        </is>
      </c>
      <c r="E206" s="13" t="inlineStr">
        <is>
          <t>J2BTW2</t>
        </is>
      </c>
      <c r="F206" s="13" t="inlineStr">
        <is>
          <t>J2BTW2</t>
        </is>
      </c>
      <c r="G206" s="13" t="n">
        <v>411100</v>
      </c>
      <c r="H206" s="13">
        <f>INDEX('MAR 2e graad'!$B$2:$B$58,MATCH(G206,'MAR 2e graad'!$A$2:$A$58,0))</f>
        <v/>
      </c>
      <c r="I206" s="13">
        <f>INDEX('MAR 2e graad'!$C$2:$C$58,MATCH(G206,'MAR 2e graad'!$A$2:$A$58,0))</f>
        <v/>
      </c>
      <c r="J206" s="13">
        <f>IF(OR(I206="A",I206="K"),IF(K206&gt;0,"+","-"),IF(L206&gt;0,"+","-"))</f>
        <v/>
      </c>
      <c r="K206" s="14" t="n"/>
      <c r="L206" s="14" t="n">
        <v>2478</v>
      </c>
      <c r="M206" s="13" t="inlineStr">
        <is>
          <t>de aftrekbare btw wordt op 0 gezet</t>
        </is>
      </c>
      <c r="N206" s="13" t="inlineStr">
        <is>
          <t>nee</t>
        </is>
      </c>
    </row>
    <row r="207">
      <c r="A207" s="12" t="n">
        <v>206</v>
      </c>
      <c r="B207" s="16" t="n">
        <v>46568</v>
      </c>
      <c r="C207" s="6" t="inlineStr">
        <is>
          <t>K2</t>
        </is>
      </c>
      <c r="D207" s="13" t="inlineStr">
        <is>
          <t>K2</t>
        </is>
      </c>
      <c r="E207" s="13" t="inlineStr">
        <is>
          <t>J2BTW2</t>
        </is>
      </c>
      <c r="F207" s="13" t="inlineStr">
        <is>
          <t>J2BTW2</t>
        </is>
      </c>
      <c r="G207" s="13" t="n">
        <v>411200</v>
      </c>
      <c r="H207" s="13">
        <f>INDEX('MAR 2e graad'!$B$2:$B$58,MATCH(G207,'MAR 2e graad'!$A$2:$A$58,0))</f>
        <v/>
      </c>
      <c r="I207" s="13">
        <f>INDEX('MAR 2e graad'!$C$2:$C$58,MATCH(G207,'MAR 2e graad'!$A$2:$A$58,0))</f>
        <v/>
      </c>
      <c r="J207" s="13">
        <f>IF(OR(I207="A",I207="K"),IF(K207&gt;0,"+","-"),IF(L207&gt;0,"+","-"))</f>
        <v/>
      </c>
      <c r="K207" s="14" t="n"/>
      <c r="L207" s="14" t="n">
        <v>189</v>
      </c>
      <c r="M207" s="13" t="inlineStr">
        <is>
          <t>de aftrekbare btw op uitgaande creditnota’s wordt op 0 gezet</t>
        </is>
      </c>
      <c r="N207" s="13" t="inlineStr">
        <is>
          <t>nee</t>
        </is>
      </c>
    </row>
    <row r="208">
      <c r="A208" s="12" t="n">
        <v>207</v>
      </c>
      <c r="B208" s="16" t="n">
        <v>46568</v>
      </c>
      <c r="C208" s="6" t="inlineStr">
        <is>
          <t>K2</t>
        </is>
      </c>
      <c r="D208" s="13" t="inlineStr">
        <is>
          <t>K2</t>
        </is>
      </c>
      <c r="E208" s="13" t="inlineStr">
        <is>
          <t>J2BTW2</t>
        </is>
      </c>
      <c r="F208" s="13" t="inlineStr">
        <is>
          <t>J2BTW2</t>
        </is>
      </c>
      <c r="G208" s="13" t="n">
        <v>411000</v>
      </c>
      <c r="H208" s="13">
        <f>INDEX('MAR 2e graad'!$B$2:$B$58,MATCH(G208,'MAR 2e graad'!$A$2:$A$58,0))</f>
        <v/>
      </c>
      <c r="I208" s="13">
        <f>INDEX('MAR 2e graad'!$C$2:$C$58,MATCH(G208,'MAR 2e graad'!$A$2:$A$58,0))</f>
        <v/>
      </c>
      <c r="J208" s="13">
        <f>IF(OR(I208="A",I208="K"),IF(K208&gt;0,"+","-"),IF(L208&gt;0,"+","-"))</f>
        <v/>
      </c>
      <c r="K208" s="14" t="n"/>
      <c r="L208" s="14" t="n">
        <v>1248</v>
      </c>
      <c r="M208" s="13" t="inlineStr">
        <is>
          <t>het btw-tegoed van het vorige kwartaal wordt verrekend</t>
        </is>
      </c>
      <c r="N208" s="13" t="inlineStr">
        <is>
          <t>nee</t>
        </is>
      </c>
    </row>
    <row r="209">
      <c r="A209" s="12" t="n">
        <v>208</v>
      </c>
      <c r="B209" s="16" t="n">
        <v>46568</v>
      </c>
      <c r="C209" s="6" t="inlineStr">
        <is>
          <t>K2</t>
        </is>
      </c>
      <c r="D209" s="13" t="inlineStr">
        <is>
          <t>K2</t>
        </is>
      </c>
      <c r="E209" s="13" t="inlineStr">
        <is>
          <t>J2BTW2</t>
        </is>
      </c>
      <c r="F209" s="13" t="inlineStr">
        <is>
          <t>J2BTW2</t>
        </is>
      </c>
      <c r="G209" s="13" t="n">
        <v>451000</v>
      </c>
      <c r="H209" s="13">
        <f>INDEX('MAR 2e graad'!$B$2:$B$58,MATCH(G209,'MAR 2e graad'!$A$2:$A$58,0))</f>
        <v/>
      </c>
      <c r="I209" s="13">
        <f>INDEX('MAR 2e graad'!$C$2:$C$58,MATCH(G209,'MAR 2e graad'!$A$2:$A$58,0))</f>
        <v/>
      </c>
      <c r="J209" s="13">
        <f>IF(OR(I209="A",I209="K"),IF(K209&gt;0,"+","-"),IF(L209&gt;0,"+","-"))</f>
        <v/>
      </c>
      <c r="K209" s="14" t="n"/>
      <c r="L209" s="14" t="n">
        <v>1449</v>
      </c>
      <c r="M209" s="13" t="inlineStr">
        <is>
          <t>de te betalen btw stijgt</t>
        </is>
      </c>
      <c r="N209" s="13" t="inlineStr">
        <is>
          <t>nee</t>
        </is>
      </c>
    </row>
    <row r="210">
      <c r="A210" s="12" t="n">
        <v>209</v>
      </c>
      <c r="B210" s="16" t="n">
        <v>46569</v>
      </c>
      <c r="C210" s="7" t="inlineStr">
        <is>
          <t>K3</t>
        </is>
      </c>
      <c r="D210" s="13" t="inlineStr">
        <is>
          <t>K3</t>
        </is>
      </c>
      <c r="E210" s="13" t="inlineStr">
        <is>
          <t>J2Q3A1</t>
        </is>
      </c>
      <c r="F210" s="13" t="inlineStr">
        <is>
          <t>2027-401</t>
        </is>
      </c>
      <c r="G210" s="13" t="n">
        <v>604000</v>
      </c>
      <c r="H210" s="13">
        <f>INDEX('MAR 2e graad'!$B$2:$B$58,MATCH(G210,'MAR 2e graad'!$A$2:$A$58,0))</f>
        <v/>
      </c>
      <c r="I210" s="13">
        <f>INDEX('MAR 2e graad'!$C$2:$C$58,MATCH(G210,'MAR 2e graad'!$A$2:$A$58,0))</f>
        <v/>
      </c>
      <c r="J210" s="13">
        <f>IF(OR(I210="A",I210="K"),IF(K210&gt;0,"+","-"),IF(L210&gt;0,"+","-"))</f>
        <v/>
      </c>
      <c r="K210" s="14" t="n">
        <v>2000</v>
      </c>
      <c r="L210" s="14" t="n"/>
      <c r="M210" s="13" t="inlineStr">
        <is>
          <t>de kosten voor handelsgoederen stijgen</t>
        </is>
      </c>
      <c r="N210" s="13" t="inlineStr">
        <is>
          <t>nee</t>
        </is>
      </c>
    </row>
    <row r="211">
      <c r="A211" s="12" t="n">
        <v>210</v>
      </c>
      <c r="B211" s="16" t="n">
        <v>46569</v>
      </c>
      <c r="C211" s="7" t="inlineStr">
        <is>
          <t>K3</t>
        </is>
      </c>
      <c r="D211" s="13" t="inlineStr">
        <is>
          <t>K3</t>
        </is>
      </c>
      <c r="E211" s="13" t="inlineStr">
        <is>
          <t>J2Q3A1</t>
        </is>
      </c>
      <c r="F211" s="13" t="inlineStr">
        <is>
          <t>2027-401</t>
        </is>
      </c>
      <c r="G211" s="13" t="n">
        <v>604000</v>
      </c>
      <c r="H211" s="13">
        <f>INDEX('MAR 2e graad'!$B$2:$B$58,MATCH(G211,'MAR 2e graad'!$A$2:$A$58,0))</f>
        <v/>
      </c>
      <c r="I211" s="13">
        <f>INDEX('MAR 2e graad'!$C$2:$C$58,MATCH(G211,'MAR 2e graad'!$A$2:$A$58,0))</f>
        <v/>
      </c>
      <c r="J211" s="13">
        <f>IF(OR(I211="A",I211="K"),IF(K211&gt;0,"+","-"),IF(L211&gt;0,"+","-"))</f>
        <v/>
      </c>
      <c r="K211" s="14" t="n">
        <v>3600</v>
      </c>
      <c r="L211" s="14" t="n"/>
      <c r="M211" s="13" t="inlineStr">
        <is>
          <t>de kosten voor handelsgoederen stijgen</t>
        </is>
      </c>
      <c r="N211" s="13" t="inlineStr">
        <is>
          <t>nee</t>
        </is>
      </c>
    </row>
    <row r="212">
      <c r="A212" s="12" t="n">
        <v>211</v>
      </c>
      <c r="B212" s="16" t="n">
        <v>46569</v>
      </c>
      <c r="C212" s="7" t="inlineStr">
        <is>
          <t>K3</t>
        </is>
      </c>
      <c r="D212" s="13" t="inlineStr">
        <is>
          <t>K3</t>
        </is>
      </c>
      <c r="E212" s="13" t="inlineStr">
        <is>
          <t>J2Q3A1</t>
        </is>
      </c>
      <c r="F212" s="13" t="inlineStr">
        <is>
          <t>2027-401</t>
        </is>
      </c>
      <c r="G212" s="13" t="n">
        <v>604000</v>
      </c>
      <c r="H212" s="13">
        <f>INDEX('MAR 2e graad'!$B$2:$B$58,MATCH(G212,'MAR 2e graad'!$A$2:$A$58,0))</f>
        <v/>
      </c>
      <c r="I212" s="13">
        <f>INDEX('MAR 2e graad'!$C$2:$C$58,MATCH(G212,'MAR 2e graad'!$A$2:$A$58,0))</f>
        <v/>
      </c>
      <c r="J212" s="13">
        <f>IF(OR(I212="A",I212="K"),IF(K212&gt;0,"+","-"),IF(L212&gt;0,"+","-"))</f>
        <v/>
      </c>
      <c r="K212" s="14" t="n">
        <v>1400</v>
      </c>
      <c r="L212" s="14" t="n"/>
      <c r="M212" s="13" t="inlineStr">
        <is>
          <t>de kosten voor handelsgoederen stijgen</t>
        </is>
      </c>
      <c r="N212" s="13" t="inlineStr">
        <is>
          <t>nee</t>
        </is>
      </c>
    </row>
    <row r="213">
      <c r="A213" s="12" t="n">
        <v>212</v>
      </c>
      <c r="B213" s="16" t="n">
        <v>46569</v>
      </c>
      <c r="C213" s="7" t="inlineStr">
        <is>
          <t>K3</t>
        </is>
      </c>
      <c r="D213" s="13" t="inlineStr">
        <is>
          <t>K3</t>
        </is>
      </c>
      <c r="E213" s="13" t="inlineStr">
        <is>
          <t>J2Q3A1</t>
        </is>
      </c>
      <c r="F213" s="13" t="inlineStr">
        <is>
          <t>2027-401</t>
        </is>
      </c>
      <c r="G213" s="13" t="n">
        <v>604020</v>
      </c>
      <c r="H213" s="13">
        <f>INDEX('MAR 2e graad'!$B$2:$B$58,MATCH(G213,'MAR 2e graad'!$A$2:$A$58,0))</f>
        <v/>
      </c>
      <c r="I213" s="13">
        <f>INDEX('MAR 2e graad'!$C$2:$C$58,MATCH(G213,'MAR 2e graad'!$A$2:$A$58,0))</f>
        <v/>
      </c>
      <c r="J213" s="13">
        <f>IF(OR(I213="A",I213="K"),IF(K213&gt;0,"+","-"),IF(L213&gt;0,"+","-"))</f>
        <v/>
      </c>
      <c r="K213" s="14" t="n"/>
      <c r="L213" s="14" t="n">
        <v>700</v>
      </c>
      <c r="M213" s="13" t="inlineStr">
        <is>
          <t>de handelskorting op aankopen stijgt (kost daalt)</t>
        </is>
      </c>
      <c r="N213" s="13" t="inlineStr">
        <is>
          <t>nee</t>
        </is>
      </c>
    </row>
    <row r="214">
      <c r="A214" s="12" t="n">
        <v>213</v>
      </c>
      <c r="B214" s="16" t="n">
        <v>46569</v>
      </c>
      <c r="C214" s="7" t="inlineStr">
        <is>
          <t>K3</t>
        </is>
      </c>
      <c r="D214" s="13" t="inlineStr">
        <is>
          <t>K3</t>
        </is>
      </c>
      <c r="E214" s="13" t="inlineStr">
        <is>
          <t>J2Q3A1</t>
        </is>
      </c>
      <c r="F214" s="13" t="inlineStr">
        <is>
          <t>2027-401</t>
        </is>
      </c>
      <c r="G214" s="13" t="n">
        <v>411100</v>
      </c>
      <c r="H214" s="13">
        <f>INDEX('MAR 2e graad'!$B$2:$B$58,MATCH(G214,'MAR 2e graad'!$A$2:$A$58,0))</f>
        <v/>
      </c>
      <c r="I214" s="13">
        <f>INDEX('MAR 2e graad'!$C$2:$C$58,MATCH(G214,'MAR 2e graad'!$A$2:$A$58,0))</f>
        <v/>
      </c>
      <c r="J214" s="13">
        <f>IF(OR(I214="A",I214="K"),IF(K214&gt;0,"+","-"),IF(L214&gt;0,"+","-"))</f>
        <v/>
      </c>
      <c r="K214" s="14" t="n">
        <v>1323</v>
      </c>
      <c r="L214" s="14" t="n"/>
      <c r="M214" s="13" t="inlineStr">
        <is>
          <t>de vordering op de overheid (aftrekbare btw) stijgt</t>
        </is>
      </c>
      <c r="N214" s="13" t="inlineStr">
        <is>
          <t>nee</t>
        </is>
      </c>
    </row>
    <row r="215">
      <c r="A215" s="12" t="n">
        <v>214</v>
      </c>
      <c r="B215" s="16" t="n">
        <v>46569</v>
      </c>
      <c r="C215" s="7" t="inlineStr">
        <is>
          <t>K3</t>
        </is>
      </c>
      <c r="D215" s="13" t="inlineStr">
        <is>
          <t>K3</t>
        </is>
      </c>
      <c r="E215" s="13" t="inlineStr">
        <is>
          <t>J2Q3A1</t>
        </is>
      </c>
      <c r="F215" s="13" t="inlineStr">
        <is>
          <t>2027-401</t>
        </is>
      </c>
      <c r="G215" s="13" t="n">
        <v>440000</v>
      </c>
      <c r="H215" s="13">
        <f>INDEX('MAR 2e graad'!$B$2:$B$58,MATCH(G215,'MAR 2e graad'!$A$2:$A$58,0))</f>
        <v/>
      </c>
      <c r="I215" s="13">
        <f>INDEX('MAR 2e graad'!$C$2:$C$58,MATCH(G215,'MAR 2e graad'!$A$2:$A$58,0))</f>
        <v/>
      </c>
      <c r="J215" s="13">
        <f>IF(OR(I215="A",I215="K"),IF(K215&gt;0,"+","-"),IF(L215&gt;0,"+","-"))</f>
        <v/>
      </c>
      <c r="K215" s="14" t="n"/>
      <c r="L215" s="14" t="n">
        <v>7623</v>
      </c>
      <c r="M215" s="13" t="inlineStr">
        <is>
          <t>de schuld aan de leverancier stijgt</t>
        </is>
      </c>
      <c r="N215" s="13" t="inlineStr">
        <is>
          <t>nee</t>
        </is>
      </c>
    </row>
    <row r="216">
      <c r="A216" s="12" t="n">
        <v>215</v>
      </c>
      <c r="B216" s="16" t="n">
        <v>46573</v>
      </c>
      <c r="C216" s="7" t="inlineStr">
        <is>
          <t>K3</t>
        </is>
      </c>
      <c r="D216" s="13" t="inlineStr">
        <is>
          <t>K3</t>
        </is>
      </c>
      <c r="E216" s="13" t="inlineStr">
        <is>
          <t>J2A2</t>
        </is>
      </c>
      <c r="F216" s="13" t="inlineStr">
        <is>
          <t>GM-2027-119</t>
        </is>
      </c>
      <c r="G216" s="13" t="n">
        <v>241000</v>
      </c>
      <c r="H216" s="13">
        <f>INDEX('MAR 2e graad'!$B$2:$B$58,MATCH(G216,'MAR 2e graad'!$A$2:$A$58,0))</f>
        <v/>
      </c>
      <c r="I216" s="13">
        <f>INDEX('MAR 2e graad'!$C$2:$C$58,MATCH(G216,'MAR 2e graad'!$A$2:$A$58,0))</f>
        <v/>
      </c>
      <c r="J216" s="13">
        <f>IF(OR(I216="A",I216="K"),IF(K216&gt;0,"+","-"),IF(L216&gt;0,"+","-"))</f>
        <v/>
      </c>
      <c r="K216" s="14" t="n">
        <v>24000</v>
      </c>
      <c r="L216" s="14" t="n"/>
      <c r="M216" s="13" t="inlineStr">
        <is>
          <t>het vast actief stijgt</t>
        </is>
      </c>
      <c r="N216" s="13" t="inlineStr">
        <is>
          <t>nee</t>
        </is>
      </c>
    </row>
    <row r="217">
      <c r="A217" s="12" t="n">
        <v>216</v>
      </c>
      <c r="B217" s="16" t="n">
        <v>46573</v>
      </c>
      <c r="C217" s="7" t="inlineStr">
        <is>
          <t>K3</t>
        </is>
      </c>
      <c r="D217" s="13" t="inlineStr">
        <is>
          <t>K3</t>
        </is>
      </c>
      <c r="E217" s="13" t="inlineStr">
        <is>
          <t>J2A2</t>
        </is>
      </c>
      <c r="F217" s="13" t="inlineStr">
        <is>
          <t>GM-2027-119</t>
        </is>
      </c>
      <c r="G217" s="13" t="n">
        <v>411100</v>
      </c>
      <c r="H217" s="13">
        <f>INDEX('MAR 2e graad'!$B$2:$B$58,MATCH(G217,'MAR 2e graad'!$A$2:$A$58,0))</f>
        <v/>
      </c>
      <c r="I217" s="13">
        <f>INDEX('MAR 2e graad'!$C$2:$C$58,MATCH(G217,'MAR 2e graad'!$A$2:$A$58,0))</f>
        <v/>
      </c>
      <c r="J217" s="13">
        <f>IF(OR(I217="A",I217="K"),IF(K217&gt;0,"+","-"),IF(L217&gt;0,"+","-"))</f>
        <v/>
      </c>
      <c r="K217" s="14" t="n">
        <v>5040</v>
      </c>
      <c r="L217" s="14" t="n"/>
      <c r="M217" s="13" t="inlineStr">
        <is>
          <t>de vordering op de overheid (aftrekbare btw) stijgt</t>
        </is>
      </c>
      <c r="N217" s="13" t="inlineStr">
        <is>
          <t>nee</t>
        </is>
      </c>
    </row>
    <row r="218">
      <c r="A218" s="12" t="n">
        <v>217</v>
      </c>
      <c r="B218" s="16" t="n">
        <v>46573</v>
      </c>
      <c r="C218" s="7" t="inlineStr">
        <is>
          <t>K3</t>
        </is>
      </c>
      <c r="D218" s="13" t="inlineStr">
        <is>
          <t>K3</t>
        </is>
      </c>
      <c r="E218" s="13" t="inlineStr">
        <is>
          <t>J2A2</t>
        </is>
      </c>
      <c r="F218" s="13" t="inlineStr">
        <is>
          <t>GM-2027-119</t>
        </is>
      </c>
      <c r="G218" s="13" t="n">
        <v>440000</v>
      </c>
      <c r="H218" s="13">
        <f>INDEX('MAR 2e graad'!$B$2:$B$58,MATCH(G218,'MAR 2e graad'!$A$2:$A$58,0))</f>
        <v/>
      </c>
      <c r="I218" s="13">
        <f>INDEX('MAR 2e graad'!$C$2:$C$58,MATCH(G218,'MAR 2e graad'!$A$2:$A$58,0))</f>
        <v/>
      </c>
      <c r="J218" s="13">
        <f>IF(OR(I218="A",I218="K"),IF(K218&gt;0,"+","-"),IF(L218&gt;0,"+","-"))</f>
        <v/>
      </c>
      <c r="K218" s="14" t="n"/>
      <c r="L218" s="14" t="n">
        <v>29040</v>
      </c>
      <c r="M218" s="13" t="inlineStr">
        <is>
          <t>de schuld aan de leverancier stijgt</t>
        </is>
      </c>
      <c r="N218" s="13" t="inlineStr">
        <is>
          <t>nee</t>
        </is>
      </c>
    </row>
    <row r="219">
      <c r="A219" s="12" t="n">
        <v>218</v>
      </c>
      <c r="B219" s="16" t="n">
        <v>46574</v>
      </c>
      <c r="C219" s="7" t="inlineStr">
        <is>
          <t>K3</t>
        </is>
      </c>
      <c r="D219" s="13" t="inlineStr">
        <is>
          <t>K3</t>
        </is>
      </c>
      <c r="E219" s="13" t="inlineStr">
        <is>
          <t>J2Q3V1</t>
        </is>
      </c>
      <c r="F219" s="13" t="inlineStr">
        <is>
          <t>2027-015</t>
        </is>
      </c>
      <c r="G219" s="13" t="n">
        <v>400000</v>
      </c>
      <c r="H219" s="13">
        <f>INDEX('MAR 2e graad'!$B$2:$B$58,MATCH(G219,'MAR 2e graad'!$A$2:$A$58,0))</f>
        <v/>
      </c>
      <c r="I219" s="13">
        <f>INDEX('MAR 2e graad'!$C$2:$C$58,MATCH(G219,'MAR 2e graad'!$A$2:$A$58,0))</f>
        <v/>
      </c>
      <c r="J219" s="13">
        <f>IF(OR(I219="A",I219="K"),IF(K219&gt;0,"+","-"),IF(L219&gt;0,"+","-"))</f>
        <v/>
      </c>
      <c r="K219" s="14" t="n">
        <v>4598</v>
      </c>
      <c r="L219" s="14" t="n"/>
      <c r="M219" s="13" t="inlineStr">
        <is>
          <t>de vordering op de klant stijgt</t>
        </is>
      </c>
      <c r="N219" s="13" t="inlineStr">
        <is>
          <t>nee</t>
        </is>
      </c>
    </row>
    <row r="220">
      <c r="A220" s="12" t="n">
        <v>219</v>
      </c>
      <c r="B220" s="16" t="n">
        <v>46574</v>
      </c>
      <c r="C220" s="7" t="inlineStr">
        <is>
          <t>K3</t>
        </is>
      </c>
      <c r="D220" s="13" t="inlineStr">
        <is>
          <t>K3</t>
        </is>
      </c>
      <c r="E220" s="13" t="inlineStr">
        <is>
          <t>J2Q3V1</t>
        </is>
      </c>
      <c r="F220" s="13" t="inlineStr">
        <is>
          <t>2027-015</t>
        </is>
      </c>
      <c r="G220" s="13" t="n">
        <v>704000</v>
      </c>
      <c r="H220" s="13">
        <f>INDEX('MAR 2e graad'!$B$2:$B$58,MATCH(G220,'MAR 2e graad'!$A$2:$A$58,0))</f>
        <v/>
      </c>
      <c r="I220" s="13">
        <f>INDEX('MAR 2e graad'!$C$2:$C$58,MATCH(G220,'MAR 2e graad'!$A$2:$A$58,0))</f>
        <v/>
      </c>
      <c r="J220" s="13">
        <f>IF(OR(I220="A",I220="K"),IF(K220&gt;0,"+","-"),IF(L220&gt;0,"+","-"))</f>
        <v/>
      </c>
      <c r="K220" s="14" t="n"/>
      <c r="L220" s="14" t="n">
        <v>3600</v>
      </c>
      <c r="M220" s="13" t="inlineStr">
        <is>
          <t>de omzet stijgt</t>
        </is>
      </c>
      <c r="N220" s="13" t="inlineStr">
        <is>
          <t>nee</t>
        </is>
      </c>
    </row>
    <row r="221">
      <c r="A221" s="12" t="n">
        <v>220</v>
      </c>
      <c r="B221" s="16" t="n">
        <v>46574</v>
      </c>
      <c r="C221" s="7" t="inlineStr">
        <is>
          <t>K3</t>
        </is>
      </c>
      <c r="D221" s="13" t="inlineStr">
        <is>
          <t>K3</t>
        </is>
      </c>
      <c r="E221" s="13" t="inlineStr">
        <is>
          <t>J2Q3V1</t>
        </is>
      </c>
      <c r="F221" s="13" t="inlineStr">
        <is>
          <t>2027-015</t>
        </is>
      </c>
      <c r="G221" s="13" t="n">
        <v>704000</v>
      </c>
      <c r="H221" s="13">
        <f>INDEX('MAR 2e graad'!$B$2:$B$58,MATCH(G221,'MAR 2e graad'!$A$2:$A$58,0))</f>
        <v/>
      </c>
      <c r="I221" s="13">
        <f>INDEX('MAR 2e graad'!$C$2:$C$58,MATCH(G221,'MAR 2e graad'!$A$2:$A$58,0))</f>
        <v/>
      </c>
      <c r="J221" s="13">
        <f>IF(OR(I221="A",I221="K"),IF(K221&gt;0,"+","-"),IF(L221&gt;0,"+","-"))</f>
        <v/>
      </c>
      <c r="K221" s="14" t="n"/>
      <c r="L221" s="14" t="n">
        <v>400</v>
      </c>
      <c r="M221" s="13" t="inlineStr">
        <is>
          <t>de omzet stijgt</t>
        </is>
      </c>
      <c r="N221" s="13" t="inlineStr">
        <is>
          <t>nee</t>
        </is>
      </c>
    </row>
    <row r="222">
      <c r="A222" s="12" t="n">
        <v>221</v>
      </c>
      <c r="B222" s="16" t="n">
        <v>46574</v>
      </c>
      <c r="C222" s="7" t="inlineStr">
        <is>
          <t>K3</t>
        </is>
      </c>
      <c r="D222" s="13" t="inlineStr">
        <is>
          <t>K3</t>
        </is>
      </c>
      <c r="E222" s="13" t="inlineStr">
        <is>
          <t>J2Q3V1</t>
        </is>
      </c>
      <c r="F222" s="13" t="inlineStr">
        <is>
          <t>2027-015</t>
        </is>
      </c>
      <c r="G222" s="13" t="n">
        <v>704020</v>
      </c>
      <c r="H222" s="13">
        <f>INDEX('MAR 2e graad'!$B$2:$B$58,MATCH(G222,'MAR 2e graad'!$A$2:$A$58,0))</f>
        <v/>
      </c>
      <c r="I222" s="13">
        <f>INDEX('MAR 2e graad'!$C$2:$C$58,MATCH(G222,'MAR 2e graad'!$A$2:$A$58,0))</f>
        <v/>
      </c>
      <c r="J222" s="13">
        <f>IF(OR(I222="A",I222="K"),IF(K222&gt;0,"+","-"),IF(L222&gt;0,"+","-"))</f>
        <v/>
      </c>
      <c r="K222" s="14" t="n">
        <v>200</v>
      </c>
      <c r="L222" s="14" t="n"/>
      <c r="M222" s="13" t="inlineStr">
        <is>
          <t>de handelskorting op verkopen stijgt (omzet daalt)</t>
        </is>
      </c>
      <c r="N222" s="13" t="inlineStr">
        <is>
          <t>nee</t>
        </is>
      </c>
    </row>
    <row r="223">
      <c r="A223" s="12" t="n">
        <v>222</v>
      </c>
      <c r="B223" s="16" t="n">
        <v>46574</v>
      </c>
      <c r="C223" s="7" t="inlineStr">
        <is>
          <t>K3</t>
        </is>
      </c>
      <c r="D223" s="13" t="inlineStr">
        <is>
          <t>K3</t>
        </is>
      </c>
      <c r="E223" s="13" t="inlineStr">
        <is>
          <t>J2Q3V1</t>
        </is>
      </c>
      <c r="F223" s="13" t="inlineStr">
        <is>
          <t>2027-015</t>
        </is>
      </c>
      <c r="G223" s="13" t="n">
        <v>451100</v>
      </c>
      <c r="H223" s="13">
        <f>INDEX('MAR 2e graad'!$B$2:$B$58,MATCH(G223,'MAR 2e graad'!$A$2:$A$58,0))</f>
        <v/>
      </c>
      <c r="I223" s="13">
        <f>INDEX('MAR 2e graad'!$C$2:$C$58,MATCH(G223,'MAR 2e graad'!$A$2:$A$58,0))</f>
        <v/>
      </c>
      <c r="J223" s="13">
        <f>IF(OR(I223="A",I223="K"),IF(K223&gt;0,"+","-"),IF(L223&gt;0,"+","-"))</f>
        <v/>
      </c>
      <c r="K223" s="14" t="n"/>
      <c r="L223" s="14" t="n">
        <v>798</v>
      </c>
      <c r="M223" s="13" t="inlineStr">
        <is>
          <t>de schuld aan de overheid (verschuldigde btw) stijgt</t>
        </is>
      </c>
      <c r="N223" s="13" t="inlineStr">
        <is>
          <t>nee</t>
        </is>
      </c>
    </row>
    <row r="224">
      <c r="A224" s="12" t="n">
        <v>223</v>
      </c>
      <c r="B224" s="16" t="n">
        <v>46578</v>
      </c>
      <c r="C224" s="7" t="inlineStr">
        <is>
          <t>K3</t>
        </is>
      </c>
      <c r="D224" s="13" t="inlineStr">
        <is>
          <t>K3</t>
        </is>
      </c>
      <c r="E224" s="13" t="inlineStr">
        <is>
          <t>J2Q3CA1</t>
        </is>
      </c>
      <c r="F224" s="13" t="inlineStr">
        <is>
          <t>CN-2027-044</t>
        </is>
      </c>
      <c r="G224" s="13" t="n">
        <v>604010</v>
      </c>
      <c r="H224" s="13">
        <f>INDEX('MAR 2e graad'!$B$2:$B$58,MATCH(G224,'MAR 2e graad'!$A$2:$A$58,0))</f>
        <v/>
      </c>
      <c r="I224" s="13">
        <f>INDEX('MAR 2e graad'!$C$2:$C$58,MATCH(G224,'MAR 2e graad'!$A$2:$A$58,0))</f>
        <v/>
      </c>
      <c r="J224" s="13">
        <f>IF(OR(I224="A",I224="K"),IF(K224&gt;0,"+","-"),IF(L224&gt;0,"+","-"))</f>
        <v/>
      </c>
      <c r="K224" s="14" t="n"/>
      <c r="L224" s="14" t="n">
        <v>1800</v>
      </c>
      <c r="M224" s="13" t="inlineStr">
        <is>
          <t>de kosten voor handelsgoederen dalen (retour)</t>
        </is>
      </c>
      <c r="N224" s="13" t="inlineStr">
        <is>
          <t>nee</t>
        </is>
      </c>
    </row>
    <row r="225">
      <c r="A225" s="12" t="n">
        <v>224</v>
      </c>
      <c r="B225" s="16" t="n">
        <v>46578</v>
      </c>
      <c r="C225" s="7" t="inlineStr">
        <is>
          <t>K3</t>
        </is>
      </c>
      <c r="D225" s="13" t="inlineStr">
        <is>
          <t>K3</t>
        </is>
      </c>
      <c r="E225" s="13" t="inlineStr">
        <is>
          <t>J2Q3CA1</t>
        </is>
      </c>
      <c r="F225" s="13" t="inlineStr">
        <is>
          <t>CN-2027-044</t>
        </is>
      </c>
      <c r="G225" s="13" t="n">
        <v>604010</v>
      </c>
      <c r="H225" s="13">
        <f>INDEX('MAR 2e graad'!$B$2:$B$58,MATCH(G225,'MAR 2e graad'!$A$2:$A$58,0))</f>
        <v/>
      </c>
      <c r="I225" s="13">
        <f>INDEX('MAR 2e graad'!$C$2:$C$58,MATCH(G225,'MAR 2e graad'!$A$2:$A$58,0))</f>
        <v/>
      </c>
      <c r="J225" s="13">
        <f>IF(OR(I225="A",I225="K"),IF(K225&gt;0,"+","-"),IF(L225&gt;0,"+","-"))</f>
        <v/>
      </c>
      <c r="K225" s="14" t="n"/>
      <c r="L225" s="14" t="n">
        <v>1200</v>
      </c>
      <c r="M225" s="13" t="inlineStr">
        <is>
          <t>de kosten voor handelsgoederen dalen (retour)</t>
        </is>
      </c>
      <c r="N225" s="13" t="inlineStr">
        <is>
          <t>nee</t>
        </is>
      </c>
    </row>
    <row r="226">
      <c r="A226" s="12" t="n">
        <v>225</v>
      </c>
      <c r="B226" s="16" t="n">
        <v>46578</v>
      </c>
      <c r="C226" s="7" t="inlineStr">
        <is>
          <t>K3</t>
        </is>
      </c>
      <c r="D226" s="13" t="inlineStr">
        <is>
          <t>K3</t>
        </is>
      </c>
      <c r="E226" s="13" t="inlineStr">
        <is>
          <t>J2Q3CA1</t>
        </is>
      </c>
      <c r="F226" s="13" t="inlineStr">
        <is>
          <t>CN-2027-044</t>
        </is>
      </c>
      <c r="G226" s="13" t="n">
        <v>604020</v>
      </c>
      <c r="H226" s="13">
        <f>INDEX('MAR 2e graad'!$B$2:$B$58,MATCH(G226,'MAR 2e graad'!$A$2:$A$58,0))</f>
        <v/>
      </c>
      <c r="I226" s="13">
        <f>INDEX('MAR 2e graad'!$C$2:$C$58,MATCH(G226,'MAR 2e graad'!$A$2:$A$58,0))</f>
        <v/>
      </c>
      <c r="J226" s="13">
        <f>IF(OR(I226="A",I226="K"),IF(K226&gt;0,"+","-"),IF(L226&gt;0,"+","-"))</f>
        <v/>
      </c>
      <c r="K226" s="14" t="n">
        <v>300</v>
      </c>
      <c r="L226" s="14" t="n"/>
      <c r="M226" s="13" t="inlineStr">
        <is>
          <t>de handelskorting op aankopen daalt (kost stijgt)</t>
        </is>
      </c>
      <c r="N226" s="13" t="inlineStr">
        <is>
          <t>nee</t>
        </is>
      </c>
    </row>
    <row r="227">
      <c r="A227" s="12" t="n">
        <v>226</v>
      </c>
      <c r="B227" s="16" t="n">
        <v>46578</v>
      </c>
      <c r="C227" s="7" t="inlineStr">
        <is>
          <t>K3</t>
        </is>
      </c>
      <c r="D227" s="13" t="inlineStr">
        <is>
          <t>K3</t>
        </is>
      </c>
      <c r="E227" s="13" t="inlineStr">
        <is>
          <t>J2Q3CA1</t>
        </is>
      </c>
      <c r="F227" s="13" t="inlineStr">
        <is>
          <t>CN-2027-044</t>
        </is>
      </c>
      <c r="G227" s="13" t="n">
        <v>451200</v>
      </c>
      <c r="H227" s="13">
        <f>INDEX('MAR 2e graad'!$B$2:$B$58,MATCH(G227,'MAR 2e graad'!$A$2:$A$58,0))</f>
        <v/>
      </c>
      <c r="I227" s="13">
        <f>INDEX('MAR 2e graad'!$C$2:$C$58,MATCH(G227,'MAR 2e graad'!$A$2:$A$58,0))</f>
        <v/>
      </c>
      <c r="J227" s="13">
        <f>IF(OR(I227="A",I227="K"),IF(K227&gt;0,"+","-"),IF(L227&gt;0,"+","-"))</f>
        <v/>
      </c>
      <c r="K227" s="14" t="n"/>
      <c r="L227" s="14" t="n">
        <v>567</v>
      </c>
      <c r="M227" s="13" t="inlineStr">
        <is>
          <t>de schuld aan de overheid stijgt (btw op inkomende creditnota)</t>
        </is>
      </c>
      <c r="N227" s="13" t="inlineStr">
        <is>
          <t>nee</t>
        </is>
      </c>
    </row>
    <row r="228">
      <c r="A228" s="12" t="n">
        <v>227</v>
      </c>
      <c r="B228" s="16" t="n">
        <v>46578</v>
      </c>
      <c r="C228" s="7" t="inlineStr">
        <is>
          <t>K3</t>
        </is>
      </c>
      <c r="D228" s="13" t="inlineStr">
        <is>
          <t>K3</t>
        </is>
      </c>
      <c r="E228" s="13" t="inlineStr">
        <is>
          <t>J2Q3CA1</t>
        </is>
      </c>
      <c r="F228" s="13" t="inlineStr">
        <is>
          <t>CN-2027-044</t>
        </is>
      </c>
      <c r="G228" s="13" t="n">
        <v>440000</v>
      </c>
      <c r="H228" s="13">
        <f>INDEX('MAR 2e graad'!$B$2:$B$58,MATCH(G228,'MAR 2e graad'!$A$2:$A$58,0))</f>
        <v/>
      </c>
      <c r="I228" s="13">
        <f>INDEX('MAR 2e graad'!$C$2:$C$58,MATCH(G228,'MAR 2e graad'!$A$2:$A$58,0))</f>
        <v/>
      </c>
      <c r="J228" s="13">
        <f>IF(OR(I228="A",I228="K"),IF(K228&gt;0,"+","-"),IF(L228&gt;0,"+","-"))</f>
        <v/>
      </c>
      <c r="K228" s="14" t="n">
        <v>3267</v>
      </c>
      <c r="L228" s="14" t="n"/>
      <c r="M228" s="13" t="inlineStr">
        <is>
          <t>de schuld aan de leverancier daalt</t>
        </is>
      </c>
      <c r="N228" s="13" t="inlineStr">
        <is>
          <t>nee</t>
        </is>
      </c>
    </row>
    <row r="229">
      <c r="A229" s="12" t="n">
        <v>228</v>
      </c>
      <c r="B229" s="16" t="n">
        <v>46580</v>
      </c>
      <c r="C229" s="7" t="inlineStr">
        <is>
          <t>K3</t>
        </is>
      </c>
      <c r="D229" s="13" t="inlineStr">
        <is>
          <t>K3</t>
        </is>
      </c>
      <c r="E229" s="13" t="inlineStr">
        <is>
          <t>J2Q3CV1</t>
        </is>
      </c>
      <c r="F229" s="13" t="inlineStr">
        <is>
          <t>CN-2027-006</t>
        </is>
      </c>
      <c r="G229" s="13" t="n">
        <v>400000</v>
      </c>
      <c r="H229" s="13">
        <f>INDEX('MAR 2e graad'!$B$2:$B$58,MATCH(G229,'MAR 2e graad'!$A$2:$A$58,0))</f>
        <v/>
      </c>
      <c r="I229" s="13">
        <f>INDEX('MAR 2e graad'!$C$2:$C$58,MATCH(G229,'MAR 2e graad'!$A$2:$A$58,0))</f>
        <v/>
      </c>
      <c r="J229" s="13">
        <f>IF(OR(I229="A",I229="K"),IF(K229&gt;0,"+","-"),IF(L229&gt;0,"+","-"))</f>
        <v/>
      </c>
      <c r="K229" s="14" t="n"/>
      <c r="L229" s="14" t="n">
        <v>2299</v>
      </c>
      <c r="M229" s="13" t="inlineStr">
        <is>
          <t>de vordering op de klant daalt</t>
        </is>
      </c>
      <c r="N229" s="13" t="inlineStr">
        <is>
          <t>nee</t>
        </is>
      </c>
    </row>
    <row r="230">
      <c r="A230" s="12" t="n">
        <v>229</v>
      </c>
      <c r="B230" s="16" t="n">
        <v>46580</v>
      </c>
      <c r="C230" s="7" t="inlineStr">
        <is>
          <t>K3</t>
        </is>
      </c>
      <c r="D230" s="13" t="inlineStr">
        <is>
          <t>K3</t>
        </is>
      </c>
      <c r="E230" s="13" t="inlineStr">
        <is>
          <t>J2Q3CV1</t>
        </is>
      </c>
      <c r="F230" s="13" t="inlineStr">
        <is>
          <t>CN-2027-006</t>
        </is>
      </c>
      <c r="G230" s="13" t="n">
        <v>704010</v>
      </c>
      <c r="H230" s="13">
        <f>INDEX('MAR 2e graad'!$B$2:$B$58,MATCH(G230,'MAR 2e graad'!$A$2:$A$58,0))</f>
        <v/>
      </c>
      <c r="I230" s="13">
        <f>INDEX('MAR 2e graad'!$C$2:$C$58,MATCH(G230,'MAR 2e graad'!$A$2:$A$58,0))</f>
        <v/>
      </c>
      <c r="J230" s="13">
        <f>IF(OR(I230="A",I230="K"),IF(K230&gt;0,"+","-"),IF(L230&gt;0,"+","-"))</f>
        <v/>
      </c>
      <c r="K230" s="14" t="n">
        <v>1800</v>
      </c>
      <c r="L230" s="14" t="n"/>
      <c r="M230" s="13" t="inlineStr">
        <is>
          <t>de omzet daalt (retour)</t>
        </is>
      </c>
      <c r="N230" s="13" t="inlineStr">
        <is>
          <t>nee</t>
        </is>
      </c>
    </row>
    <row r="231">
      <c r="A231" s="12" t="n">
        <v>230</v>
      </c>
      <c r="B231" s="16" t="n">
        <v>46580</v>
      </c>
      <c r="C231" s="7" t="inlineStr">
        <is>
          <t>K3</t>
        </is>
      </c>
      <c r="D231" s="13" t="inlineStr">
        <is>
          <t>K3</t>
        </is>
      </c>
      <c r="E231" s="13" t="inlineStr">
        <is>
          <t>J2Q3CV1</t>
        </is>
      </c>
      <c r="F231" s="13" t="inlineStr">
        <is>
          <t>CN-2027-006</t>
        </is>
      </c>
      <c r="G231" s="13" t="n">
        <v>704010</v>
      </c>
      <c r="H231" s="13">
        <f>INDEX('MAR 2e graad'!$B$2:$B$58,MATCH(G231,'MAR 2e graad'!$A$2:$A$58,0))</f>
        <v/>
      </c>
      <c r="I231" s="13">
        <f>INDEX('MAR 2e graad'!$C$2:$C$58,MATCH(G231,'MAR 2e graad'!$A$2:$A$58,0))</f>
        <v/>
      </c>
      <c r="J231" s="13">
        <f>IF(OR(I231="A",I231="K"),IF(K231&gt;0,"+","-"),IF(L231&gt;0,"+","-"))</f>
        <v/>
      </c>
      <c r="K231" s="14" t="n">
        <v>200</v>
      </c>
      <c r="L231" s="14" t="n"/>
      <c r="M231" s="13" t="inlineStr">
        <is>
          <t>de omzet daalt (retour)</t>
        </is>
      </c>
      <c r="N231" s="13" t="inlineStr">
        <is>
          <t>nee</t>
        </is>
      </c>
    </row>
    <row r="232">
      <c r="A232" s="12" t="n">
        <v>231</v>
      </c>
      <c r="B232" s="16" t="n">
        <v>46580</v>
      </c>
      <c r="C232" s="7" t="inlineStr">
        <is>
          <t>K3</t>
        </is>
      </c>
      <c r="D232" s="13" t="inlineStr">
        <is>
          <t>K3</t>
        </is>
      </c>
      <c r="E232" s="13" t="inlineStr">
        <is>
          <t>J2Q3CV1</t>
        </is>
      </c>
      <c r="F232" s="13" t="inlineStr">
        <is>
          <t>CN-2027-006</t>
        </is>
      </c>
      <c r="G232" s="13" t="n">
        <v>704020</v>
      </c>
      <c r="H232" s="13">
        <f>INDEX('MAR 2e graad'!$B$2:$B$58,MATCH(G232,'MAR 2e graad'!$A$2:$A$58,0))</f>
        <v/>
      </c>
      <c r="I232" s="13">
        <f>INDEX('MAR 2e graad'!$C$2:$C$58,MATCH(G232,'MAR 2e graad'!$A$2:$A$58,0))</f>
        <v/>
      </c>
      <c r="J232" s="13">
        <f>IF(OR(I232="A",I232="K"),IF(K232&gt;0,"+","-"),IF(L232&gt;0,"+","-"))</f>
        <v/>
      </c>
      <c r="K232" s="14" t="n"/>
      <c r="L232" s="14" t="n">
        <v>100</v>
      </c>
      <c r="M232" s="13" t="inlineStr">
        <is>
          <t>de handelskorting op verkopen daalt (omzet stijgt)</t>
        </is>
      </c>
      <c r="N232" s="13" t="inlineStr">
        <is>
          <t>nee</t>
        </is>
      </c>
    </row>
    <row r="233">
      <c r="A233" s="12" t="n">
        <v>232</v>
      </c>
      <c r="B233" s="16" t="n">
        <v>46580</v>
      </c>
      <c r="C233" s="7" t="inlineStr">
        <is>
          <t>K3</t>
        </is>
      </c>
      <c r="D233" s="13" t="inlineStr">
        <is>
          <t>K3</t>
        </is>
      </c>
      <c r="E233" s="13" t="inlineStr">
        <is>
          <t>J2Q3CV1</t>
        </is>
      </c>
      <c r="F233" s="13" t="inlineStr">
        <is>
          <t>CN-2027-006</t>
        </is>
      </c>
      <c r="G233" s="13" t="n">
        <v>411200</v>
      </c>
      <c r="H233" s="13">
        <f>INDEX('MAR 2e graad'!$B$2:$B$58,MATCH(G233,'MAR 2e graad'!$A$2:$A$58,0))</f>
        <v/>
      </c>
      <c r="I233" s="13">
        <f>INDEX('MAR 2e graad'!$C$2:$C$58,MATCH(G233,'MAR 2e graad'!$A$2:$A$58,0))</f>
        <v/>
      </c>
      <c r="J233" s="13">
        <f>IF(OR(I233="A",I233="K"),IF(K233&gt;0,"+","-"),IF(L233&gt;0,"+","-"))</f>
        <v/>
      </c>
      <c r="K233" s="14" t="n">
        <v>399</v>
      </c>
      <c r="L233" s="14" t="n"/>
      <c r="M233" s="13" t="inlineStr">
        <is>
          <t>de vordering op de overheid stijgt (btw op uitgaande creditnota)</t>
        </is>
      </c>
      <c r="N233" s="13" t="inlineStr">
        <is>
          <t>nee</t>
        </is>
      </c>
    </row>
    <row r="234">
      <c r="A234" s="12" t="n">
        <v>233</v>
      </c>
      <c r="B234" s="16" t="n">
        <v>46588</v>
      </c>
      <c r="C234" s="7" t="inlineStr">
        <is>
          <t>K3</t>
        </is>
      </c>
      <c r="D234" s="13" t="inlineStr">
        <is>
          <t>K3</t>
        </is>
      </c>
      <c r="E234" s="13" t="inlineStr">
        <is>
          <t>J2Q3V2</t>
        </is>
      </c>
      <c r="F234" s="13" t="inlineStr">
        <is>
          <t>2027-016</t>
        </is>
      </c>
      <c r="G234" s="13" t="n">
        <v>400000</v>
      </c>
      <c r="H234" s="13">
        <f>INDEX('MAR 2e graad'!$B$2:$B$58,MATCH(G234,'MAR 2e graad'!$A$2:$A$58,0))</f>
        <v/>
      </c>
      <c r="I234" s="13">
        <f>INDEX('MAR 2e graad'!$C$2:$C$58,MATCH(G234,'MAR 2e graad'!$A$2:$A$58,0))</f>
        <v/>
      </c>
      <c r="J234" s="13">
        <f>IF(OR(I234="A",I234="K"),IF(K234&gt;0,"+","-"),IF(L234&gt;0,"+","-"))</f>
        <v/>
      </c>
      <c r="K234" s="14" t="n">
        <v>4627</v>
      </c>
      <c r="L234" s="14" t="n"/>
      <c r="M234" s="13" t="inlineStr">
        <is>
          <t>de vordering op de klant stijgt</t>
        </is>
      </c>
      <c r="N234" s="13" t="inlineStr">
        <is>
          <t>nee</t>
        </is>
      </c>
    </row>
    <row r="235">
      <c r="A235" s="12" t="n">
        <v>234</v>
      </c>
      <c r="B235" s="16" t="n">
        <v>46588</v>
      </c>
      <c r="C235" s="7" t="inlineStr">
        <is>
          <t>K3</t>
        </is>
      </c>
      <c r="D235" s="13" t="inlineStr">
        <is>
          <t>K3</t>
        </is>
      </c>
      <c r="E235" s="13" t="inlineStr">
        <is>
          <t>J2Q3V2</t>
        </is>
      </c>
      <c r="F235" s="13" t="inlineStr">
        <is>
          <t>2027-016</t>
        </is>
      </c>
      <c r="G235" s="13" t="n">
        <v>704000</v>
      </c>
      <c r="H235" s="13">
        <f>INDEX('MAR 2e graad'!$B$2:$B$58,MATCH(G235,'MAR 2e graad'!$A$2:$A$58,0))</f>
        <v/>
      </c>
      <c r="I235" s="13">
        <f>INDEX('MAR 2e graad'!$C$2:$C$58,MATCH(G235,'MAR 2e graad'!$A$2:$A$58,0))</f>
        <v/>
      </c>
      <c r="J235" s="13">
        <f>IF(OR(I235="A",I235="K"),IF(K235&gt;0,"+","-"),IF(L235&gt;0,"+","-"))</f>
        <v/>
      </c>
      <c r="K235" s="14" t="n"/>
      <c r="L235" s="14" t="n">
        <v>3600</v>
      </c>
      <c r="M235" s="13" t="inlineStr">
        <is>
          <t>de omzet stijgt</t>
        </is>
      </c>
      <c r="N235" s="13" t="inlineStr">
        <is>
          <t>nee</t>
        </is>
      </c>
    </row>
    <row r="236">
      <c r="A236" s="12" t="n">
        <v>235</v>
      </c>
      <c r="B236" s="16" t="n">
        <v>46588</v>
      </c>
      <c r="C236" s="7" t="inlineStr">
        <is>
          <t>K3</t>
        </is>
      </c>
      <c r="D236" s="13" t="inlineStr">
        <is>
          <t>K3</t>
        </is>
      </c>
      <c r="E236" s="13" t="inlineStr">
        <is>
          <t>J2Q3V2</t>
        </is>
      </c>
      <c r="F236" s="13" t="inlineStr">
        <is>
          <t>2027-016</t>
        </is>
      </c>
      <c r="G236" s="13" t="n">
        <v>746000</v>
      </c>
      <c r="H236" s="13">
        <f>INDEX('MAR 2e graad'!$B$2:$B$58,MATCH(G236,'MAR 2e graad'!$A$2:$A$58,0))</f>
        <v/>
      </c>
      <c r="I236" s="13">
        <f>INDEX('MAR 2e graad'!$C$2:$C$58,MATCH(G236,'MAR 2e graad'!$A$2:$A$58,0))</f>
        <v/>
      </c>
      <c r="J236" s="13">
        <f>IF(OR(I236="A",I236="K"),IF(K236&gt;0,"+","-"),IF(L236&gt;0,"+","-"))</f>
        <v/>
      </c>
      <c r="K236" s="14" t="n"/>
      <c r="L236" s="14" t="n">
        <v>100</v>
      </c>
      <c r="M236" s="13" t="inlineStr">
        <is>
          <t>de doorgerekende kosten (opbrengst) stijgen</t>
        </is>
      </c>
      <c r="N236" s="13" t="inlineStr">
        <is>
          <t>nee</t>
        </is>
      </c>
    </row>
    <row r="237">
      <c r="A237" s="12" t="n">
        <v>236</v>
      </c>
      <c r="B237" s="16" t="n">
        <v>46588</v>
      </c>
      <c r="C237" s="7" t="inlineStr">
        <is>
          <t>K3</t>
        </is>
      </c>
      <c r="D237" s="13" t="inlineStr">
        <is>
          <t>K3</t>
        </is>
      </c>
      <c r="E237" s="13" t="inlineStr">
        <is>
          <t>J2Q3V2</t>
        </is>
      </c>
      <c r="F237" s="13" t="inlineStr">
        <is>
          <t>2027-016</t>
        </is>
      </c>
      <c r="G237" s="13" t="n">
        <v>488000</v>
      </c>
      <c r="H237" s="13">
        <f>INDEX('MAR 2e graad'!$B$2:$B$58,MATCH(G237,'MAR 2e graad'!$A$2:$A$58,0))</f>
        <v/>
      </c>
      <c r="I237" s="13">
        <f>INDEX('MAR 2e graad'!$C$2:$C$58,MATCH(G237,'MAR 2e graad'!$A$2:$A$58,0))</f>
        <v/>
      </c>
      <c r="J237" s="13">
        <f>IF(OR(I237="A",I237="K"),IF(K237&gt;0,"+","-"),IF(L237&gt;0,"+","-"))</f>
        <v/>
      </c>
      <c r="K237" s="14" t="n"/>
      <c r="L237" s="14" t="n">
        <v>150</v>
      </c>
      <c r="M237" s="13" t="inlineStr">
        <is>
          <t>de schuld aan de klant (verpakking) stijgt</t>
        </is>
      </c>
      <c r="N237" s="13" t="inlineStr">
        <is>
          <t>nee</t>
        </is>
      </c>
    </row>
    <row r="238">
      <c r="A238" s="12" t="n">
        <v>237</v>
      </c>
      <c r="B238" s="16" t="n">
        <v>46588</v>
      </c>
      <c r="C238" s="7" t="inlineStr">
        <is>
          <t>K3</t>
        </is>
      </c>
      <c r="D238" s="13" t="inlineStr">
        <is>
          <t>K3</t>
        </is>
      </c>
      <c r="E238" s="13" t="inlineStr">
        <is>
          <t>J2Q3V2</t>
        </is>
      </c>
      <c r="F238" s="13" t="inlineStr">
        <is>
          <t>2027-016</t>
        </is>
      </c>
      <c r="G238" s="13" t="n">
        <v>451100</v>
      </c>
      <c r="H238" s="13">
        <f>INDEX('MAR 2e graad'!$B$2:$B$58,MATCH(G238,'MAR 2e graad'!$A$2:$A$58,0))</f>
        <v/>
      </c>
      <c r="I238" s="13">
        <f>INDEX('MAR 2e graad'!$C$2:$C$58,MATCH(G238,'MAR 2e graad'!$A$2:$A$58,0))</f>
        <v/>
      </c>
      <c r="J238" s="13">
        <f>IF(OR(I238="A",I238="K"),IF(K238&gt;0,"+","-"),IF(L238&gt;0,"+","-"))</f>
        <v/>
      </c>
      <c r="K238" s="14" t="n"/>
      <c r="L238" s="14" t="n">
        <v>777</v>
      </c>
      <c r="M238" s="13" t="inlineStr">
        <is>
          <t>de schuld aan de overheid (verschuldigde btw) stijgt</t>
        </is>
      </c>
      <c r="N238" s="13" t="inlineStr">
        <is>
          <t>nee</t>
        </is>
      </c>
    </row>
    <row r="239">
      <c r="A239" s="12" t="n">
        <v>238</v>
      </c>
      <c r="B239" s="16" t="n">
        <v>46588</v>
      </c>
      <c r="C239" s="7" t="inlineStr">
        <is>
          <t>K3</t>
        </is>
      </c>
      <c r="D239" s="13" t="inlineStr">
        <is>
          <t>K3</t>
        </is>
      </c>
      <c r="E239" s="13" t="inlineStr">
        <is>
          <t>U2027-14/1</t>
        </is>
      </c>
      <c r="F239" s="13" t="inlineStr">
        <is>
          <t>uittreksel U2027-14/1</t>
        </is>
      </c>
      <c r="G239" s="13" t="n">
        <v>451000</v>
      </c>
      <c r="H239" s="13">
        <f>INDEX('MAR 2e graad'!$B$2:$B$58,MATCH(G239,'MAR 2e graad'!$A$2:$A$58,0))</f>
        <v/>
      </c>
      <c r="I239" s="13">
        <f>INDEX('MAR 2e graad'!$C$2:$C$58,MATCH(G239,'MAR 2e graad'!$A$2:$A$58,0))</f>
        <v/>
      </c>
      <c r="J239" s="13">
        <f>IF(OR(I239="A",I239="K"),IF(K239&gt;0,"+","-"),IF(L239&gt;0,"+","-"))</f>
        <v/>
      </c>
      <c r="K239" s="14" t="n">
        <v>1449</v>
      </c>
      <c r="L239" s="14" t="n"/>
      <c r="M239" s="13" t="inlineStr">
        <is>
          <t>de schuld aan de overheid (te betalen btw) daalt</t>
        </is>
      </c>
      <c r="N239" s="13" t="inlineStr">
        <is>
          <t>nee</t>
        </is>
      </c>
    </row>
    <row r="240">
      <c r="A240" s="12" t="n">
        <v>239</v>
      </c>
      <c r="B240" s="16" t="n">
        <v>46588</v>
      </c>
      <c r="C240" s="7" t="inlineStr">
        <is>
          <t>K3</t>
        </is>
      </c>
      <c r="D240" s="13" t="inlineStr">
        <is>
          <t>K3</t>
        </is>
      </c>
      <c r="E240" s="13" t="inlineStr">
        <is>
          <t>U2027-14/1</t>
        </is>
      </c>
      <c r="F240" s="13" t="inlineStr">
        <is>
          <t>uittreksel U2027-14/1</t>
        </is>
      </c>
      <c r="G240" s="13" t="n">
        <v>550000</v>
      </c>
      <c r="H240" s="13">
        <f>INDEX('MAR 2e graad'!$B$2:$B$58,MATCH(G240,'MAR 2e graad'!$A$2:$A$58,0))</f>
        <v/>
      </c>
      <c r="I240" s="13">
        <f>INDEX('MAR 2e graad'!$C$2:$C$58,MATCH(G240,'MAR 2e graad'!$A$2:$A$58,0))</f>
        <v/>
      </c>
      <c r="J240" s="13">
        <f>IF(OR(I240="A",I240="K"),IF(K240&gt;0,"+","-"),IF(L240&gt;0,"+","-"))</f>
        <v/>
      </c>
      <c r="K240" s="14" t="n"/>
      <c r="L240" s="14" t="n">
        <v>1449</v>
      </c>
      <c r="M240" s="13" t="inlineStr">
        <is>
          <t>de bank daalt</t>
        </is>
      </c>
      <c r="N240" s="13" t="inlineStr">
        <is>
          <t>nee</t>
        </is>
      </c>
    </row>
    <row r="241">
      <c r="A241" s="12" t="n">
        <v>240</v>
      </c>
      <c r="B241" s="16" t="n">
        <v>46588</v>
      </c>
      <c r="C241" s="7" t="inlineStr">
        <is>
          <t>K3</t>
        </is>
      </c>
      <c r="D241" s="13" t="inlineStr">
        <is>
          <t>K3</t>
        </is>
      </c>
      <c r="E241" s="13" t="inlineStr">
        <is>
          <t>U2027-14/2</t>
        </is>
      </c>
      <c r="F241" s="13" t="inlineStr">
        <is>
          <t>uittreksel U2027-14/2</t>
        </is>
      </c>
      <c r="G241" s="13" t="n">
        <v>440000</v>
      </c>
      <c r="H241" s="13">
        <f>INDEX('MAR 2e graad'!$B$2:$B$58,MATCH(G241,'MAR 2e graad'!$A$2:$A$58,0))</f>
        <v/>
      </c>
      <c r="I241" s="13">
        <f>INDEX('MAR 2e graad'!$C$2:$C$58,MATCH(G241,'MAR 2e graad'!$A$2:$A$58,0))</f>
        <v/>
      </c>
      <c r="J241" s="13">
        <f>IF(OR(I241="A",I241="K"),IF(K241&gt;0,"+","-"),IF(L241&gt;0,"+","-"))</f>
        <v/>
      </c>
      <c r="K241" s="14" t="n">
        <v>4356</v>
      </c>
      <c r="L241" s="14" t="n"/>
      <c r="M241" s="13" t="inlineStr">
        <is>
          <t>de schuld aan de leverancier daalt</t>
        </is>
      </c>
      <c r="N241" s="13" t="inlineStr">
        <is>
          <t>nee</t>
        </is>
      </c>
    </row>
    <row r="242">
      <c r="A242" s="12" t="n">
        <v>241</v>
      </c>
      <c r="B242" s="16" t="n">
        <v>46588</v>
      </c>
      <c r="C242" s="7" t="inlineStr">
        <is>
          <t>K3</t>
        </is>
      </c>
      <c r="D242" s="13" t="inlineStr">
        <is>
          <t>K3</t>
        </is>
      </c>
      <c r="E242" s="13" t="inlineStr">
        <is>
          <t>U2027-14/2</t>
        </is>
      </c>
      <c r="F242" s="13" t="inlineStr">
        <is>
          <t>uittreksel U2027-14/2</t>
        </is>
      </c>
      <c r="G242" s="13" t="n">
        <v>550000</v>
      </c>
      <c r="H242" s="13">
        <f>INDEX('MAR 2e graad'!$B$2:$B$58,MATCH(G242,'MAR 2e graad'!$A$2:$A$58,0))</f>
        <v/>
      </c>
      <c r="I242" s="13">
        <f>INDEX('MAR 2e graad'!$C$2:$C$58,MATCH(G242,'MAR 2e graad'!$A$2:$A$58,0))</f>
        <v/>
      </c>
      <c r="J242" s="13">
        <f>IF(OR(I242="A",I242="K"),IF(K242&gt;0,"+","-"),IF(L242&gt;0,"+","-"))</f>
        <v/>
      </c>
      <c r="K242" s="14" t="n"/>
      <c r="L242" s="14" t="n">
        <v>4356</v>
      </c>
      <c r="M242" s="13" t="inlineStr">
        <is>
          <t>de bank daalt</t>
        </is>
      </c>
      <c r="N242" s="13" t="inlineStr">
        <is>
          <t>nee</t>
        </is>
      </c>
    </row>
    <row r="243">
      <c r="A243" s="12" t="n">
        <v>242</v>
      </c>
      <c r="B243" s="16" t="n">
        <v>46588</v>
      </c>
      <c r="C243" s="7" t="inlineStr">
        <is>
          <t>K3</t>
        </is>
      </c>
      <c r="D243" s="13" t="inlineStr">
        <is>
          <t>K3</t>
        </is>
      </c>
      <c r="E243" s="13" t="inlineStr">
        <is>
          <t>U2027-14/3</t>
        </is>
      </c>
      <c r="F243" s="13" t="inlineStr">
        <is>
          <t>uittreksel U2027-14/3</t>
        </is>
      </c>
      <c r="G243" s="13" t="n">
        <v>440000</v>
      </c>
      <c r="H243" s="13">
        <f>INDEX('MAR 2e graad'!$B$2:$B$58,MATCH(G243,'MAR 2e graad'!$A$2:$A$58,0))</f>
        <v/>
      </c>
      <c r="I243" s="13">
        <f>INDEX('MAR 2e graad'!$C$2:$C$58,MATCH(G243,'MAR 2e graad'!$A$2:$A$58,0))</f>
        <v/>
      </c>
      <c r="J243" s="13">
        <f>IF(OR(I243="A",I243="K"),IF(K243&gt;0,"+","-"),IF(L243&gt;0,"+","-"))</f>
        <v/>
      </c>
      <c r="K243" s="14" t="n">
        <v>29040</v>
      </c>
      <c r="L243" s="14" t="n"/>
      <c r="M243" s="13" t="inlineStr">
        <is>
          <t>de schuld aan de leverancier daalt</t>
        </is>
      </c>
      <c r="N243" s="13" t="inlineStr">
        <is>
          <t>nee</t>
        </is>
      </c>
    </row>
    <row r="244">
      <c r="A244" s="12" t="n">
        <v>243</v>
      </c>
      <c r="B244" s="16" t="n">
        <v>46588</v>
      </c>
      <c r="C244" s="7" t="inlineStr">
        <is>
          <t>K3</t>
        </is>
      </c>
      <c r="D244" s="13" t="inlineStr">
        <is>
          <t>K3</t>
        </is>
      </c>
      <c r="E244" s="13" t="inlineStr">
        <is>
          <t>U2027-14/3</t>
        </is>
      </c>
      <c r="F244" s="13" t="inlineStr">
        <is>
          <t>uittreksel U2027-14/3</t>
        </is>
      </c>
      <c r="G244" s="13" t="n">
        <v>550000</v>
      </c>
      <c r="H244" s="13">
        <f>INDEX('MAR 2e graad'!$B$2:$B$58,MATCH(G244,'MAR 2e graad'!$A$2:$A$58,0))</f>
        <v/>
      </c>
      <c r="I244" s="13">
        <f>INDEX('MAR 2e graad'!$C$2:$C$58,MATCH(G244,'MAR 2e graad'!$A$2:$A$58,0))</f>
        <v/>
      </c>
      <c r="J244" s="13">
        <f>IF(OR(I244="A",I244="K"),IF(K244&gt;0,"+","-"),IF(L244&gt;0,"+","-"))</f>
        <v/>
      </c>
      <c r="K244" s="14" t="n"/>
      <c r="L244" s="14" t="n">
        <v>29040</v>
      </c>
      <c r="M244" s="13" t="inlineStr">
        <is>
          <t>de bank daalt</t>
        </is>
      </c>
      <c r="N244" s="13" t="inlineStr">
        <is>
          <t>nee</t>
        </is>
      </c>
    </row>
    <row r="245">
      <c r="A245" s="12" t="n">
        <v>244</v>
      </c>
      <c r="B245" s="16" t="n">
        <v>46588</v>
      </c>
      <c r="C245" s="7" t="inlineStr">
        <is>
          <t>K3</t>
        </is>
      </c>
      <c r="D245" s="13" t="inlineStr">
        <is>
          <t>K3</t>
        </is>
      </c>
      <c r="E245" s="13" t="inlineStr">
        <is>
          <t>U2027-14/4</t>
        </is>
      </c>
      <c r="F245" s="13" t="inlineStr">
        <is>
          <t>uittreksel U2027-14/4</t>
        </is>
      </c>
      <c r="G245" s="13" t="n">
        <v>550000</v>
      </c>
      <c r="H245" s="13">
        <f>INDEX('MAR 2e graad'!$B$2:$B$58,MATCH(G245,'MAR 2e graad'!$A$2:$A$58,0))</f>
        <v/>
      </c>
      <c r="I245" s="13">
        <f>INDEX('MAR 2e graad'!$C$2:$C$58,MATCH(G245,'MAR 2e graad'!$A$2:$A$58,0))</f>
        <v/>
      </c>
      <c r="J245" s="13">
        <f>IF(OR(I245="A",I245="K"),IF(K245&gt;0,"+","-"),IF(L245&gt;0,"+","-"))</f>
        <v/>
      </c>
      <c r="K245" s="14" t="n">
        <v>2299</v>
      </c>
      <c r="L245" s="14" t="n"/>
      <c r="M245" s="13" t="inlineStr">
        <is>
          <t>de bank stijgt</t>
        </is>
      </c>
      <c r="N245" s="13" t="inlineStr">
        <is>
          <t>nee</t>
        </is>
      </c>
    </row>
    <row r="246">
      <c r="A246" s="12" t="n">
        <v>245</v>
      </c>
      <c r="B246" s="16" t="n">
        <v>46588</v>
      </c>
      <c r="C246" s="7" t="inlineStr">
        <is>
          <t>K3</t>
        </is>
      </c>
      <c r="D246" s="13" t="inlineStr">
        <is>
          <t>K3</t>
        </is>
      </c>
      <c r="E246" s="13" t="inlineStr">
        <is>
          <t>U2027-14/4</t>
        </is>
      </c>
      <c r="F246" s="13" t="inlineStr">
        <is>
          <t>uittreksel U2027-14/4</t>
        </is>
      </c>
      <c r="G246" s="13" t="n">
        <v>400000</v>
      </c>
      <c r="H246" s="13">
        <f>INDEX('MAR 2e graad'!$B$2:$B$58,MATCH(G246,'MAR 2e graad'!$A$2:$A$58,0))</f>
        <v/>
      </c>
      <c r="I246" s="13">
        <f>INDEX('MAR 2e graad'!$C$2:$C$58,MATCH(G246,'MAR 2e graad'!$A$2:$A$58,0))</f>
        <v/>
      </c>
      <c r="J246" s="13">
        <f>IF(OR(I246="A",I246="K"),IF(K246&gt;0,"+","-"),IF(L246&gt;0,"+","-"))</f>
        <v/>
      </c>
      <c r="K246" s="14" t="n"/>
      <c r="L246" s="14" t="n">
        <v>2299</v>
      </c>
      <c r="M246" s="13" t="inlineStr">
        <is>
          <t>de vordering op de klant daalt</t>
        </is>
      </c>
      <c r="N246" s="13" t="inlineStr">
        <is>
          <t>nee</t>
        </is>
      </c>
    </row>
    <row r="247">
      <c r="A247" s="12" t="n">
        <v>246</v>
      </c>
      <c r="B247" s="16" t="n">
        <v>46600</v>
      </c>
      <c r="C247" s="7" t="inlineStr">
        <is>
          <t>K3</t>
        </is>
      </c>
      <c r="D247" s="13" t="inlineStr">
        <is>
          <t>K3</t>
        </is>
      </c>
      <c r="E247" s="13" t="inlineStr">
        <is>
          <t>U2027-15/1</t>
        </is>
      </c>
      <c r="F247" s="13" t="inlineStr">
        <is>
          <t>uittreksel U2027-15/1</t>
        </is>
      </c>
      <c r="G247" s="13" t="n">
        <v>173000</v>
      </c>
      <c r="H247" s="13">
        <f>INDEX('MAR 2e graad'!$B$2:$B$58,MATCH(G247,'MAR 2e graad'!$A$2:$A$58,0))</f>
        <v/>
      </c>
      <c r="I247" s="13">
        <f>INDEX('MAR 2e graad'!$C$2:$C$58,MATCH(G247,'MAR 2e graad'!$A$2:$A$58,0))</f>
        <v/>
      </c>
      <c r="J247" s="13">
        <f>IF(OR(I247="A",I247="K"),IF(K247&gt;0,"+","-"),IF(L247&gt;0,"+","-"))</f>
        <v/>
      </c>
      <c r="K247" s="14" t="n">
        <v>1500</v>
      </c>
      <c r="L247" s="14" t="n"/>
      <c r="M247" s="13" t="inlineStr">
        <is>
          <t>de schuld aan de bank (lening) daalt</t>
        </is>
      </c>
      <c r="N247" s="13" t="inlineStr">
        <is>
          <t>nee</t>
        </is>
      </c>
    </row>
    <row r="248">
      <c r="A248" s="12" t="n">
        <v>247</v>
      </c>
      <c r="B248" s="16" t="n">
        <v>46600</v>
      </c>
      <c r="C248" s="7" t="inlineStr">
        <is>
          <t>K3</t>
        </is>
      </c>
      <c r="D248" s="13" t="inlineStr">
        <is>
          <t>K3</t>
        </is>
      </c>
      <c r="E248" s="13" t="inlineStr">
        <is>
          <t>U2027-15/1</t>
        </is>
      </c>
      <c r="F248" s="13" t="inlineStr">
        <is>
          <t>uittreksel U2027-15/1</t>
        </is>
      </c>
      <c r="G248" s="13" t="n">
        <v>650000</v>
      </c>
      <c r="H248" s="13">
        <f>INDEX('MAR 2e graad'!$B$2:$B$58,MATCH(G248,'MAR 2e graad'!$A$2:$A$58,0))</f>
        <v/>
      </c>
      <c r="I248" s="13">
        <f>INDEX('MAR 2e graad'!$C$2:$C$58,MATCH(G248,'MAR 2e graad'!$A$2:$A$58,0))</f>
        <v/>
      </c>
      <c r="J248" s="13">
        <f>IF(OR(I248="A",I248="K"),IF(K248&gt;0,"+","-"),IF(L248&gt;0,"+","-"))</f>
        <v/>
      </c>
      <c r="K248" s="14" t="n">
        <v>285</v>
      </c>
      <c r="L248" s="14" t="n"/>
      <c r="M248" s="13" t="inlineStr">
        <is>
          <t>de financiële kosten (intrest) stijgen</t>
        </is>
      </c>
      <c r="N248" s="13" t="inlineStr">
        <is>
          <t>nee</t>
        </is>
      </c>
    </row>
    <row r="249">
      <c r="A249" s="12" t="n">
        <v>248</v>
      </c>
      <c r="B249" s="16" t="n">
        <v>46600</v>
      </c>
      <c r="C249" s="7" t="inlineStr">
        <is>
          <t>K3</t>
        </is>
      </c>
      <c r="D249" s="13" t="inlineStr">
        <is>
          <t>K3</t>
        </is>
      </c>
      <c r="E249" s="13" t="inlineStr">
        <is>
          <t>U2027-15/1</t>
        </is>
      </c>
      <c r="F249" s="13" t="inlineStr">
        <is>
          <t>uittreksel U2027-15/1</t>
        </is>
      </c>
      <c r="G249" s="13" t="n">
        <v>550000</v>
      </c>
      <c r="H249" s="13">
        <f>INDEX('MAR 2e graad'!$B$2:$B$58,MATCH(G249,'MAR 2e graad'!$A$2:$A$58,0))</f>
        <v/>
      </c>
      <c r="I249" s="13">
        <f>INDEX('MAR 2e graad'!$C$2:$C$58,MATCH(G249,'MAR 2e graad'!$A$2:$A$58,0))</f>
        <v/>
      </c>
      <c r="J249" s="13">
        <f>IF(OR(I249="A",I249="K"),IF(K249&gt;0,"+","-"),IF(L249&gt;0,"+","-"))</f>
        <v/>
      </c>
      <c r="K249" s="14" t="n"/>
      <c r="L249" s="14" t="n">
        <v>1785</v>
      </c>
      <c r="M249" s="13" t="inlineStr">
        <is>
          <t>de bank daalt</t>
        </is>
      </c>
      <c r="N249" s="13" t="inlineStr">
        <is>
          <t>nee</t>
        </is>
      </c>
    </row>
    <row r="250">
      <c r="A250" s="12" t="n">
        <v>249</v>
      </c>
      <c r="B250" s="16" t="n">
        <v>46604</v>
      </c>
      <c r="C250" s="7" t="inlineStr">
        <is>
          <t>K3</t>
        </is>
      </c>
      <c r="D250" s="13" t="inlineStr">
        <is>
          <t>K3</t>
        </is>
      </c>
      <c r="E250" s="13" t="inlineStr">
        <is>
          <t>J2Q3A4</t>
        </is>
      </c>
      <c r="F250" s="13" t="inlineStr">
        <is>
          <t>SW-2027-301</t>
        </is>
      </c>
      <c r="G250" s="13" t="n">
        <v>604000</v>
      </c>
      <c r="H250" s="13">
        <f>INDEX('MAR 2e graad'!$B$2:$B$58,MATCH(G250,'MAR 2e graad'!$A$2:$A$58,0))</f>
        <v/>
      </c>
      <c r="I250" s="13">
        <f>INDEX('MAR 2e graad'!$C$2:$C$58,MATCH(G250,'MAR 2e graad'!$A$2:$A$58,0))</f>
        <v/>
      </c>
      <c r="J250" s="13">
        <f>IF(OR(I250="A",I250="K"),IF(K250&gt;0,"+","-"),IF(L250&gt;0,"+","-"))</f>
        <v/>
      </c>
      <c r="K250" s="14" t="n">
        <v>150</v>
      </c>
      <c r="L250" s="14" t="n"/>
      <c r="M250" s="13" t="inlineStr">
        <is>
          <t>de kosten voor handelsgoederen stijgen</t>
        </is>
      </c>
      <c r="N250" s="13" t="inlineStr">
        <is>
          <t>nee</t>
        </is>
      </c>
    </row>
    <row r="251">
      <c r="A251" s="12" t="n">
        <v>250</v>
      </c>
      <c r="B251" s="16" t="n">
        <v>46604</v>
      </c>
      <c r="C251" s="7" t="inlineStr">
        <is>
          <t>K3</t>
        </is>
      </c>
      <c r="D251" s="13" t="inlineStr">
        <is>
          <t>K3</t>
        </is>
      </c>
      <c r="E251" s="13" t="inlineStr">
        <is>
          <t>J2Q3A4</t>
        </is>
      </c>
      <c r="F251" s="13" t="inlineStr">
        <is>
          <t>SW-2027-301</t>
        </is>
      </c>
      <c r="G251" s="13" t="n">
        <v>604000</v>
      </c>
      <c r="H251" s="13">
        <f>INDEX('MAR 2e graad'!$B$2:$B$58,MATCH(G251,'MAR 2e graad'!$A$2:$A$58,0))</f>
        <v/>
      </c>
      <c r="I251" s="13">
        <f>INDEX('MAR 2e graad'!$C$2:$C$58,MATCH(G251,'MAR 2e graad'!$A$2:$A$58,0))</f>
        <v/>
      </c>
      <c r="J251" s="13">
        <f>IF(OR(I251="A",I251="K"),IF(K251&gt;0,"+","-"),IF(L251&gt;0,"+","-"))</f>
        <v/>
      </c>
      <c r="K251" s="14" t="n">
        <v>250</v>
      </c>
      <c r="L251" s="14" t="n"/>
      <c r="M251" s="13" t="inlineStr">
        <is>
          <t>de kosten voor handelsgoederen stijgen</t>
        </is>
      </c>
      <c r="N251" s="13" t="inlineStr">
        <is>
          <t>nee</t>
        </is>
      </c>
    </row>
    <row r="252">
      <c r="A252" s="12" t="n">
        <v>251</v>
      </c>
      <c r="B252" s="16" t="n">
        <v>46604</v>
      </c>
      <c r="C252" s="7" t="inlineStr">
        <is>
          <t>K3</t>
        </is>
      </c>
      <c r="D252" s="13" t="inlineStr">
        <is>
          <t>K3</t>
        </is>
      </c>
      <c r="E252" s="13" t="inlineStr">
        <is>
          <t>J2Q3A4</t>
        </is>
      </c>
      <c r="F252" s="13" t="inlineStr">
        <is>
          <t>SW-2027-301</t>
        </is>
      </c>
      <c r="G252" s="13" t="n">
        <v>604000</v>
      </c>
      <c r="H252" s="13">
        <f>INDEX('MAR 2e graad'!$B$2:$B$58,MATCH(G252,'MAR 2e graad'!$A$2:$A$58,0))</f>
        <v/>
      </c>
      <c r="I252" s="13">
        <f>INDEX('MAR 2e graad'!$C$2:$C$58,MATCH(G252,'MAR 2e graad'!$A$2:$A$58,0))</f>
        <v/>
      </c>
      <c r="J252" s="13">
        <f>IF(OR(I252="A",I252="K"),IF(K252&gt;0,"+","-"),IF(L252&gt;0,"+","-"))</f>
        <v/>
      </c>
      <c r="K252" s="14" t="n">
        <v>100</v>
      </c>
      <c r="L252" s="14" t="n"/>
      <c r="M252" s="13" t="inlineStr">
        <is>
          <t>de kosten voor handelsgoederen stijgen</t>
        </is>
      </c>
      <c r="N252" s="13" t="inlineStr">
        <is>
          <t>nee</t>
        </is>
      </c>
    </row>
    <row r="253">
      <c r="A253" s="12" t="n">
        <v>252</v>
      </c>
      <c r="B253" s="16" t="n">
        <v>46604</v>
      </c>
      <c r="C253" s="7" t="inlineStr">
        <is>
          <t>K3</t>
        </is>
      </c>
      <c r="D253" s="13" t="inlineStr">
        <is>
          <t>K3</t>
        </is>
      </c>
      <c r="E253" s="13" t="inlineStr">
        <is>
          <t>J2Q3A4</t>
        </is>
      </c>
      <c r="F253" s="13" t="inlineStr">
        <is>
          <t>SW-2027-301</t>
        </is>
      </c>
      <c r="G253" s="13" t="n">
        <v>418000</v>
      </c>
      <c r="H253" s="13">
        <f>INDEX('MAR 2e graad'!$B$2:$B$58,MATCH(G253,'MAR 2e graad'!$A$2:$A$58,0))</f>
        <v/>
      </c>
      <c r="I253" s="13">
        <f>INDEX('MAR 2e graad'!$C$2:$C$58,MATCH(G253,'MAR 2e graad'!$A$2:$A$58,0))</f>
        <v/>
      </c>
      <c r="J253" s="13">
        <f>IF(OR(I253="A",I253="K"),IF(K253&gt;0,"+","-"),IF(L253&gt;0,"+","-"))</f>
        <v/>
      </c>
      <c r="K253" s="14" t="n">
        <v>50</v>
      </c>
      <c r="L253" s="14" t="n"/>
      <c r="M253" s="13" t="inlineStr">
        <is>
          <t>de vordering op de leverancier (verpakking) stijgt</t>
        </is>
      </c>
      <c r="N253" s="13" t="inlineStr">
        <is>
          <t>nee</t>
        </is>
      </c>
    </row>
    <row r="254">
      <c r="A254" s="12" t="n">
        <v>253</v>
      </c>
      <c r="B254" s="16" t="n">
        <v>46604</v>
      </c>
      <c r="C254" s="7" t="inlineStr">
        <is>
          <t>K3</t>
        </is>
      </c>
      <c r="D254" s="13" t="inlineStr">
        <is>
          <t>K3</t>
        </is>
      </c>
      <c r="E254" s="13" t="inlineStr">
        <is>
          <t>J2Q3A4</t>
        </is>
      </c>
      <c r="F254" s="13" t="inlineStr">
        <is>
          <t>SW-2027-301</t>
        </is>
      </c>
      <c r="G254" s="13" t="n">
        <v>411100</v>
      </c>
      <c r="H254" s="13">
        <f>INDEX('MAR 2e graad'!$B$2:$B$58,MATCH(G254,'MAR 2e graad'!$A$2:$A$58,0))</f>
        <v/>
      </c>
      <c r="I254" s="13">
        <f>INDEX('MAR 2e graad'!$C$2:$C$58,MATCH(G254,'MAR 2e graad'!$A$2:$A$58,0))</f>
        <v/>
      </c>
      <c r="J254" s="13">
        <f>IF(OR(I254="A",I254="K"),IF(K254&gt;0,"+","-"),IF(L254&gt;0,"+","-"))</f>
        <v/>
      </c>
      <c r="K254" s="14" t="n">
        <v>105</v>
      </c>
      <c r="L254" s="14" t="n"/>
      <c r="M254" s="13" t="inlineStr">
        <is>
          <t>de vordering op de overheid (aftrekbare btw) stijgt</t>
        </is>
      </c>
      <c r="N254" s="13" t="inlineStr">
        <is>
          <t>nee</t>
        </is>
      </c>
    </row>
    <row r="255">
      <c r="A255" s="12" t="n">
        <v>254</v>
      </c>
      <c r="B255" s="16" t="n">
        <v>46604</v>
      </c>
      <c r="C255" s="7" t="inlineStr">
        <is>
          <t>K3</t>
        </is>
      </c>
      <c r="D255" s="13" t="inlineStr">
        <is>
          <t>K3</t>
        </is>
      </c>
      <c r="E255" s="13" t="inlineStr">
        <is>
          <t>J2Q3A4</t>
        </is>
      </c>
      <c r="F255" s="13" t="inlineStr">
        <is>
          <t>SW-2027-301</t>
        </is>
      </c>
      <c r="G255" s="13" t="n">
        <v>440000</v>
      </c>
      <c r="H255" s="13">
        <f>INDEX('MAR 2e graad'!$B$2:$B$58,MATCH(G255,'MAR 2e graad'!$A$2:$A$58,0))</f>
        <v/>
      </c>
      <c r="I255" s="13">
        <f>INDEX('MAR 2e graad'!$C$2:$C$58,MATCH(G255,'MAR 2e graad'!$A$2:$A$58,0))</f>
        <v/>
      </c>
      <c r="J255" s="13">
        <f>IF(OR(I255="A",I255="K"),IF(K255&gt;0,"+","-"),IF(L255&gt;0,"+","-"))</f>
        <v/>
      </c>
      <c r="K255" s="14" t="n"/>
      <c r="L255" s="14" t="n">
        <v>655</v>
      </c>
      <c r="M255" s="13" t="inlineStr">
        <is>
          <t>de schuld aan de leverancier stijgt</t>
        </is>
      </c>
      <c r="N255" s="13" t="inlineStr">
        <is>
          <t>nee</t>
        </is>
      </c>
    </row>
    <row r="256">
      <c r="A256" s="12" t="n">
        <v>255</v>
      </c>
      <c r="B256" s="16" t="n">
        <v>46611</v>
      </c>
      <c r="C256" s="7" t="inlineStr">
        <is>
          <t>K3</t>
        </is>
      </c>
      <c r="D256" s="13" t="inlineStr">
        <is>
          <t>K3</t>
        </is>
      </c>
      <c r="E256" s="13" t="inlineStr">
        <is>
          <t>J2Q3A6</t>
        </is>
      </c>
      <c r="F256" s="13" t="inlineStr">
        <is>
          <t>2027-455</t>
        </is>
      </c>
      <c r="G256" s="13" t="n">
        <v>604000</v>
      </c>
      <c r="H256" s="13">
        <f>INDEX('MAR 2e graad'!$B$2:$B$58,MATCH(G256,'MAR 2e graad'!$A$2:$A$58,0))</f>
        <v/>
      </c>
      <c r="I256" s="13">
        <f>INDEX('MAR 2e graad'!$C$2:$C$58,MATCH(G256,'MAR 2e graad'!$A$2:$A$58,0))</f>
        <v/>
      </c>
      <c r="J256" s="13">
        <f>IF(OR(I256="A",I256="K"),IF(K256&gt;0,"+","-"),IF(L256&gt;0,"+","-"))</f>
        <v/>
      </c>
      <c r="K256" s="14" t="n">
        <v>2000</v>
      </c>
      <c r="L256" s="14" t="n"/>
      <c r="M256" s="13" t="inlineStr">
        <is>
          <t>de kosten voor handelsgoederen stijgen</t>
        </is>
      </c>
      <c r="N256" s="13" t="inlineStr">
        <is>
          <t>nee</t>
        </is>
      </c>
    </row>
    <row r="257">
      <c r="A257" s="12" t="n">
        <v>256</v>
      </c>
      <c r="B257" s="16" t="n">
        <v>46611</v>
      </c>
      <c r="C257" s="7" t="inlineStr">
        <is>
          <t>K3</t>
        </is>
      </c>
      <c r="D257" s="13" t="inlineStr">
        <is>
          <t>K3</t>
        </is>
      </c>
      <c r="E257" s="13" t="inlineStr">
        <is>
          <t>J2Q3A6</t>
        </is>
      </c>
      <c r="F257" s="13" t="inlineStr">
        <is>
          <t>2027-455</t>
        </is>
      </c>
      <c r="G257" s="13" t="n">
        <v>411100</v>
      </c>
      <c r="H257" s="13">
        <f>INDEX('MAR 2e graad'!$B$2:$B$58,MATCH(G257,'MAR 2e graad'!$A$2:$A$58,0))</f>
        <v/>
      </c>
      <c r="I257" s="13">
        <f>INDEX('MAR 2e graad'!$C$2:$C$58,MATCH(G257,'MAR 2e graad'!$A$2:$A$58,0))</f>
        <v/>
      </c>
      <c r="J257" s="13">
        <f>IF(OR(I257="A",I257="K"),IF(K257&gt;0,"+","-"),IF(L257&gt;0,"+","-"))</f>
        <v/>
      </c>
      <c r="K257" s="14" t="n">
        <v>399</v>
      </c>
      <c r="L257" s="14" t="n"/>
      <c r="M257" s="13" t="inlineStr">
        <is>
          <t>de vordering op de overheid (aftrekbare btw) stijgt</t>
        </is>
      </c>
      <c r="N257" s="13" t="inlineStr">
        <is>
          <t>nee</t>
        </is>
      </c>
    </row>
    <row r="258">
      <c r="A258" s="12" t="n">
        <v>257</v>
      </c>
      <c r="B258" s="16" t="n">
        <v>46611</v>
      </c>
      <c r="C258" s="7" t="inlineStr">
        <is>
          <t>K3</t>
        </is>
      </c>
      <c r="D258" s="13" t="inlineStr">
        <is>
          <t>K3</t>
        </is>
      </c>
      <c r="E258" s="13" t="inlineStr">
        <is>
          <t>J2Q3A6</t>
        </is>
      </c>
      <c r="F258" s="13" t="inlineStr">
        <is>
          <t>2027-455</t>
        </is>
      </c>
      <c r="G258" s="13" t="n">
        <v>440000</v>
      </c>
      <c r="H258" s="13">
        <f>INDEX('MAR 2e graad'!$B$2:$B$58,MATCH(G258,'MAR 2e graad'!$A$2:$A$58,0))</f>
        <v/>
      </c>
      <c r="I258" s="13">
        <f>INDEX('MAR 2e graad'!$C$2:$C$58,MATCH(G258,'MAR 2e graad'!$A$2:$A$58,0))</f>
        <v/>
      </c>
      <c r="J258" s="13">
        <f>IF(OR(I258="A",I258="K"),IF(K258&gt;0,"+","-"),IF(L258&gt;0,"+","-"))</f>
        <v/>
      </c>
      <c r="K258" s="14" t="n"/>
      <c r="L258" s="14" t="n">
        <v>2399</v>
      </c>
      <c r="M258" s="13" t="inlineStr">
        <is>
          <t>de schuld aan de leverancier stijgt</t>
        </is>
      </c>
      <c r="N258" s="13" t="inlineStr">
        <is>
          <t>nee</t>
        </is>
      </c>
    </row>
    <row r="259">
      <c r="A259" s="12" t="n">
        <v>258</v>
      </c>
      <c r="B259" s="16" t="n">
        <v>46617</v>
      </c>
      <c r="C259" s="7" t="inlineStr">
        <is>
          <t>K3</t>
        </is>
      </c>
      <c r="D259" s="13" t="inlineStr">
        <is>
          <t>K3</t>
        </is>
      </c>
      <c r="E259" s="13" t="inlineStr">
        <is>
          <t>J2Q3V6</t>
        </is>
      </c>
      <c r="F259" s="13" t="inlineStr">
        <is>
          <t>2027-028</t>
        </is>
      </c>
      <c r="G259" s="13" t="n">
        <v>400000</v>
      </c>
      <c r="H259" s="13">
        <f>INDEX('MAR 2e graad'!$B$2:$B$58,MATCH(G259,'MAR 2e graad'!$A$2:$A$58,0))</f>
        <v/>
      </c>
      <c r="I259" s="13">
        <f>INDEX('MAR 2e graad'!$C$2:$C$58,MATCH(G259,'MAR 2e graad'!$A$2:$A$58,0))</f>
        <v/>
      </c>
      <c r="J259" s="13">
        <f>IF(OR(I259="A",I259="K"),IF(K259&gt;0,"+","-"),IF(L259&gt;0,"+","-"))</f>
        <v/>
      </c>
      <c r="K259" s="14" t="n">
        <v>2399</v>
      </c>
      <c r="L259" s="14" t="n"/>
      <c r="M259" s="13" t="inlineStr">
        <is>
          <t>de vordering op de klant stijgt</t>
        </is>
      </c>
      <c r="N259" s="13" t="inlineStr">
        <is>
          <t>nee</t>
        </is>
      </c>
    </row>
    <row r="260">
      <c r="A260" s="12" t="n">
        <v>259</v>
      </c>
      <c r="B260" s="16" t="n">
        <v>46617</v>
      </c>
      <c r="C260" s="7" t="inlineStr">
        <is>
          <t>K3</t>
        </is>
      </c>
      <c r="D260" s="13" t="inlineStr">
        <is>
          <t>K3</t>
        </is>
      </c>
      <c r="E260" s="13" t="inlineStr">
        <is>
          <t>J2Q3V6</t>
        </is>
      </c>
      <c r="F260" s="13" t="inlineStr">
        <is>
          <t>2027-028</t>
        </is>
      </c>
      <c r="G260" s="13" t="n">
        <v>704000</v>
      </c>
      <c r="H260" s="13">
        <f>INDEX('MAR 2e graad'!$B$2:$B$58,MATCH(G260,'MAR 2e graad'!$A$2:$A$58,0))</f>
        <v/>
      </c>
      <c r="I260" s="13">
        <f>INDEX('MAR 2e graad'!$C$2:$C$58,MATCH(G260,'MAR 2e graad'!$A$2:$A$58,0))</f>
        <v/>
      </c>
      <c r="J260" s="13">
        <f>IF(OR(I260="A",I260="K"),IF(K260&gt;0,"+","-"),IF(L260&gt;0,"+","-"))</f>
        <v/>
      </c>
      <c r="K260" s="14" t="n"/>
      <c r="L260" s="14" t="n">
        <v>1200</v>
      </c>
      <c r="M260" s="13" t="inlineStr">
        <is>
          <t>de omzet stijgt</t>
        </is>
      </c>
      <c r="N260" s="13" t="inlineStr">
        <is>
          <t>nee</t>
        </is>
      </c>
    </row>
    <row r="261">
      <c r="A261" s="12" t="n">
        <v>260</v>
      </c>
      <c r="B261" s="16" t="n">
        <v>46617</v>
      </c>
      <c r="C261" s="7" t="inlineStr">
        <is>
          <t>K3</t>
        </is>
      </c>
      <c r="D261" s="13" t="inlineStr">
        <is>
          <t>K3</t>
        </is>
      </c>
      <c r="E261" s="13" t="inlineStr">
        <is>
          <t>J2Q3V6</t>
        </is>
      </c>
      <c r="F261" s="13" t="inlineStr">
        <is>
          <t>2027-028</t>
        </is>
      </c>
      <c r="G261" s="13" t="n">
        <v>704000</v>
      </c>
      <c r="H261" s="13">
        <f>INDEX('MAR 2e graad'!$B$2:$B$58,MATCH(G261,'MAR 2e graad'!$A$2:$A$58,0))</f>
        <v/>
      </c>
      <c r="I261" s="13">
        <f>INDEX('MAR 2e graad'!$C$2:$C$58,MATCH(G261,'MAR 2e graad'!$A$2:$A$58,0))</f>
        <v/>
      </c>
      <c r="J261" s="13">
        <f>IF(OR(I261="A",I261="K"),IF(K261&gt;0,"+","-"),IF(L261&gt;0,"+","-"))</f>
        <v/>
      </c>
      <c r="K261" s="14" t="n"/>
      <c r="L261" s="14" t="n">
        <v>500</v>
      </c>
      <c r="M261" s="13" t="inlineStr">
        <is>
          <t>de omzet stijgt</t>
        </is>
      </c>
      <c r="N261" s="13" t="inlineStr">
        <is>
          <t>nee</t>
        </is>
      </c>
    </row>
    <row r="262">
      <c r="A262" s="12" t="n">
        <v>261</v>
      </c>
      <c r="B262" s="16" t="n">
        <v>46617</v>
      </c>
      <c r="C262" s="7" t="inlineStr">
        <is>
          <t>K3</t>
        </is>
      </c>
      <c r="D262" s="13" t="inlineStr">
        <is>
          <t>K3</t>
        </is>
      </c>
      <c r="E262" s="13" t="inlineStr">
        <is>
          <t>J2Q3V6</t>
        </is>
      </c>
      <c r="F262" s="13" t="inlineStr">
        <is>
          <t>2027-028</t>
        </is>
      </c>
      <c r="G262" s="13" t="n">
        <v>704000</v>
      </c>
      <c r="H262" s="13">
        <f>INDEX('MAR 2e graad'!$B$2:$B$58,MATCH(G262,'MAR 2e graad'!$A$2:$A$58,0))</f>
        <v/>
      </c>
      <c r="I262" s="13">
        <f>INDEX('MAR 2e graad'!$C$2:$C$58,MATCH(G262,'MAR 2e graad'!$A$2:$A$58,0))</f>
        <v/>
      </c>
      <c r="J262" s="13">
        <f>IF(OR(I262="A",I262="K"),IF(K262&gt;0,"+","-"),IF(L262&gt;0,"+","-"))</f>
        <v/>
      </c>
      <c r="K262" s="14" t="n"/>
      <c r="L262" s="14" t="n">
        <v>300</v>
      </c>
      <c r="M262" s="13" t="inlineStr">
        <is>
          <t>de omzet stijgt</t>
        </is>
      </c>
      <c r="N262" s="13" t="inlineStr">
        <is>
          <t>nee</t>
        </is>
      </c>
    </row>
    <row r="263">
      <c r="A263" s="12" t="n">
        <v>262</v>
      </c>
      <c r="B263" s="16" t="n">
        <v>46617</v>
      </c>
      <c r="C263" s="7" t="inlineStr">
        <is>
          <t>K3</t>
        </is>
      </c>
      <c r="D263" s="13" t="inlineStr">
        <is>
          <t>K3</t>
        </is>
      </c>
      <c r="E263" s="13" t="inlineStr">
        <is>
          <t>J2Q3V6</t>
        </is>
      </c>
      <c r="F263" s="13" t="inlineStr">
        <is>
          <t>2027-028</t>
        </is>
      </c>
      <c r="G263" s="13" t="n">
        <v>451100</v>
      </c>
      <c r="H263" s="13">
        <f>INDEX('MAR 2e graad'!$B$2:$B$58,MATCH(G263,'MAR 2e graad'!$A$2:$A$58,0))</f>
        <v/>
      </c>
      <c r="I263" s="13">
        <f>INDEX('MAR 2e graad'!$C$2:$C$58,MATCH(G263,'MAR 2e graad'!$A$2:$A$58,0))</f>
        <v/>
      </c>
      <c r="J263" s="13">
        <f>IF(OR(I263="A",I263="K"),IF(K263&gt;0,"+","-"),IF(L263&gt;0,"+","-"))</f>
        <v/>
      </c>
      <c r="K263" s="14" t="n"/>
      <c r="L263" s="14" t="n">
        <v>399</v>
      </c>
      <c r="M263" s="13" t="inlineStr">
        <is>
          <t>de schuld aan de overheid (verschuldigde btw) stijgt</t>
        </is>
      </c>
      <c r="N263" s="13" t="inlineStr">
        <is>
          <t>nee</t>
        </is>
      </c>
    </row>
    <row r="264">
      <c r="A264" s="12" t="n">
        <v>263</v>
      </c>
      <c r="B264" s="16" t="n">
        <v>46617</v>
      </c>
      <c r="C264" s="7" t="inlineStr">
        <is>
          <t>K3</t>
        </is>
      </c>
      <c r="D264" s="13" t="inlineStr">
        <is>
          <t>K3</t>
        </is>
      </c>
      <c r="E264" s="13" t="inlineStr">
        <is>
          <t>U2027-16/1</t>
        </is>
      </c>
      <c r="F264" s="13" t="inlineStr">
        <is>
          <t>uittreksel U2027-16/1</t>
        </is>
      </c>
      <c r="G264" s="13" t="n">
        <v>550000</v>
      </c>
      <c r="H264" s="13">
        <f>INDEX('MAR 2e graad'!$B$2:$B$58,MATCH(G264,'MAR 2e graad'!$A$2:$A$58,0))</f>
        <v/>
      </c>
      <c r="I264" s="13">
        <f>INDEX('MAR 2e graad'!$C$2:$C$58,MATCH(G264,'MAR 2e graad'!$A$2:$A$58,0))</f>
        <v/>
      </c>
      <c r="J264" s="13">
        <f>IF(OR(I264="A",I264="K"),IF(K264&gt;0,"+","-"),IF(L264&gt;0,"+","-"))</f>
        <v/>
      </c>
      <c r="K264" s="14" t="n">
        <v>4627</v>
      </c>
      <c r="L264" s="14" t="n"/>
      <c r="M264" s="13" t="inlineStr">
        <is>
          <t>de bank stijgt</t>
        </is>
      </c>
      <c r="N264" s="13" t="inlineStr">
        <is>
          <t>nee</t>
        </is>
      </c>
    </row>
    <row r="265">
      <c r="A265" s="12" t="n">
        <v>264</v>
      </c>
      <c r="B265" s="16" t="n">
        <v>46617</v>
      </c>
      <c r="C265" s="7" t="inlineStr">
        <is>
          <t>K3</t>
        </is>
      </c>
      <c r="D265" s="13" t="inlineStr">
        <is>
          <t>K3</t>
        </is>
      </c>
      <c r="E265" s="13" t="inlineStr">
        <is>
          <t>U2027-16/1</t>
        </is>
      </c>
      <c r="F265" s="13" t="inlineStr">
        <is>
          <t>uittreksel U2027-16/1</t>
        </is>
      </c>
      <c r="G265" s="13" t="n">
        <v>400000</v>
      </c>
      <c r="H265" s="13">
        <f>INDEX('MAR 2e graad'!$B$2:$B$58,MATCH(G265,'MAR 2e graad'!$A$2:$A$58,0))</f>
        <v/>
      </c>
      <c r="I265" s="13">
        <f>INDEX('MAR 2e graad'!$C$2:$C$58,MATCH(G265,'MAR 2e graad'!$A$2:$A$58,0))</f>
        <v/>
      </c>
      <c r="J265" s="13">
        <f>IF(OR(I265="A",I265="K"),IF(K265&gt;0,"+","-"),IF(L265&gt;0,"+","-"))</f>
        <v/>
      </c>
      <c r="K265" s="14" t="n"/>
      <c r="L265" s="14" t="n">
        <v>4627</v>
      </c>
      <c r="M265" s="13" t="inlineStr">
        <is>
          <t>de vordering op de klant daalt</t>
        </is>
      </c>
      <c r="N265" s="13" t="inlineStr">
        <is>
          <t>nee</t>
        </is>
      </c>
    </row>
    <row r="266">
      <c r="A266" s="12" t="n">
        <v>265</v>
      </c>
      <c r="B266" s="16" t="n">
        <v>46617</v>
      </c>
      <c r="C266" s="7" t="inlineStr">
        <is>
          <t>K3</t>
        </is>
      </c>
      <c r="D266" s="13" t="inlineStr">
        <is>
          <t>K3</t>
        </is>
      </c>
      <c r="E266" s="13" t="inlineStr">
        <is>
          <t>U2027-16/2</t>
        </is>
      </c>
      <c r="F266" s="13" t="inlineStr">
        <is>
          <t>uittreksel U2027-16/2</t>
        </is>
      </c>
      <c r="G266" s="13" t="n">
        <v>440000</v>
      </c>
      <c r="H266" s="13">
        <f>INDEX('MAR 2e graad'!$B$2:$B$58,MATCH(G266,'MAR 2e graad'!$A$2:$A$58,0))</f>
        <v/>
      </c>
      <c r="I266" s="13">
        <f>INDEX('MAR 2e graad'!$C$2:$C$58,MATCH(G266,'MAR 2e graad'!$A$2:$A$58,0))</f>
        <v/>
      </c>
      <c r="J266" s="13">
        <f>IF(OR(I266="A",I266="K"),IF(K266&gt;0,"+","-"),IF(L266&gt;0,"+","-"))</f>
        <v/>
      </c>
      <c r="K266" s="14" t="n">
        <v>655</v>
      </c>
      <c r="L266" s="14" t="n"/>
      <c r="M266" s="13" t="inlineStr">
        <is>
          <t>de schuld aan de leverancier daalt</t>
        </is>
      </c>
      <c r="N266" s="13" t="inlineStr">
        <is>
          <t>nee</t>
        </is>
      </c>
    </row>
    <row r="267">
      <c r="A267" s="12" t="n">
        <v>266</v>
      </c>
      <c r="B267" s="16" t="n">
        <v>46617</v>
      </c>
      <c r="C267" s="7" t="inlineStr">
        <is>
          <t>K3</t>
        </is>
      </c>
      <c r="D267" s="13" t="inlineStr">
        <is>
          <t>K3</t>
        </is>
      </c>
      <c r="E267" s="13" t="inlineStr">
        <is>
          <t>U2027-16/2</t>
        </is>
      </c>
      <c r="F267" s="13" t="inlineStr">
        <is>
          <t>uittreksel U2027-16/2</t>
        </is>
      </c>
      <c r="G267" s="13" t="n">
        <v>550000</v>
      </c>
      <c r="H267" s="13">
        <f>INDEX('MAR 2e graad'!$B$2:$B$58,MATCH(G267,'MAR 2e graad'!$A$2:$A$58,0))</f>
        <v/>
      </c>
      <c r="I267" s="13">
        <f>INDEX('MAR 2e graad'!$C$2:$C$58,MATCH(G267,'MAR 2e graad'!$A$2:$A$58,0))</f>
        <v/>
      </c>
      <c r="J267" s="13">
        <f>IF(OR(I267="A",I267="K"),IF(K267&gt;0,"+","-"),IF(L267&gt;0,"+","-"))</f>
        <v/>
      </c>
      <c r="K267" s="14" t="n"/>
      <c r="L267" s="14" t="n">
        <v>655</v>
      </c>
      <c r="M267" s="13" t="inlineStr">
        <is>
          <t>de bank daalt</t>
        </is>
      </c>
      <c r="N267" s="13" t="inlineStr">
        <is>
          <t>nee</t>
        </is>
      </c>
    </row>
    <row r="268">
      <c r="A268" s="12" t="n">
        <v>267</v>
      </c>
      <c r="B268" s="16" t="n">
        <v>46617</v>
      </c>
      <c r="C268" s="7" t="inlineStr">
        <is>
          <t>K3</t>
        </is>
      </c>
      <c r="D268" s="13" t="inlineStr">
        <is>
          <t>K3</t>
        </is>
      </c>
      <c r="E268" s="13" t="inlineStr">
        <is>
          <t>U2027-16/3</t>
        </is>
      </c>
      <c r="F268" s="13" t="inlineStr">
        <is>
          <t>uittreksel U2027-16/3</t>
        </is>
      </c>
      <c r="G268" s="13" t="n">
        <v>440000</v>
      </c>
      <c r="H268" s="13">
        <f>INDEX('MAR 2e graad'!$B$2:$B$58,MATCH(G268,'MAR 2e graad'!$A$2:$A$58,0))</f>
        <v/>
      </c>
      <c r="I268" s="13">
        <f>INDEX('MAR 2e graad'!$C$2:$C$58,MATCH(G268,'MAR 2e graad'!$A$2:$A$58,0))</f>
        <v/>
      </c>
      <c r="J268" s="13">
        <f>IF(OR(I268="A",I268="K"),IF(K268&gt;0,"+","-"),IF(L268&gt;0,"+","-"))</f>
        <v/>
      </c>
      <c r="K268" s="14" t="n">
        <v>2399</v>
      </c>
      <c r="L268" s="14" t="n"/>
      <c r="M268" s="13" t="inlineStr">
        <is>
          <t>de schuld aan de leverancier daalt</t>
        </is>
      </c>
      <c r="N268" s="13" t="inlineStr">
        <is>
          <t>nee</t>
        </is>
      </c>
    </row>
    <row r="269">
      <c r="A269" s="12" t="n">
        <v>268</v>
      </c>
      <c r="B269" s="16" t="n">
        <v>46617</v>
      </c>
      <c r="C269" s="7" t="inlineStr">
        <is>
          <t>K3</t>
        </is>
      </c>
      <c r="D269" s="13" t="inlineStr">
        <is>
          <t>K3</t>
        </is>
      </c>
      <c r="E269" s="13" t="inlineStr">
        <is>
          <t>U2027-16/3</t>
        </is>
      </c>
      <c r="F269" s="13" t="inlineStr">
        <is>
          <t>uittreksel U2027-16/3</t>
        </is>
      </c>
      <c r="G269" s="13" t="n">
        <v>550000</v>
      </c>
      <c r="H269" s="13">
        <f>INDEX('MAR 2e graad'!$B$2:$B$58,MATCH(G269,'MAR 2e graad'!$A$2:$A$58,0))</f>
        <v/>
      </c>
      <c r="I269" s="13">
        <f>INDEX('MAR 2e graad'!$C$2:$C$58,MATCH(G269,'MAR 2e graad'!$A$2:$A$58,0))</f>
        <v/>
      </c>
      <c r="J269" s="13">
        <f>IF(OR(I269="A",I269="K"),IF(K269&gt;0,"+","-"),IF(L269&gt;0,"+","-"))</f>
        <v/>
      </c>
      <c r="K269" s="14" t="n"/>
      <c r="L269" s="14" t="n">
        <v>2299</v>
      </c>
      <c r="M269" s="13" t="inlineStr">
        <is>
          <t>de bank daalt</t>
        </is>
      </c>
      <c r="N269" s="13" t="inlineStr">
        <is>
          <t>nee</t>
        </is>
      </c>
    </row>
    <row r="270">
      <c r="A270" s="12" t="n">
        <v>269</v>
      </c>
      <c r="B270" s="16" t="n">
        <v>46617</v>
      </c>
      <c r="C270" s="7" t="inlineStr">
        <is>
          <t>K3</t>
        </is>
      </c>
      <c r="D270" s="13" t="inlineStr">
        <is>
          <t>K3</t>
        </is>
      </c>
      <c r="E270" s="13" t="inlineStr">
        <is>
          <t>U2027-16/3</t>
        </is>
      </c>
      <c r="F270" s="13" t="inlineStr">
        <is>
          <t>uittreksel U2027-16/3</t>
        </is>
      </c>
      <c r="G270" s="13" t="n">
        <v>757000</v>
      </c>
      <c r="H270" s="13">
        <f>INDEX('MAR 2e graad'!$B$2:$B$58,MATCH(G270,'MAR 2e graad'!$A$2:$A$58,0))</f>
        <v/>
      </c>
      <c r="I270" s="13">
        <f>INDEX('MAR 2e graad'!$C$2:$C$58,MATCH(G270,'MAR 2e graad'!$A$2:$A$58,0))</f>
        <v/>
      </c>
      <c r="J270" s="13">
        <f>IF(OR(I270="A",I270="K"),IF(K270&gt;0,"+","-"),IF(L270&gt;0,"+","-"))</f>
        <v/>
      </c>
      <c r="K270" s="14" t="n"/>
      <c r="L270" s="14" t="n">
        <v>100</v>
      </c>
      <c r="M270" s="13" t="inlineStr">
        <is>
          <t>de financiële opbrengsten (ontvangen betalingskorting) stijgen</t>
        </is>
      </c>
      <c r="N270" s="13" t="inlineStr">
        <is>
          <t>nee</t>
        </is>
      </c>
    </row>
    <row r="271">
      <c r="A271" s="12" t="n">
        <v>270</v>
      </c>
      <c r="B271" s="16" t="n">
        <v>46619</v>
      </c>
      <c r="C271" s="7" t="inlineStr">
        <is>
          <t>K3</t>
        </is>
      </c>
      <c r="D271" s="13" t="inlineStr">
        <is>
          <t>K3</t>
        </is>
      </c>
      <c r="E271" s="13" t="inlineStr">
        <is>
          <t>J2Q3CA2</t>
        </is>
      </c>
      <c r="F271" s="13" t="inlineStr">
        <is>
          <t>SW-CN-2027-019</t>
        </is>
      </c>
      <c r="G271" s="13" t="n">
        <v>604010</v>
      </c>
      <c r="H271" s="13">
        <f>INDEX('MAR 2e graad'!$B$2:$B$58,MATCH(G271,'MAR 2e graad'!$A$2:$A$58,0))</f>
        <v/>
      </c>
      <c r="I271" s="13">
        <f>INDEX('MAR 2e graad'!$C$2:$C$58,MATCH(G271,'MAR 2e graad'!$A$2:$A$58,0))</f>
        <v/>
      </c>
      <c r="J271" s="13">
        <f>IF(OR(I271="A",I271="K"),IF(K271&gt;0,"+","-"),IF(L271&gt;0,"+","-"))</f>
        <v/>
      </c>
      <c r="K271" s="14" t="n"/>
      <c r="L271" s="14" t="n">
        <v>100</v>
      </c>
      <c r="M271" s="13" t="inlineStr">
        <is>
          <t>de kosten voor handelsgoederen dalen (retour)</t>
        </is>
      </c>
      <c r="N271" s="13" t="inlineStr">
        <is>
          <t>nee</t>
        </is>
      </c>
    </row>
    <row r="272">
      <c r="A272" s="12" t="n">
        <v>271</v>
      </c>
      <c r="B272" s="16" t="n">
        <v>46619</v>
      </c>
      <c r="C272" s="7" t="inlineStr">
        <is>
          <t>K3</t>
        </is>
      </c>
      <c r="D272" s="13" t="inlineStr">
        <is>
          <t>K3</t>
        </is>
      </c>
      <c r="E272" s="13" t="inlineStr">
        <is>
          <t>J2Q3CA2</t>
        </is>
      </c>
      <c r="F272" s="13" t="inlineStr">
        <is>
          <t>SW-CN-2027-019</t>
        </is>
      </c>
      <c r="G272" s="13" t="n">
        <v>418000</v>
      </c>
      <c r="H272" s="13">
        <f>INDEX('MAR 2e graad'!$B$2:$B$58,MATCH(G272,'MAR 2e graad'!$A$2:$A$58,0))</f>
        <v/>
      </c>
      <c r="I272" s="13">
        <f>INDEX('MAR 2e graad'!$C$2:$C$58,MATCH(G272,'MAR 2e graad'!$A$2:$A$58,0))</f>
        <v/>
      </c>
      <c r="J272" s="13">
        <f>IF(OR(I272="A",I272="K"),IF(K272&gt;0,"+","-"),IF(L272&gt;0,"+","-"))</f>
        <v/>
      </c>
      <c r="K272" s="14" t="n"/>
      <c r="L272" s="14" t="n">
        <v>50</v>
      </c>
      <c r="M272" s="13" t="inlineStr">
        <is>
          <t>de vordering op de leverancier (verpakking) daalt</t>
        </is>
      </c>
      <c r="N272" s="13" t="inlineStr">
        <is>
          <t>nee</t>
        </is>
      </c>
    </row>
    <row r="273">
      <c r="A273" s="12" t="n">
        <v>272</v>
      </c>
      <c r="B273" s="16" t="n">
        <v>46619</v>
      </c>
      <c r="C273" s="7" t="inlineStr">
        <is>
          <t>K3</t>
        </is>
      </c>
      <c r="D273" s="13" t="inlineStr">
        <is>
          <t>K3</t>
        </is>
      </c>
      <c r="E273" s="13" t="inlineStr">
        <is>
          <t>J2Q3CA2</t>
        </is>
      </c>
      <c r="F273" s="13" t="inlineStr">
        <is>
          <t>SW-CN-2027-019</t>
        </is>
      </c>
      <c r="G273" s="13" t="n">
        <v>451200</v>
      </c>
      <c r="H273" s="13">
        <f>INDEX('MAR 2e graad'!$B$2:$B$58,MATCH(G273,'MAR 2e graad'!$A$2:$A$58,0))</f>
        <v/>
      </c>
      <c r="I273" s="13">
        <f>INDEX('MAR 2e graad'!$C$2:$C$58,MATCH(G273,'MAR 2e graad'!$A$2:$A$58,0))</f>
        <v/>
      </c>
      <c r="J273" s="13">
        <f>IF(OR(I273="A",I273="K"),IF(K273&gt;0,"+","-"),IF(L273&gt;0,"+","-"))</f>
        <v/>
      </c>
      <c r="K273" s="14" t="n"/>
      <c r="L273" s="14" t="n">
        <v>21</v>
      </c>
      <c r="M273" s="13" t="inlineStr">
        <is>
          <t>de schuld aan de overheid stijgt (btw op inkomende creditnota)</t>
        </is>
      </c>
      <c r="N273" s="13" t="inlineStr">
        <is>
          <t>nee</t>
        </is>
      </c>
    </row>
    <row r="274">
      <c r="A274" s="12" t="n">
        <v>273</v>
      </c>
      <c r="B274" s="16" t="n">
        <v>46619</v>
      </c>
      <c r="C274" s="7" t="inlineStr">
        <is>
          <t>K3</t>
        </is>
      </c>
      <c r="D274" s="13" t="inlineStr">
        <is>
          <t>K3</t>
        </is>
      </c>
      <c r="E274" s="13" t="inlineStr">
        <is>
          <t>J2Q3CA2</t>
        </is>
      </c>
      <c r="F274" s="13" t="inlineStr">
        <is>
          <t>SW-CN-2027-019</t>
        </is>
      </c>
      <c r="G274" s="13" t="n">
        <v>440000</v>
      </c>
      <c r="H274" s="13">
        <f>INDEX('MAR 2e graad'!$B$2:$B$58,MATCH(G274,'MAR 2e graad'!$A$2:$A$58,0))</f>
        <v/>
      </c>
      <c r="I274" s="13">
        <f>INDEX('MAR 2e graad'!$C$2:$C$58,MATCH(G274,'MAR 2e graad'!$A$2:$A$58,0))</f>
        <v/>
      </c>
      <c r="J274" s="13">
        <f>IF(OR(I274="A",I274="K"),IF(K274&gt;0,"+","-"),IF(L274&gt;0,"+","-"))</f>
        <v/>
      </c>
      <c r="K274" s="14" t="n">
        <v>171</v>
      </c>
      <c r="L274" s="14" t="n"/>
      <c r="M274" s="13" t="inlineStr">
        <is>
          <t>de schuld aan de leverancier daalt</t>
        </is>
      </c>
      <c r="N274" s="13" t="inlineStr">
        <is>
          <t>nee</t>
        </is>
      </c>
    </row>
    <row r="275">
      <c r="A275" s="12" t="n">
        <v>274</v>
      </c>
      <c r="B275" s="16" t="n">
        <v>46624</v>
      </c>
      <c r="C275" s="7" t="inlineStr">
        <is>
          <t>K3</t>
        </is>
      </c>
      <c r="D275" s="13" t="inlineStr">
        <is>
          <t>K3</t>
        </is>
      </c>
      <c r="E275" s="13" t="inlineStr">
        <is>
          <t>J2Q3V4</t>
        </is>
      </c>
      <c r="F275" s="13" t="inlineStr">
        <is>
          <t>2027-018</t>
        </is>
      </c>
      <c r="G275" s="13" t="n">
        <v>400000</v>
      </c>
      <c r="H275" s="13">
        <f>INDEX('MAR 2e graad'!$B$2:$B$58,MATCH(G275,'MAR 2e graad'!$A$2:$A$58,0))</f>
        <v/>
      </c>
      <c r="I275" s="13">
        <f>INDEX('MAR 2e graad'!$C$2:$C$58,MATCH(G275,'MAR 2e graad'!$A$2:$A$58,0))</f>
        <v/>
      </c>
      <c r="J275" s="13">
        <f>IF(OR(I275="A",I275="K"),IF(K275&gt;0,"+","-"),IF(L275&gt;0,"+","-"))</f>
        <v/>
      </c>
      <c r="K275" s="14" t="n">
        <v>1272</v>
      </c>
      <c r="L275" s="14" t="n"/>
      <c r="M275" s="13" t="inlineStr">
        <is>
          <t>de vordering op de klant stijgt</t>
        </is>
      </c>
      <c r="N275" s="13" t="inlineStr">
        <is>
          <t>nee</t>
        </is>
      </c>
    </row>
    <row r="276">
      <c r="A276" s="12" t="n">
        <v>275</v>
      </c>
      <c r="B276" s="16" t="n">
        <v>46624</v>
      </c>
      <c r="C276" s="7" t="inlineStr">
        <is>
          <t>K3</t>
        </is>
      </c>
      <c r="D276" s="13" t="inlineStr">
        <is>
          <t>K3</t>
        </is>
      </c>
      <c r="E276" s="13" t="inlineStr">
        <is>
          <t>J2Q3V4</t>
        </is>
      </c>
      <c r="F276" s="13" t="inlineStr">
        <is>
          <t>2027-018</t>
        </is>
      </c>
      <c r="G276" s="13" t="n">
        <v>700000</v>
      </c>
      <c r="H276" s="13">
        <f>INDEX('MAR 2e graad'!$B$2:$B$58,MATCH(G276,'MAR 2e graad'!$A$2:$A$58,0))</f>
        <v/>
      </c>
      <c r="I276" s="13">
        <f>INDEX('MAR 2e graad'!$C$2:$C$58,MATCH(G276,'MAR 2e graad'!$A$2:$A$58,0))</f>
        <v/>
      </c>
      <c r="J276" s="13">
        <f>IF(OR(I276="A",I276="K"),IF(K276&gt;0,"+","-"),IF(L276&gt;0,"+","-"))</f>
        <v/>
      </c>
      <c r="K276" s="14" t="n"/>
      <c r="L276" s="14" t="n">
        <v>1200</v>
      </c>
      <c r="M276" s="13" t="inlineStr">
        <is>
          <t>de omzet (diensten) stijgt</t>
        </is>
      </c>
      <c r="N276" s="13" t="inlineStr">
        <is>
          <t>nee</t>
        </is>
      </c>
    </row>
    <row r="277">
      <c r="A277" s="12" t="n">
        <v>276</v>
      </c>
      <c r="B277" s="16" t="n">
        <v>46624</v>
      </c>
      <c r="C277" s="7" t="inlineStr">
        <is>
          <t>K3</t>
        </is>
      </c>
      <c r="D277" s="13" t="inlineStr">
        <is>
          <t>K3</t>
        </is>
      </c>
      <c r="E277" s="13" t="inlineStr">
        <is>
          <t>J2Q3V4</t>
        </is>
      </c>
      <c r="F277" s="13" t="inlineStr">
        <is>
          <t>2027-018</t>
        </is>
      </c>
      <c r="G277" s="13" t="n">
        <v>451100</v>
      </c>
      <c r="H277" s="13">
        <f>INDEX('MAR 2e graad'!$B$2:$B$58,MATCH(G277,'MAR 2e graad'!$A$2:$A$58,0))</f>
        <v/>
      </c>
      <c r="I277" s="13">
        <f>INDEX('MAR 2e graad'!$C$2:$C$58,MATCH(G277,'MAR 2e graad'!$A$2:$A$58,0))</f>
        <v/>
      </c>
      <c r="J277" s="13">
        <f>IF(OR(I277="A",I277="K"),IF(K277&gt;0,"+","-"),IF(L277&gt;0,"+","-"))</f>
        <v/>
      </c>
      <c r="K277" s="14" t="n"/>
      <c r="L277" s="14" t="n">
        <v>72</v>
      </c>
      <c r="M277" s="13" t="inlineStr">
        <is>
          <t>de schuld aan de overheid (verschuldigde btw) stijgt</t>
        </is>
      </c>
      <c r="N277" s="13" t="inlineStr">
        <is>
          <t>nee</t>
        </is>
      </c>
    </row>
    <row r="278">
      <c r="A278" s="12" t="n">
        <v>277</v>
      </c>
      <c r="B278" s="16" t="n">
        <v>46632</v>
      </c>
      <c r="C278" s="7" t="inlineStr">
        <is>
          <t>K3</t>
        </is>
      </c>
      <c r="D278" s="13" t="inlineStr">
        <is>
          <t>K3</t>
        </is>
      </c>
      <c r="E278" s="13" t="inlineStr">
        <is>
          <t>J2Q3A5</t>
        </is>
      </c>
      <c r="F278" s="13" t="inlineStr">
        <is>
          <t>2027-488</t>
        </is>
      </c>
      <c r="G278" s="13" t="n">
        <v>604000</v>
      </c>
      <c r="H278" s="13">
        <f>INDEX('MAR 2e graad'!$B$2:$B$58,MATCH(G278,'MAR 2e graad'!$A$2:$A$58,0))</f>
        <v/>
      </c>
      <c r="I278" s="13">
        <f>INDEX('MAR 2e graad'!$C$2:$C$58,MATCH(G278,'MAR 2e graad'!$A$2:$A$58,0))</f>
        <v/>
      </c>
      <c r="J278" s="13">
        <f>IF(OR(I278="A",I278="K"),IF(K278&gt;0,"+","-"),IF(L278&gt;0,"+","-"))</f>
        <v/>
      </c>
      <c r="K278" s="14" t="n">
        <v>2000</v>
      </c>
      <c r="L278" s="14" t="n"/>
      <c r="M278" s="13" t="inlineStr">
        <is>
          <t>de kosten voor handelsgoederen stijgen</t>
        </is>
      </c>
      <c r="N278" s="13" t="inlineStr">
        <is>
          <t>nee</t>
        </is>
      </c>
    </row>
    <row r="279">
      <c r="A279" s="12" t="n">
        <v>278</v>
      </c>
      <c r="B279" s="16" t="n">
        <v>46632</v>
      </c>
      <c r="C279" s="7" t="inlineStr">
        <is>
          <t>K3</t>
        </is>
      </c>
      <c r="D279" s="13" t="inlineStr">
        <is>
          <t>K3</t>
        </is>
      </c>
      <c r="E279" s="13" t="inlineStr">
        <is>
          <t>J2Q3A5</t>
        </is>
      </c>
      <c r="F279" s="13" t="inlineStr">
        <is>
          <t>2027-488</t>
        </is>
      </c>
      <c r="G279" s="13" t="n">
        <v>604030</v>
      </c>
      <c r="H279" s="13">
        <f>INDEX('MAR 2e graad'!$B$2:$B$58,MATCH(G279,'MAR 2e graad'!$A$2:$A$58,0))</f>
        <v/>
      </c>
      <c r="I279" s="13">
        <f>INDEX('MAR 2e graad'!$C$2:$C$58,MATCH(G279,'MAR 2e graad'!$A$2:$A$58,0))</f>
        <v/>
      </c>
      <c r="J279" s="13">
        <f>IF(OR(I279="A",I279="K"),IF(K279&gt;0,"+","-"),IF(L279&gt;0,"+","-"))</f>
        <v/>
      </c>
      <c r="K279" s="14" t="n">
        <v>100</v>
      </c>
      <c r="L279" s="14" t="n"/>
      <c r="M279" s="13" t="inlineStr">
        <is>
          <t>de aankoopkosten stijgen</t>
        </is>
      </c>
      <c r="N279" s="13" t="inlineStr">
        <is>
          <t>nee</t>
        </is>
      </c>
    </row>
    <row r="280">
      <c r="A280" s="12" t="n">
        <v>279</v>
      </c>
      <c r="B280" s="16" t="n">
        <v>46632</v>
      </c>
      <c r="C280" s="7" t="inlineStr">
        <is>
          <t>K3</t>
        </is>
      </c>
      <c r="D280" s="13" t="inlineStr">
        <is>
          <t>K3</t>
        </is>
      </c>
      <c r="E280" s="13" t="inlineStr">
        <is>
          <t>J2Q3A5</t>
        </is>
      </c>
      <c r="F280" s="13" t="inlineStr">
        <is>
          <t>2027-488</t>
        </is>
      </c>
      <c r="G280" s="13" t="n">
        <v>418000</v>
      </c>
      <c r="H280" s="13">
        <f>INDEX('MAR 2e graad'!$B$2:$B$58,MATCH(G280,'MAR 2e graad'!$A$2:$A$58,0))</f>
        <v/>
      </c>
      <c r="I280" s="13">
        <f>INDEX('MAR 2e graad'!$C$2:$C$58,MATCH(G280,'MAR 2e graad'!$A$2:$A$58,0))</f>
        <v/>
      </c>
      <c r="J280" s="13">
        <f>IF(OR(I280="A",I280="K"),IF(K280&gt;0,"+","-"),IF(L280&gt;0,"+","-"))</f>
        <v/>
      </c>
      <c r="K280" s="14" t="n">
        <v>150</v>
      </c>
      <c r="L280" s="14" t="n"/>
      <c r="M280" s="13" t="inlineStr">
        <is>
          <t>de vordering op de leverancier (verpakking) stijgt</t>
        </is>
      </c>
      <c r="N280" s="13" t="inlineStr">
        <is>
          <t>nee</t>
        </is>
      </c>
    </row>
    <row r="281">
      <c r="A281" s="12" t="n">
        <v>280</v>
      </c>
      <c r="B281" s="16" t="n">
        <v>46632</v>
      </c>
      <c r="C281" s="7" t="inlineStr">
        <is>
          <t>K3</t>
        </is>
      </c>
      <c r="D281" s="13" t="inlineStr">
        <is>
          <t>K3</t>
        </is>
      </c>
      <c r="E281" s="13" t="inlineStr">
        <is>
          <t>J2Q3A5</t>
        </is>
      </c>
      <c r="F281" s="13" t="inlineStr">
        <is>
          <t>2027-488</t>
        </is>
      </c>
      <c r="G281" s="13" t="n">
        <v>604020</v>
      </c>
      <c r="H281" s="13">
        <f>INDEX('MAR 2e graad'!$B$2:$B$58,MATCH(G281,'MAR 2e graad'!$A$2:$A$58,0))</f>
        <v/>
      </c>
      <c r="I281" s="13">
        <f>INDEX('MAR 2e graad'!$C$2:$C$58,MATCH(G281,'MAR 2e graad'!$A$2:$A$58,0))</f>
        <v/>
      </c>
      <c r="J281" s="13">
        <f>IF(OR(I281="A",I281="K"),IF(K281&gt;0,"+","-"),IF(L281&gt;0,"+","-"))</f>
        <v/>
      </c>
      <c r="K281" s="14" t="n"/>
      <c r="L281" s="14" t="n">
        <v>200</v>
      </c>
      <c r="M281" s="13" t="inlineStr">
        <is>
          <t>de handelskorting op aankopen stijgt (kost daalt)</t>
        </is>
      </c>
      <c r="N281" s="13" t="inlineStr">
        <is>
          <t>nee</t>
        </is>
      </c>
    </row>
    <row r="282">
      <c r="A282" s="12" t="n">
        <v>281</v>
      </c>
      <c r="B282" s="16" t="n">
        <v>46632</v>
      </c>
      <c r="C282" s="7" t="inlineStr">
        <is>
          <t>K3</t>
        </is>
      </c>
      <c r="D282" s="13" t="inlineStr">
        <is>
          <t>K3</t>
        </is>
      </c>
      <c r="E282" s="13" t="inlineStr">
        <is>
          <t>J2Q3A5</t>
        </is>
      </c>
      <c r="F282" s="13" t="inlineStr">
        <is>
          <t>2027-488</t>
        </is>
      </c>
      <c r="G282" s="13" t="n">
        <v>411100</v>
      </c>
      <c r="H282" s="13">
        <f>INDEX('MAR 2e graad'!$B$2:$B$58,MATCH(G282,'MAR 2e graad'!$A$2:$A$58,0))</f>
        <v/>
      </c>
      <c r="I282" s="13">
        <f>INDEX('MAR 2e graad'!$C$2:$C$58,MATCH(G282,'MAR 2e graad'!$A$2:$A$58,0))</f>
        <v/>
      </c>
      <c r="J282" s="13">
        <f>IF(OR(I282="A",I282="K"),IF(K282&gt;0,"+","-"),IF(L282&gt;0,"+","-"))</f>
        <v/>
      </c>
      <c r="K282" s="14" t="n">
        <v>399</v>
      </c>
      <c r="L282" s="14" t="n"/>
      <c r="M282" s="13" t="inlineStr">
        <is>
          <t>de vordering op de overheid (aftrekbare btw) stijgt</t>
        </is>
      </c>
      <c r="N282" s="13" t="inlineStr">
        <is>
          <t>nee</t>
        </is>
      </c>
    </row>
    <row r="283">
      <c r="A283" s="12" t="n">
        <v>282</v>
      </c>
      <c r="B283" s="16" t="n">
        <v>46632</v>
      </c>
      <c r="C283" s="7" t="inlineStr">
        <is>
          <t>K3</t>
        </is>
      </c>
      <c r="D283" s="13" t="inlineStr">
        <is>
          <t>K3</t>
        </is>
      </c>
      <c r="E283" s="13" t="inlineStr">
        <is>
          <t>J2Q3A5</t>
        </is>
      </c>
      <c r="F283" s="13" t="inlineStr">
        <is>
          <t>2027-488</t>
        </is>
      </c>
      <c r="G283" s="13" t="n">
        <v>440000</v>
      </c>
      <c r="H283" s="13">
        <f>INDEX('MAR 2e graad'!$B$2:$B$58,MATCH(G283,'MAR 2e graad'!$A$2:$A$58,0))</f>
        <v/>
      </c>
      <c r="I283" s="13">
        <f>INDEX('MAR 2e graad'!$C$2:$C$58,MATCH(G283,'MAR 2e graad'!$A$2:$A$58,0))</f>
        <v/>
      </c>
      <c r="J283" s="13">
        <f>IF(OR(I283="A",I283="K"),IF(K283&gt;0,"+","-"),IF(L283&gt;0,"+","-"))</f>
        <v/>
      </c>
      <c r="K283" s="14" t="n"/>
      <c r="L283" s="14" t="n">
        <v>2449</v>
      </c>
      <c r="M283" s="13" t="inlineStr">
        <is>
          <t>de schuld aan de leverancier stijgt</t>
        </is>
      </c>
      <c r="N283" s="13" t="inlineStr">
        <is>
          <t>nee</t>
        </is>
      </c>
    </row>
    <row r="284">
      <c r="A284" s="12" t="n">
        <v>283</v>
      </c>
      <c r="B284" s="16" t="n">
        <v>46639</v>
      </c>
      <c r="C284" s="7" t="inlineStr">
        <is>
          <t>K3</t>
        </is>
      </c>
      <c r="D284" s="13" t="inlineStr">
        <is>
          <t>K3</t>
        </is>
      </c>
      <c r="E284" s="13" t="inlineStr">
        <is>
          <t>J2Q3V5</t>
        </is>
      </c>
      <c r="F284" s="13" t="inlineStr">
        <is>
          <t>2027-019</t>
        </is>
      </c>
      <c r="G284" s="13" t="n">
        <v>400000</v>
      </c>
      <c r="H284" s="13">
        <f>INDEX('MAR 2e graad'!$B$2:$B$58,MATCH(G284,'MAR 2e graad'!$A$2:$A$58,0))</f>
        <v/>
      </c>
      <c r="I284" s="13">
        <f>INDEX('MAR 2e graad'!$C$2:$C$58,MATCH(G284,'MAR 2e graad'!$A$2:$A$58,0))</f>
        <v/>
      </c>
      <c r="J284" s="13">
        <f>IF(OR(I284="A",I284="K"),IF(K284&gt;0,"+","-"),IF(L284&gt;0,"+","-"))</f>
        <v/>
      </c>
      <c r="K284" s="14" t="n">
        <v>6655</v>
      </c>
      <c r="L284" s="14" t="n"/>
      <c r="M284" s="13" t="inlineStr">
        <is>
          <t>de vordering op de klant stijgt</t>
        </is>
      </c>
      <c r="N284" s="13" t="inlineStr">
        <is>
          <t>nee</t>
        </is>
      </c>
    </row>
    <row r="285">
      <c r="A285" s="12" t="n">
        <v>284</v>
      </c>
      <c r="B285" s="16" t="n">
        <v>46639</v>
      </c>
      <c r="C285" s="7" t="inlineStr">
        <is>
          <t>K3</t>
        </is>
      </c>
      <c r="D285" s="13" t="inlineStr">
        <is>
          <t>K3</t>
        </is>
      </c>
      <c r="E285" s="13" t="inlineStr">
        <is>
          <t>J2Q3V5</t>
        </is>
      </c>
      <c r="F285" s="13" t="inlineStr">
        <is>
          <t>2027-019</t>
        </is>
      </c>
      <c r="G285" s="13" t="n">
        <v>704000</v>
      </c>
      <c r="H285" s="13">
        <f>INDEX('MAR 2e graad'!$B$2:$B$58,MATCH(G285,'MAR 2e graad'!$A$2:$A$58,0))</f>
        <v/>
      </c>
      <c r="I285" s="13">
        <f>INDEX('MAR 2e graad'!$C$2:$C$58,MATCH(G285,'MAR 2e graad'!$A$2:$A$58,0))</f>
        <v/>
      </c>
      <c r="J285" s="13">
        <f>IF(OR(I285="A",I285="K"),IF(K285&gt;0,"+","-"),IF(L285&gt;0,"+","-"))</f>
        <v/>
      </c>
      <c r="K285" s="14" t="n"/>
      <c r="L285" s="14" t="n">
        <v>5200</v>
      </c>
      <c r="M285" s="13" t="inlineStr">
        <is>
          <t>de omzet stijgt</t>
        </is>
      </c>
      <c r="N285" s="13" t="inlineStr">
        <is>
          <t>nee</t>
        </is>
      </c>
    </row>
    <row r="286">
      <c r="A286" s="12" t="n">
        <v>285</v>
      </c>
      <c r="B286" s="16" t="n">
        <v>46639</v>
      </c>
      <c r="C286" s="7" t="inlineStr">
        <is>
          <t>K3</t>
        </is>
      </c>
      <c r="D286" s="13" t="inlineStr">
        <is>
          <t>K3</t>
        </is>
      </c>
      <c r="E286" s="13" t="inlineStr">
        <is>
          <t>J2Q3V5</t>
        </is>
      </c>
      <c r="F286" s="13" t="inlineStr">
        <is>
          <t>2027-019</t>
        </is>
      </c>
      <c r="G286" s="13" t="n">
        <v>704000</v>
      </c>
      <c r="H286" s="13">
        <f>INDEX('MAR 2e graad'!$B$2:$B$58,MATCH(G286,'MAR 2e graad'!$A$2:$A$58,0))</f>
        <v/>
      </c>
      <c r="I286" s="13">
        <f>INDEX('MAR 2e graad'!$C$2:$C$58,MATCH(G286,'MAR 2e graad'!$A$2:$A$58,0))</f>
        <v/>
      </c>
      <c r="J286" s="13">
        <f>IF(OR(I286="A",I286="K"),IF(K286&gt;0,"+","-"),IF(L286&gt;0,"+","-"))</f>
        <v/>
      </c>
      <c r="K286" s="14" t="n"/>
      <c r="L286" s="14" t="n">
        <v>800</v>
      </c>
      <c r="M286" s="13" t="inlineStr">
        <is>
          <t>de omzet stijgt</t>
        </is>
      </c>
      <c r="N286" s="13" t="inlineStr">
        <is>
          <t>nee</t>
        </is>
      </c>
    </row>
    <row r="287">
      <c r="A287" s="12" t="n">
        <v>286</v>
      </c>
      <c r="B287" s="16" t="n">
        <v>46639</v>
      </c>
      <c r="C287" s="7" t="inlineStr">
        <is>
          <t>K3</t>
        </is>
      </c>
      <c r="D287" s="13" t="inlineStr">
        <is>
          <t>K3</t>
        </is>
      </c>
      <c r="E287" s="13" t="inlineStr">
        <is>
          <t>J2Q3V5</t>
        </is>
      </c>
      <c r="F287" s="13" t="inlineStr">
        <is>
          <t>2027-019</t>
        </is>
      </c>
      <c r="G287" s="13" t="n">
        <v>746000</v>
      </c>
      <c r="H287" s="13">
        <f>INDEX('MAR 2e graad'!$B$2:$B$58,MATCH(G287,'MAR 2e graad'!$A$2:$A$58,0))</f>
        <v/>
      </c>
      <c r="I287" s="13">
        <f>INDEX('MAR 2e graad'!$C$2:$C$58,MATCH(G287,'MAR 2e graad'!$A$2:$A$58,0))</f>
        <v/>
      </c>
      <c r="J287" s="13">
        <f>IF(OR(I287="A",I287="K"),IF(K287&gt;0,"+","-"),IF(L287&gt;0,"+","-"))</f>
        <v/>
      </c>
      <c r="K287" s="14" t="n"/>
      <c r="L287" s="14" t="n">
        <v>100</v>
      </c>
      <c r="M287" s="13" t="inlineStr">
        <is>
          <t>de doorgerekende kosten (opbrengst) stijgen</t>
        </is>
      </c>
      <c r="N287" s="13" t="inlineStr">
        <is>
          <t>nee</t>
        </is>
      </c>
    </row>
    <row r="288">
      <c r="A288" s="12" t="n">
        <v>287</v>
      </c>
      <c r="B288" s="16" t="n">
        <v>46639</v>
      </c>
      <c r="C288" s="7" t="inlineStr">
        <is>
          <t>K3</t>
        </is>
      </c>
      <c r="D288" s="13" t="inlineStr">
        <is>
          <t>K3</t>
        </is>
      </c>
      <c r="E288" s="13" t="inlineStr">
        <is>
          <t>J2Q3V5</t>
        </is>
      </c>
      <c r="F288" s="13" t="inlineStr">
        <is>
          <t>2027-019</t>
        </is>
      </c>
      <c r="G288" s="13" t="n">
        <v>704020</v>
      </c>
      <c r="H288" s="13">
        <f>INDEX('MAR 2e graad'!$B$2:$B$58,MATCH(G288,'MAR 2e graad'!$A$2:$A$58,0))</f>
        <v/>
      </c>
      <c r="I288" s="13">
        <f>INDEX('MAR 2e graad'!$C$2:$C$58,MATCH(G288,'MAR 2e graad'!$A$2:$A$58,0))</f>
        <v/>
      </c>
      <c r="J288" s="13">
        <f>IF(OR(I288="A",I288="K"),IF(K288&gt;0,"+","-"),IF(L288&gt;0,"+","-"))</f>
        <v/>
      </c>
      <c r="K288" s="14" t="n">
        <v>600</v>
      </c>
      <c r="L288" s="14" t="n"/>
      <c r="M288" s="13" t="inlineStr">
        <is>
          <t>de handelskorting op verkopen stijgt (omzet daalt)</t>
        </is>
      </c>
      <c r="N288" s="13" t="inlineStr">
        <is>
          <t>nee</t>
        </is>
      </c>
    </row>
    <row r="289">
      <c r="A289" s="12" t="n">
        <v>288</v>
      </c>
      <c r="B289" s="16" t="n">
        <v>46639</v>
      </c>
      <c r="C289" s="7" t="inlineStr">
        <is>
          <t>K3</t>
        </is>
      </c>
      <c r="D289" s="13" t="inlineStr">
        <is>
          <t>K3</t>
        </is>
      </c>
      <c r="E289" s="13" t="inlineStr">
        <is>
          <t>J2Q3V5</t>
        </is>
      </c>
      <c r="F289" s="13" t="inlineStr">
        <is>
          <t>2027-019</t>
        </is>
      </c>
      <c r="G289" s="13" t="n">
        <v>451100</v>
      </c>
      <c r="H289" s="13">
        <f>INDEX('MAR 2e graad'!$B$2:$B$58,MATCH(G289,'MAR 2e graad'!$A$2:$A$58,0))</f>
        <v/>
      </c>
      <c r="I289" s="13">
        <f>INDEX('MAR 2e graad'!$C$2:$C$58,MATCH(G289,'MAR 2e graad'!$A$2:$A$58,0))</f>
        <v/>
      </c>
      <c r="J289" s="13">
        <f>IF(OR(I289="A",I289="K"),IF(K289&gt;0,"+","-"),IF(L289&gt;0,"+","-"))</f>
        <v/>
      </c>
      <c r="K289" s="14" t="n"/>
      <c r="L289" s="14" t="n">
        <v>1155</v>
      </c>
      <c r="M289" s="13" t="inlineStr">
        <is>
          <t>de schuld aan de overheid (verschuldigde btw) stijgt</t>
        </is>
      </c>
      <c r="N289" s="13" t="inlineStr">
        <is>
          <t>nee</t>
        </is>
      </c>
    </row>
    <row r="290">
      <c r="A290" s="12" t="n">
        <v>289</v>
      </c>
      <c r="B290" s="16" t="n">
        <v>46640</v>
      </c>
      <c r="C290" s="7" t="inlineStr">
        <is>
          <t>K3</t>
        </is>
      </c>
      <c r="D290" s="13" t="inlineStr">
        <is>
          <t>K3</t>
        </is>
      </c>
      <c r="E290" s="13" t="inlineStr">
        <is>
          <t>U2027-17/1</t>
        </is>
      </c>
      <c r="F290" s="13" t="inlineStr">
        <is>
          <t>uittreksel U2027-17/1</t>
        </is>
      </c>
      <c r="G290" s="13" t="n">
        <v>550000</v>
      </c>
      <c r="H290" s="13">
        <f>INDEX('MAR 2e graad'!$B$2:$B$58,MATCH(G290,'MAR 2e graad'!$A$2:$A$58,0))</f>
        <v/>
      </c>
      <c r="I290" s="13">
        <f>INDEX('MAR 2e graad'!$C$2:$C$58,MATCH(G290,'MAR 2e graad'!$A$2:$A$58,0))</f>
        <v/>
      </c>
      <c r="J290" s="13">
        <f>IF(OR(I290="A",I290="K"),IF(K290&gt;0,"+","-"),IF(L290&gt;0,"+","-"))</f>
        <v/>
      </c>
      <c r="K290" s="14" t="n">
        <v>171</v>
      </c>
      <c r="L290" s="14" t="n"/>
      <c r="M290" s="13" t="inlineStr">
        <is>
          <t>de bank stijgt</t>
        </is>
      </c>
      <c r="N290" s="13" t="inlineStr">
        <is>
          <t>nee</t>
        </is>
      </c>
    </row>
    <row r="291">
      <c r="A291" s="12" t="n">
        <v>290</v>
      </c>
      <c r="B291" s="16" t="n">
        <v>46640</v>
      </c>
      <c r="C291" s="7" t="inlineStr">
        <is>
          <t>K3</t>
        </is>
      </c>
      <c r="D291" s="13" t="inlineStr">
        <is>
          <t>K3</t>
        </is>
      </c>
      <c r="E291" s="13" t="inlineStr">
        <is>
          <t>U2027-17/1</t>
        </is>
      </c>
      <c r="F291" s="13" t="inlineStr">
        <is>
          <t>uittreksel U2027-17/1</t>
        </is>
      </c>
      <c r="G291" s="13" t="n">
        <v>440000</v>
      </c>
      <c r="H291" s="13">
        <f>INDEX('MAR 2e graad'!$B$2:$B$58,MATCH(G291,'MAR 2e graad'!$A$2:$A$58,0))</f>
        <v/>
      </c>
      <c r="I291" s="13">
        <f>INDEX('MAR 2e graad'!$C$2:$C$58,MATCH(G291,'MAR 2e graad'!$A$2:$A$58,0))</f>
        <v/>
      </c>
      <c r="J291" s="13">
        <f>IF(OR(I291="A",I291="K"),IF(K291&gt;0,"+","-"),IF(L291&gt;0,"+","-"))</f>
        <v/>
      </c>
      <c r="K291" s="14" t="n"/>
      <c r="L291" s="14" t="n">
        <v>171</v>
      </c>
      <c r="M291" s="13" t="inlineStr">
        <is>
          <t>de vordering op de leverancier (creditnota) daalt</t>
        </is>
      </c>
      <c r="N291" s="13" t="inlineStr">
        <is>
          <t>nee</t>
        </is>
      </c>
    </row>
    <row r="292">
      <c r="A292" s="12" t="n">
        <v>291</v>
      </c>
      <c r="B292" s="16" t="n">
        <v>46640</v>
      </c>
      <c r="C292" s="7" t="inlineStr">
        <is>
          <t>K3</t>
        </is>
      </c>
      <c r="D292" s="13" t="inlineStr">
        <is>
          <t>K3</t>
        </is>
      </c>
      <c r="E292" s="13" t="inlineStr">
        <is>
          <t>U2027-17/2</t>
        </is>
      </c>
      <c r="F292" s="13" t="inlineStr">
        <is>
          <t>uittreksel U2027-17/2</t>
        </is>
      </c>
      <c r="G292" s="13" t="n">
        <v>550000</v>
      </c>
      <c r="H292" s="13">
        <f>INDEX('MAR 2e graad'!$B$2:$B$58,MATCH(G292,'MAR 2e graad'!$A$2:$A$58,0))</f>
        <v/>
      </c>
      <c r="I292" s="13">
        <f>INDEX('MAR 2e graad'!$C$2:$C$58,MATCH(G292,'MAR 2e graad'!$A$2:$A$58,0))</f>
        <v/>
      </c>
      <c r="J292" s="13">
        <f>IF(OR(I292="A",I292="K"),IF(K292&gt;0,"+","-"),IF(L292&gt;0,"+","-"))</f>
        <v/>
      </c>
      <c r="K292" s="14" t="n">
        <v>1272</v>
      </c>
      <c r="L292" s="14" t="n"/>
      <c r="M292" s="13" t="inlineStr">
        <is>
          <t>de bank stijgt</t>
        </is>
      </c>
      <c r="N292" s="13" t="inlineStr">
        <is>
          <t>nee</t>
        </is>
      </c>
    </row>
    <row r="293">
      <c r="A293" s="12" t="n">
        <v>292</v>
      </c>
      <c r="B293" s="16" t="n">
        <v>46640</v>
      </c>
      <c r="C293" s="7" t="inlineStr">
        <is>
          <t>K3</t>
        </is>
      </c>
      <c r="D293" s="13" t="inlineStr">
        <is>
          <t>K3</t>
        </is>
      </c>
      <c r="E293" s="13" t="inlineStr">
        <is>
          <t>U2027-17/2</t>
        </is>
      </c>
      <c r="F293" s="13" t="inlineStr">
        <is>
          <t>uittreksel U2027-17/2</t>
        </is>
      </c>
      <c r="G293" s="13" t="n">
        <v>400000</v>
      </c>
      <c r="H293" s="13">
        <f>INDEX('MAR 2e graad'!$B$2:$B$58,MATCH(G293,'MAR 2e graad'!$A$2:$A$58,0))</f>
        <v/>
      </c>
      <c r="I293" s="13">
        <f>INDEX('MAR 2e graad'!$C$2:$C$58,MATCH(G293,'MAR 2e graad'!$A$2:$A$58,0))</f>
        <v/>
      </c>
      <c r="J293" s="13">
        <f>IF(OR(I293="A",I293="K"),IF(K293&gt;0,"+","-"),IF(L293&gt;0,"+","-"))</f>
        <v/>
      </c>
      <c r="K293" s="14" t="n"/>
      <c r="L293" s="14" t="n">
        <v>1272</v>
      </c>
      <c r="M293" s="13" t="inlineStr">
        <is>
          <t>de vordering op de klant daalt</t>
        </is>
      </c>
      <c r="N293" s="13" t="inlineStr">
        <is>
          <t>nee</t>
        </is>
      </c>
    </row>
    <row r="294">
      <c r="A294" s="12" t="n">
        <v>293</v>
      </c>
      <c r="B294" s="16" t="n">
        <v>46640</v>
      </c>
      <c r="C294" s="7" t="inlineStr">
        <is>
          <t>K3</t>
        </is>
      </c>
      <c r="D294" s="13" t="inlineStr">
        <is>
          <t>K3</t>
        </is>
      </c>
      <c r="E294" s="13" t="inlineStr">
        <is>
          <t>U2027-17/3</t>
        </is>
      </c>
      <c r="F294" s="13" t="inlineStr">
        <is>
          <t>uittreksel U2027-17/3</t>
        </is>
      </c>
      <c r="G294" s="13" t="n">
        <v>440000</v>
      </c>
      <c r="H294" s="13">
        <f>INDEX('MAR 2e graad'!$B$2:$B$58,MATCH(G294,'MAR 2e graad'!$A$2:$A$58,0))</f>
        <v/>
      </c>
      <c r="I294" s="13">
        <f>INDEX('MAR 2e graad'!$C$2:$C$58,MATCH(G294,'MAR 2e graad'!$A$2:$A$58,0))</f>
        <v/>
      </c>
      <c r="J294" s="13">
        <f>IF(OR(I294="A",I294="K"),IF(K294&gt;0,"+","-"),IF(L294&gt;0,"+","-"))</f>
        <v/>
      </c>
      <c r="K294" s="14" t="n">
        <v>2449</v>
      </c>
      <c r="L294" s="14" t="n"/>
      <c r="M294" s="13" t="inlineStr">
        <is>
          <t>de schuld aan de leverancier daalt</t>
        </is>
      </c>
      <c r="N294" s="13" t="inlineStr">
        <is>
          <t>nee</t>
        </is>
      </c>
    </row>
    <row r="295">
      <c r="A295" s="12" t="n">
        <v>294</v>
      </c>
      <c r="B295" s="16" t="n">
        <v>46640</v>
      </c>
      <c r="C295" s="7" t="inlineStr">
        <is>
          <t>K3</t>
        </is>
      </c>
      <c r="D295" s="13" t="inlineStr">
        <is>
          <t>K3</t>
        </is>
      </c>
      <c r="E295" s="13" t="inlineStr">
        <is>
          <t>U2027-17/3</t>
        </is>
      </c>
      <c r="F295" s="13" t="inlineStr">
        <is>
          <t>uittreksel U2027-17/3</t>
        </is>
      </c>
      <c r="G295" s="13" t="n">
        <v>550000</v>
      </c>
      <c r="H295" s="13">
        <f>INDEX('MAR 2e graad'!$B$2:$B$58,MATCH(G295,'MAR 2e graad'!$A$2:$A$58,0))</f>
        <v/>
      </c>
      <c r="I295" s="13">
        <f>INDEX('MAR 2e graad'!$C$2:$C$58,MATCH(G295,'MAR 2e graad'!$A$2:$A$58,0))</f>
        <v/>
      </c>
      <c r="J295" s="13">
        <f>IF(OR(I295="A",I295="K"),IF(K295&gt;0,"+","-"),IF(L295&gt;0,"+","-"))</f>
        <v/>
      </c>
      <c r="K295" s="14" t="n"/>
      <c r="L295" s="14" t="n">
        <v>2449</v>
      </c>
      <c r="M295" s="13" t="inlineStr">
        <is>
          <t>de bank daalt</t>
        </is>
      </c>
      <c r="N295" s="13" t="inlineStr">
        <is>
          <t>nee</t>
        </is>
      </c>
    </row>
    <row r="296">
      <c r="A296" s="12" t="n">
        <v>295</v>
      </c>
      <c r="B296" s="16" t="n">
        <v>46640</v>
      </c>
      <c r="C296" s="7" t="inlineStr">
        <is>
          <t>K3</t>
        </is>
      </c>
      <c r="D296" s="13" t="inlineStr">
        <is>
          <t>K3</t>
        </is>
      </c>
      <c r="E296" s="13" t="inlineStr">
        <is>
          <t>U2027-17/4</t>
        </is>
      </c>
      <c r="F296" s="13" t="inlineStr">
        <is>
          <t>uittreksel U2027-17/4</t>
        </is>
      </c>
      <c r="G296" s="13" t="n">
        <v>550000</v>
      </c>
      <c r="H296" s="13">
        <f>INDEX('MAR 2e graad'!$B$2:$B$58,MATCH(G296,'MAR 2e graad'!$A$2:$A$58,0))</f>
        <v/>
      </c>
      <c r="I296" s="13">
        <f>INDEX('MAR 2e graad'!$C$2:$C$58,MATCH(G296,'MAR 2e graad'!$A$2:$A$58,0))</f>
        <v/>
      </c>
      <c r="J296" s="13">
        <f>IF(OR(I296="A",I296="K"),IF(K296&gt;0,"+","-"),IF(L296&gt;0,"+","-"))</f>
        <v/>
      </c>
      <c r="K296" s="14" t="n">
        <v>2399</v>
      </c>
      <c r="L296" s="14" t="n"/>
      <c r="M296" s="13" t="inlineStr">
        <is>
          <t>de bank stijgt</t>
        </is>
      </c>
      <c r="N296" s="13" t="inlineStr">
        <is>
          <t>nee</t>
        </is>
      </c>
    </row>
    <row r="297">
      <c r="A297" s="12" t="n">
        <v>296</v>
      </c>
      <c r="B297" s="16" t="n">
        <v>46640</v>
      </c>
      <c r="C297" s="7" t="inlineStr">
        <is>
          <t>K3</t>
        </is>
      </c>
      <c r="D297" s="13" t="inlineStr">
        <is>
          <t>K3</t>
        </is>
      </c>
      <c r="E297" s="13" t="inlineStr">
        <is>
          <t>U2027-17/4</t>
        </is>
      </c>
      <c r="F297" s="13" t="inlineStr">
        <is>
          <t>uittreksel U2027-17/4</t>
        </is>
      </c>
      <c r="G297" s="13" t="n">
        <v>400000</v>
      </c>
      <c r="H297" s="13">
        <f>INDEX('MAR 2e graad'!$B$2:$B$58,MATCH(G297,'MAR 2e graad'!$A$2:$A$58,0))</f>
        <v/>
      </c>
      <c r="I297" s="13">
        <f>INDEX('MAR 2e graad'!$C$2:$C$58,MATCH(G297,'MAR 2e graad'!$A$2:$A$58,0))</f>
        <v/>
      </c>
      <c r="J297" s="13">
        <f>IF(OR(I297="A",I297="K"),IF(K297&gt;0,"+","-"),IF(L297&gt;0,"+","-"))</f>
        <v/>
      </c>
      <c r="K297" s="14" t="n"/>
      <c r="L297" s="14" t="n">
        <v>2399</v>
      </c>
      <c r="M297" s="13" t="inlineStr">
        <is>
          <t>de vordering op de klant daalt</t>
        </is>
      </c>
      <c r="N297" s="13" t="inlineStr">
        <is>
          <t>nee</t>
        </is>
      </c>
    </row>
    <row r="298">
      <c r="A298" s="12" t="n">
        <v>297</v>
      </c>
      <c r="B298" s="16" t="n">
        <v>46645</v>
      </c>
      <c r="C298" s="7" t="inlineStr">
        <is>
          <t>K3</t>
        </is>
      </c>
      <c r="D298" s="13" t="inlineStr">
        <is>
          <t>K3</t>
        </is>
      </c>
      <c r="E298" s="13" t="inlineStr">
        <is>
          <t>J2Q3CV2</t>
        </is>
      </c>
      <c r="F298" s="13" t="inlineStr">
        <is>
          <t>CN-2027-007</t>
        </is>
      </c>
      <c r="G298" s="13" t="n">
        <v>400000</v>
      </c>
      <c r="H298" s="13">
        <f>INDEX('MAR 2e graad'!$B$2:$B$58,MATCH(G298,'MAR 2e graad'!$A$2:$A$58,0))</f>
        <v/>
      </c>
      <c r="I298" s="13">
        <f>INDEX('MAR 2e graad'!$C$2:$C$58,MATCH(G298,'MAR 2e graad'!$A$2:$A$58,0))</f>
        <v/>
      </c>
      <c r="J298" s="13">
        <f>IF(OR(I298="A",I298="K"),IF(K298&gt;0,"+","-"),IF(L298&gt;0,"+","-"))</f>
        <v/>
      </c>
      <c r="K298" s="14" t="n"/>
      <c r="L298" s="14" t="n">
        <v>150</v>
      </c>
      <c r="M298" s="13" t="inlineStr">
        <is>
          <t>de vordering op de klant daalt</t>
        </is>
      </c>
      <c r="N298" s="13" t="inlineStr">
        <is>
          <t>nee</t>
        </is>
      </c>
    </row>
    <row r="299">
      <c r="A299" s="12" t="n">
        <v>298</v>
      </c>
      <c r="B299" s="16" t="n">
        <v>46645</v>
      </c>
      <c r="C299" s="7" t="inlineStr">
        <is>
          <t>K3</t>
        </is>
      </c>
      <c r="D299" s="13" t="inlineStr">
        <is>
          <t>K3</t>
        </is>
      </c>
      <c r="E299" s="13" t="inlineStr">
        <is>
          <t>J2Q3CV2</t>
        </is>
      </c>
      <c r="F299" s="13" t="inlineStr">
        <is>
          <t>CN-2027-007</t>
        </is>
      </c>
      <c r="G299" s="13" t="n">
        <v>488000</v>
      </c>
      <c r="H299" s="13">
        <f>INDEX('MAR 2e graad'!$B$2:$B$58,MATCH(G299,'MAR 2e graad'!$A$2:$A$58,0))</f>
        <v/>
      </c>
      <c r="I299" s="13">
        <f>INDEX('MAR 2e graad'!$C$2:$C$58,MATCH(G299,'MAR 2e graad'!$A$2:$A$58,0))</f>
        <v/>
      </c>
      <c r="J299" s="13">
        <f>IF(OR(I299="A",I299="K"),IF(K299&gt;0,"+","-"),IF(L299&gt;0,"+","-"))</f>
        <v/>
      </c>
      <c r="K299" s="14" t="n">
        <v>150</v>
      </c>
      <c r="L299" s="14" t="n"/>
      <c r="M299" s="13" t="inlineStr">
        <is>
          <t>de schuld aan de klant (verpakking) daalt</t>
        </is>
      </c>
      <c r="N299" s="13" t="inlineStr">
        <is>
          <t>nee</t>
        </is>
      </c>
    </row>
    <row r="300">
      <c r="A300" s="12" t="n">
        <v>299</v>
      </c>
      <c r="B300" s="16" t="n">
        <v>46655</v>
      </c>
      <c r="C300" s="7" t="inlineStr">
        <is>
          <t>K3</t>
        </is>
      </c>
      <c r="D300" s="13" t="inlineStr">
        <is>
          <t>K3</t>
        </is>
      </c>
      <c r="E300" s="13" t="inlineStr">
        <is>
          <t>U2027-18/1</t>
        </is>
      </c>
      <c r="F300" s="13" t="inlineStr">
        <is>
          <t>uittreksel U2027-18/1</t>
        </is>
      </c>
      <c r="G300" s="13" t="n">
        <v>550000</v>
      </c>
      <c r="H300" s="13">
        <f>INDEX('MAR 2e graad'!$B$2:$B$58,MATCH(G300,'MAR 2e graad'!$A$2:$A$58,0))</f>
        <v/>
      </c>
      <c r="I300" s="13">
        <f>INDEX('MAR 2e graad'!$C$2:$C$58,MATCH(G300,'MAR 2e graad'!$A$2:$A$58,0))</f>
        <v/>
      </c>
      <c r="J300" s="13">
        <f>IF(OR(I300="A",I300="K"),IF(K300&gt;0,"+","-"),IF(L300&gt;0,"+","-"))</f>
        <v/>
      </c>
      <c r="K300" s="14" t="n">
        <v>6655</v>
      </c>
      <c r="L300" s="14" t="n"/>
      <c r="M300" s="13" t="inlineStr">
        <is>
          <t>de bank stijgt</t>
        </is>
      </c>
      <c r="N300" s="13" t="inlineStr">
        <is>
          <t>nee</t>
        </is>
      </c>
    </row>
    <row r="301">
      <c r="A301" s="12" t="n">
        <v>300</v>
      </c>
      <c r="B301" s="16" t="n">
        <v>46655</v>
      </c>
      <c r="C301" s="7" t="inlineStr">
        <is>
          <t>K3</t>
        </is>
      </c>
      <c r="D301" s="13" t="inlineStr">
        <is>
          <t>K3</t>
        </is>
      </c>
      <c r="E301" s="13" t="inlineStr">
        <is>
          <t>U2027-18/1</t>
        </is>
      </c>
      <c r="F301" s="13" t="inlineStr">
        <is>
          <t>uittreksel U2027-18/1</t>
        </is>
      </c>
      <c r="G301" s="13" t="n">
        <v>400000</v>
      </c>
      <c r="H301" s="13">
        <f>INDEX('MAR 2e graad'!$B$2:$B$58,MATCH(G301,'MAR 2e graad'!$A$2:$A$58,0))</f>
        <v/>
      </c>
      <c r="I301" s="13">
        <f>INDEX('MAR 2e graad'!$C$2:$C$58,MATCH(G301,'MAR 2e graad'!$A$2:$A$58,0))</f>
        <v/>
      </c>
      <c r="J301" s="13">
        <f>IF(OR(I301="A",I301="K"),IF(K301&gt;0,"+","-"),IF(L301&gt;0,"+","-"))</f>
        <v/>
      </c>
      <c r="K301" s="14" t="n"/>
      <c r="L301" s="14" t="n">
        <v>6655</v>
      </c>
      <c r="M301" s="13" t="inlineStr">
        <is>
          <t>de vordering op de klant daalt</t>
        </is>
      </c>
      <c r="N301" s="13" t="inlineStr">
        <is>
          <t>nee</t>
        </is>
      </c>
    </row>
    <row r="302">
      <c r="A302" s="12" t="n">
        <v>301</v>
      </c>
      <c r="B302" s="16" t="n">
        <v>46655</v>
      </c>
      <c r="C302" s="7" t="inlineStr">
        <is>
          <t>K3</t>
        </is>
      </c>
      <c r="D302" s="13" t="inlineStr">
        <is>
          <t>K3</t>
        </is>
      </c>
      <c r="E302" s="13" t="inlineStr">
        <is>
          <t>U2027-18/2</t>
        </is>
      </c>
      <c r="F302" s="13" t="inlineStr">
        <is>
          <t>uittreksel U2027-18/2</t>
        </is>
      </c>
      <c r="G302" s="13" t="n">
        <v>400000</v>
      </c>
      <c r="H302" s="13">
        <f>INDEX('MAR 2e graad'!$B$2:$B$58,MATCH(G302,'MAR 2e graad'!$A$2:$A$58,0))</f>
        <v/>
      </c>
      <c r="I302" s="13">
        <f>INDEX('MAR 2e graad'!$C$2:$C$58,MATCH(G302,'MAR 2e graad'!$A$2:$A$58,0))</f>
        <v/>
      </c>
      <c r="J302" s="13">
        <f>IF(OR(I302="A",I302="K"),IF(K302&gt;0,"+","-"),IF(L302&gt;0,"+","-"))</f>
        <v/>
      </c>
      <c r="K302" s="14" t="n">
        <v>150</v>
      </c>
      <c r="L302" s="14" t="n"/>
      <c r="M302" s="13" t="inlineStr">
        <is>
          <t>de schuld aan de klant (creditnota) daalt</t>
        </is>
      </c>
      <c r="N302" s="13" t="inlineStr">
        <is>
          <t>nee</t>
        </is>
      </c>
    </row>
    <row r="303">
      <c r="A303" s="12" t="n">
        <v>302</v>
      </c>
      <c r="B303" s="16" t="n">
        <v>46655</v>
      </c>
      <c r="C303" s="7" t="inlineStr">
        <is>
          <t>K3</t>
        </is>
      </c>
      <c r="D303" s="13" t="inlineStr">
        <is>
          <t>K3</t>
        </is>
      </c>
      <c r="E303" s="13" t="inlineStr">
        <is>
          <t>U2027-18/2</t>
        </is>
      </c>
      <c r="F303" s="13" t="inlineStr">
        <is>
          <t>uittreksel U2027-18/2</t>
        </is>
      </c>
      <c r="G303" s="13" t="n">
        <v>550000</v>
      </c>
      <c r="H303" s="13">
        <f>INDEX('MAR 2e graad'!$B$2:$B$58,MATCH(G303,'MAR 2e graad'!$A$2:$A$58,0))</f>
        <v/>
      </c>
      <c r="I303" s="13">
        <f>INDEX('MAR 2e graad'!$C$2:$C$58,MATCH(G303,'MAR 2e graad'!$A$2:$A$58,0))</f>
        <v/>
      </c>
      <c r="J303" s="13">
        <f>IF(OR(I303="A",I303="K"),IF(K303&gt;0,"+","-"),IF(L303&gt;0,"+","-"))</f>
        <v/>
      </c>
      <c r="K303" s="14" t="n"/>
      <c r="L303" s="14" t="n">
        <v>150</v>
      </c>
      <c r="M303" s="13" t="inlineStr">
        <is>
          <t>de bank daalt</t>
        </is>
      </c>
      <c r="N303" s="13" t="inlineStr">
        <is>
          <t>nee</t>
        </is>
      </c>
    </row>
    <row r="304">
      <c r="A304" s="12" t="n">
        <v>303</v>
      </c>
      <c r="B304" s="16" t="n">
        <v>46660</v>
      </c>
      <c r="C304" s="7" t="inlineStr">
        <is>
          <t>K3</t>
        </is>
      </c>
      <c r="D304" s="13" t="inlineStr">
        <is>
          <t>K3</t>
        </is>
      </c>
      <c r="E304" s="13" t="inlineStr">
        <is>
          <t>J2BTW3</t>
        </is>
      </c>
      <c r="F304" s="13" t="inlineStr">
        <is>
          <t>J2BTW3</t>
        </is>
      </c>
      <c r="G304" s="13" t="n">
        <v>451100</v>
      </c>
      <c r="H304" s="13">
        <f>INDEX('MAR 2e graad'!$B$2:$B$58,MATCH(G304,'MAR 2e graad'!$A$2:$A$58,0))</f>
        <v/>
      </c>
      <c r="I304" s="13">
        <f>INDEX('MAR 2e graad'!$C$2:$C$58,MATCH(G304,'MAR 2e graad'!$A$2:$A$58,0))</f>
        <v/>
      </c>
      <c r="J304" s="13">
        <f>IF(OR(I304="A",I304="K"),IF(K304&gt;0,"+","-"),IF(L304&gt;0,"+","-"))</f>
        <v/>
      </c>
      <c r="K304" s="14" t="n">
        <v>3201</v>
      </c>
      <c r="L304" s="14" t="n"/>
      <c r="M304" s="13" t="inlineStr">
        <is>
          <t>de verschuldigde btw wordt op 0 gezet</t>
        </is>
      </c>
      <c r="N304" s="13" t="inlineStr">
        <is>
          <t>nee</t>
        </is>
      </c>
    </row>
    <row r="305">
      <c r="A305" s="12" t="n">
        <v>304</v>
      </c>
      <c r="B305" s="16" t="n">
        <v>46660</v>
      </c>
      <c r="C305" s="7" t="inlineStr">
        <is>
          <t>K3</t>
        </is>
      </c>
      <c r="D305" s="13" t="inlineStr">
        <is>
          <t>K3</t>
        </is>
      </c>
      <c r="E305" s="13" t="inlineStr">
        <is>
          <t>J2BTW3</t>
        </is>
      </c>
      <c r="F305" s="13" t="inlineStr">
        <is>
          <t>J2BTW3</t>
        </is>
      </c>
      <c r="G305" s="13" t="n">
        <v>451200</v>
      </c>
      <c r="H305" s="13">
        <f>INDEX('MAR 2e graad'!$B$2:$B$58,MATCH(G305,'MAR 2e graad'!$A$2:$A$58,0))</f>
        <v/>
      </c>
      <c r="I305" s="13">
        <f>INDEX('MAR 2e graad'!$C$2:$C$58,MATCH(G305,'MAR 2e graad'!$A$2:$A$58,0))</f>
        <v/>
      </c>
      <c r="J305" s="13">
        <f>IF(OR(I305="A",I305="K"),IF(K305&gt;0,"+","-"),IF(L305&gt;0,"+","-"))</f>
        <v/>
      </c>
      <c r="K305" s="14" t="n">
        <v>588</v>
      </c>
      <c r="L305" s="14" t="n"/>
      <c r="M305" s="13" t="inlineStr">
        <is>
          <t>de verschuldigde btw op inkomende creditnota’s wordt op 0 gezet</t>
        </is>
      </c>
      <c r="N305" s="13" t="inlineStr">
        <is>
          <t>nee</t>
        </is>
      </c>
    </row>
    <row r="306">
      <c r="A306" s="12" t="n">
        <v>305</v>
      </c>
      <c r="B306" s="16" t="n">
        <v>46660</v>
      </c>
      <c r="C306" s="7" t="inlineStr">
        <is>
          <t>K3</t>
        </is>
      </c>
      <c r="D306" s="13" t="inlineStr">
        <is>
          <t>K3</t>
        </is>
      </c>
      <c r="E306" s="13" t="inlineStr">
        <is>
          <t>J2BTW3</t>
        </is>
      </c>
      <c r="F306" s="13" t="inlineStr">
        <is>
          <t>J2BTW3</t>
        </is>
      </c>
      <c r="G306" s="13" t="n">
        <v>411100</v>
      </c>
      <c r="H306" s="13">
        <f>INDEX('MAR 2e graad'!$B$2:$B$58,MATCH(G306,'MAR 2e graad'!$A$2:$A$58,0))</f>
        <v/>
      </c>
      <c r="I306" s="13">
        <f>INDEX('MAR 2e graad'!$C$2:$C$58,MATCH(G306,'MAR 2e graad'!$A$2:$A$58,0))</f>
        <v/>
      </c>
      <c r="J306" s="13">
        <f>IF(OR(I306="A",I306="K"),IF(K306&gt;0,"+","-"),IF(L306&gt;0,"+","-"))</f>
        <v/>
      </c>
      <c r="K306" s="14" t="n"/>
      <c r="L306" s="14" t="n">
        <v>7266</v>
      </c>
      <c r="M306" s="13" t="inlineStr">
        <is>
          <t>de aftrekbare btw wordt op 0 gezet</t>
        </is>
      </c>
      <c r="N306" s="13" t="inlineStr">
        <is>
          <t>nee</t>
        </is>
      </c>
    </row>
    <row r="307">
      <c r="A307" s="12" t="n">
        <v>306</v>
      </c>
      <c r="B307" s="16" t="n">
        <v>46660</v>
      </c>
      <c r="C307" s="7" t="inlineStr">
        <is>
          <t>K3</t>
        </is>
      </c>
      <c r="D307" s="13" t="inlineStr">
        <is>
          <t>K3</t>
        </is>
      </c>
      <c r="E307" s="13" t="inlineStr">
        <is>
          <t>J2BTW3</t>
        </is>
      </c>
      <c r="F307" s="13" t="inlineStr">
        <is>
          <t>J2BTW3</t>
        </is>
      </c>
      <c r="G307" s="13" t="n">
        <v>411200</v>
      </c>
      <c r="H307" s="13">
        <f>INDEX('MAR 2e graad'!$B$2:$B$58,MATCH(G307,'MAR 2e graad'!$A$2:$A$58,0))</f>
        <v/>
      </c>
      <c r="I307" s="13">
        <f>INDEX('MAR 2e graad'!$C$2:$C$58,MATCH(G307,'MAR 2e graad'!$A$2:$A$58,0))</f>
        <v/>
      </c>
      <c r="J307" s="13">
        <f>IF(OR(I307="A",I307="K"),IF(K307&gt;0,"+","-"),IF(L307&gt;0,"+","-"))</f>
        <v/>
      </c>
      <c r="K307" s="14" t="n"/>
      <c r="L307" s="14" t="n">
        <v>399</v>
      </c>
      <c r="M307" s="13" t="inlineStr">
        <is>
          <t>de aftrekbare btw op uitgaande creditnota’s wordt op 0 gezet</t>
        </is>
      </c>
      <c r="N307" s="13" t="inlineStr">
        <is>
          <t>nee</t>
        </is>
      </c>
    </row>
    <row r="308">
      <c r="A308" s="12" t="n">
        <v>307</v>
      </c>
      <c r="B308" s="16" t="n">
        <v>46660</v>
      </c>
      <c r="C308" s="7" t="inlineStr">
        <is>
          <t>K3</t>
        </is>
      </c>
      <c r="D308" s="13" t="inlineStr">
        <is>
          <t>K3</t>
        </is>
      </c>
      <c r="E308" s="13" t="inlineStr">
        <is>
          <t>J2BTW3</t>
        </is>
      </c>
      <c r="F308" s="13" t="inlineStr">
        <is>
          <t>J2BTW3</t>
        </is>
      </c>
      <c r="G308" s="13" t="n">
        <v>411000</v>
      </c>
      <c r="H308" s="13">
        <f>INDEX('MAR 2e graad'!$B$2:$B$58,MATCH(G308,'MAR 2e graad'!$A$2:$A$58,0))</f>
        <v/>
      </c>
      <c r="I308" s="13">
        <f>INDEX('MAR 2e graad'!$C$2:$C$58,MATCH(G308,'MAR 2e graad'!$A$2:$A$58,0))</f>
        <v/>
      </c>
      <c r="J308" s="13">
        <f>IF(OR(I308="A",I308="K"),IF(K308&gt;0,"+","-"),IF(L308&gt;0,"+","-"))</f>
        <v/>
      </c>
      <c r="K308" s="14" t="n">
        <v>3876</v>
      </c>
      <c r="L308" s="14" t="n"/>
      <c r="M308" s="13" t="inlineStr">
        <is>
          <t>het btw-tegoed (terug te vorderen, door te schuiven) stijgt</t>
        </is>
      </c>
      <c r="N308" s="13" t="inlineStr">
        <is>
          <t>nee</t>
        </is>
      </c>
    </row>
    <row r="309">
      <c r="A309" s="12" t="n">
        <v>308</v>
      </c>
      <c r="B309" s="16" t="n">
        <v>46661</v>
      </c>
      <c r="C309" s="8" t="inlineStr">
        <is>
          <t>K4</t>
        </is>
      </c>
      <c r="D309" s="13" t="inlineStr">
        <is>
          <t>K4</t>
        </is>
      </c>
      <c r="E309" s="13" t="inlineStr">
        <is>
          <t>J2Q4A1</t>
        </is>
      </c>
      <c r="F309" s="13" t="inlineStr">
        <is>
          <t>2027-702</t>
        </is>
      </c>
      <c r="G309" s="13" t="n">
        <v>604000</v>
      </c>
      <c r="H309" s="13">
        <f>INDEX('MAR 2e graad'!$B$2:$B$58,MATCH(G309,'MAR 2e graad'!$A$2:$A$58,0))</f>
        <v/>
      </c>
      <c r="I309" s="13">
        <f>INDEX('MAR 2e graad'!$C$2:$C$58,MATCH(G309,'MAR 2e graad'!$A$2:$A$58,0))</f>
        <v/>
      </c>
      <c r="J309" s="13">
        <f>IF(OR(I309="A",I309="K"),IF(K309&gt;0,"+","-"),IF(L309&gt;0,"+","-"))</f>
        <v/>
      </c>
      <c r="K309" s="14" t="n">
        <v>1600</v>
      </c>
      <c r="L309" s="14" t="n"/>
      <c r="M309" s="13" t="inlineStr">
        <is>
          <t>de kosten voor handelsgoederen stijgen</t>
        </is>
      </c>
      <c r="N309" s="13" t="inlineStr">
        <is>
          <t>nee</t>
        </is>
      </c>
    </row>
    <row r="310">
      <c r="A310" s="12" t="n">
        <v>309</v>
      </c>
      <c r="B310" s="16" t="n">
        <v>46661</v>
      </c>
      <c r="C310" s="8" t="inlineStr">
        <is>
          <t>K4</t>
        </is>
      </c>
      <c r="D310" s="13" t="inlineStr">
        <is>
          <t>K4</t>
        </is>
      </c>
      <c r="E310" s="13" t="inlineStr">
        <is>
          <t>J2Q4A1</t>
        </is>
      </c>
      <c r="F310" s="13" t="inlineStr">
        <is>
          <t>2027-702</t>
        </is>
      </c>
      <c r="G310" s="13" t="n">
        <v>604000</v>
      </c>
      <c r="H310" s="13">
        <f>INDEX('MAR 2e graad'!$B$2:$B$58,MATCH(G310,'MAR 2e graad'!$A$2:$A$58,0))</f>
        <v/>
      </c>
      <c r="I310" s="13">
        <f>INDEX('MAR 2e graad'!$C$2:$C$58,MATCH(G310,'MAR 2e graad'!$A$2:$A$58,0))</f>
        <v/>
      </c>
      <c r="J310" s="13">
        <f>IF(OR(I310="A",I310="K"),IF(K310&gt;0,"+","-"),IF(L310&gt;0,"+","-"))</f>
        <v/>
      </c>
      <c r="K310" s="14" t="n">
        <v>4200</v>
      </c>
      <c r="L310" s="14" t="n"/>
      <c r="M310" s="13" t="inlineStr">
        <is>
          <t>de kosten voor handelsgoederen stijgen</t>
        </is>
      </c>
      <c r="N310" s="13" t="inlineStr">
        <is>
          <t>nee</t>
        </is>
      </c>
    </row>
    <row r="311">
      <c r="A311" s="12" t="n">
        <v>310</v>
      </c>
      <c r="B311" s="16" t="n">
        <v>46661</v>
      </c>
      <c r="C311" s="8" t="inlineStr">
        <is>
          <t>K4</t>
        </is>
      </c>
      <c r="D311" s="13" t="inlineStr">
        <is>
          <t>K4</t>
        </is>
      </c>
      <c r="E311" s="13" t="inlineStr">
        <is>
          <t>J2Q4A1</t>
        </is>
      </c>
      <c r="F311" s="13" t="inlineStr">
        <is>
          <t>2027-702</t>
        </is>
      </c>
      <c r="G311" s="13" t="n">
        <v>604000</v>
      </c>
      <c r="H311" s="13">
        <f>INDEX('MAR 2e graad'!$B$2:$B$58,MATCH(G311,'MAR 2e graad'!$A$2:$A$58,0))</f>
        <v/>
      </c>
      <c r="I311" s="13">
        <f>INDEX('MAR 2e graad'!$C$2:$C$58,MATCH(G311,'MAR 2e graad'!$A$2:$A$58,0))</f>
        <v/>
      </c>
      <c r="J311" s="13">
        <f>IF(OR(I311="A",I311="K"),IF(K311&gt;0,"+","-"),IF(L311&gt;0,"+","-"))</f>
        <v/>
      </c>
      <c r="K311" s="14" t="n">
        <v>3600</v>
      </c>
      <c r="L311" s="14" t="n"/>
      <c r="M311" s="13" t="inlineStr">
        <is>
          <t>de kosten voor handelsgoederen stijgen</t>
        </is>
      </c>
      <c r="N311" s="13" t="inlineStr">
        <is>
          <t>nee</t>
        </is>
      </c>
    </row>
    <row r="312">
      <c r="A312" s="12" t="n">
        <v>311</v>
      </c>
      <c r="B312" s="16" t="n">
        <v>46661</v>
      </c>
      <c r="C312" s="8" t="inlineStr">
        <is>
          <t>K4</t>
        </is>
      </c>
      <c r="D312" s="13" t="inlineStr">
        <is>
          <t>K4</t>
        </is>
      </c>
      <c r="E312" s="13" t="inlineStr">
        <is>
          <t>J2Q4A1</t>
        </is>
      </c>
      <c r="F312" s="13" t="inlineStr">
        <is>
          <t>2027-702</t>
        </is>
      </c>
      <c r="G312" s="13" t="n">
        <v>604000</v>
      </c>
      <c r="H312" s="13">
        <f>INDEX('MAR 2e graad'!$B$2:$B$58,MATCH(G312,'MAR 2e graad'!$A$2:$A$58,0))</f>
        <v/>
      </c>
      <c r="I312" s="13">
        <f>INDEX('MAR 2e graad'!$C$2:$C$58,MATCH(G312,'MAR 2e graad'!$A$2:$A$58,0))</f>
        <v/>
      </c>
      <c r="J312" s="13">
        <f>IF(OR(I312="A",I312="K"),IF(K312&gt;0,"+","-"),IF(L312&gt;0,"+","-"))</f>
        <v/>
      </c>
      <c r="K312" s="14" t="n">
        <v>600</v>
      </c>
      <c r="L312" s="14" t="n"/>
      <c r="M312" s="13" t="inlineStr">
        <is>
          <t>de kosten voor handelsgoederen stijgen</t>
        </is>
      </c>
      <c r="N312" s="13" t="inlineStr">
        <is>
          <t>nee</t>
        </is>
      </c>
    </row>
    <row r="313">
      <c r="A313" s="12" t="n">
        <v>312</v>
      </c>
      <c r="B313" s="16" t="n">
        <v>46661</v>
      </c>
      <c r="C313" s="8" t="inlineStr">
        <is>
          <t>K4</t>
        </is>
      </c>
      <c r="D313" s="13" t="inlineStr">
        <is>
          <t>K4</t>
        </is>
      </c>
      <c r="E313" s="13" t="inlineStr">
        <is>
          <t>J2Q4A1</t>
        </is>
      </c>
      <c r="F313" s="13" t="inlineStr">
        <is>
          <t>2027-702</t>
        </is>
      </c>
      <c r="G313" s="13" t="n">
        <v>418000</v>
      </c>
      <c r="H313" s="13">
        <f>INDEX('MAR 2e graad'!$B$2:$B$58,MATCH(G313,'MAR 2e graad'!$A$2:$A$58,0))</f>
        <v/>
      </c>
      <c r="I313" s="13">
        <f>INDEX('MAR 2e graad'!$C$2:$C$58,MATCH(G313,'MAR 2e graad'!$A$2:$A$58,0))</f>
        <v/>
      </c>
      <c r="J313" s="13">
        <f>IF(OR(I313="A",I313="K"),IF(K313&gt;0,"+","-"),IF(L313&gt;0,"+","-"))</f>
        <v/>
      </c>
      <c r="K313" s="14" t="n">
        <v>200</v>
      </c>
      <c r="L313" s="14" t="n"/>
      <c r="M313" s="13" t="inlineStr">
        <is>
          <t>de vordering op de leverancier (verpakking) stijgt</t>
        </is>
      </c>
      <c r="N313" s="13" t="inlineStr">
        <is>
          <t>nee</t>
        </is>
      </c>
    </row>
    <row r="314">
      <c r="A314" s="12" t="n">
        <v>313</v>
      </c>
      <c r="B314" s="16" t="n">
        <v>46661</v>
      </c>
      <c r="C314" s="8" t="inlineStr">
        <is>
          <t>K4</t>
        </is>
      </c>
      <c r="D314" s="13" t="inlineStr">
        <is>
          <t>K4</t>
        </is>
      </c>
      <c r="E314" s="13" t="inlineStr">
        <is>
          <t>J2Q4A1</t>
        </is>
      </c>
      <c r="F314" s="13" t="inlineStr">
        <is>
          <t>2027-702</t>
        </is>
      </c>
      <c r="G314" s="13" t="n">
        <v>604020</v>
      </c>
      <c r="H314" s="13">
        <f>INDEX('MAR 2e graad'!$B$2:$B$58,MATCH(G314,'MAR 2e graad'!$A$2:$A$58,0))</f>
        <v/>
      </c>
      <c r="I314" s="13">
        <f>INDEX('MAR 2e graad'!$C$2:$C$58,MATCH(G314,'MAR 2e graad'!$A$2:$A$58,0))</f>
        <v/>
      </c>
      <c r="J314" s="13">
        <f>IF(OR(I314="A",I314="K"),IF(K314&gt;0,"+","-"),IF(L314&gt;0,"+","-"))</f>
        <v/>
      </c>
      <c r="K314" s="14" t="n"/>
      <c r="L314" s="14" t="n">
        <v>1000</v>
      </c>
      <c r="M314" s="13" t="inlineStr">
        <is>
          <t>de handelskorting op aankopen stijgt (kost daalt)</t>
        </is>
      </c>
      <c r="N314" s="13" t="inlineStr">
        <is>
          <t>nee</t>
        </is>
      </c>
    </row>
    <row r="315">
      <c r="A315" s="12" t="n">
        <v>314</v>
      </c>
      <c r="B315" s="16" t="n">
        <v>46661</v>
      </c>
      <c r="C315" s="8" t="inlineStr">
        <is>
          <t>K4</t>
        </is>
      </c>
      <c r="D315" s="13" t="inlineStr">
        <is>
          <t>K4</t>
        </is>
      </c>
      <c r="E315" s="13" t="inlineStr">
        <is>
          <t>J2Q4A1</t>
        </is>
      </c>
      <c r="F315" s="13" t="inlineStr">
        <is>
          <t>2027-702</t>
        </is>
      </c>
      <c r="G315" s="13" t="n">
        <v>411100</v>
      </c>
      <c r="H315" s="13">
        <f>INDEX('MAR 2e graad'!$B$2:$B$58,MATCH(G315,'MAR 2e graad'!$A$2:$A$58,0))</f>
        <v/>
      </c>
      <c r="I315" s="13">
        <f>INDEX('MAR 2e graad'!$C$2:$C$58,MATCH(G315,'MAR 2e graad'!$A$2:$A$58,0))</f>
        <v/>
      </c>
      <c r="J315" s="13">
        <f>IF(OR(I315="A",I315="K"),IF(K315&gt;0,"+","-"),IF(L315&gt;0,"+","-"))</f>
        <v/>
      </c>
      <c r="K315" s="14" t="n">
        <v>1890</v>
      </c>
      <c r="L315" s="14" t="n"/>
      <c r="M315" s="13" t="inlineStr">
        <is>
          <t>de vordering op de overheid (aftrekbare btw) stijgt</t>
        </is>
      </c>
      <c r="N315" s="13" t="inlineStr">
        <is>
          <t>nee</t>
        </is>
      </c>
    </row>
    <row r="316">
      <c r="A316" s="12" t="n">
        <v>315</v>
      </c>
      <c r="B316" s="16" t="n">
        <v>46661</v>
      </c>
      <c r="C316" s="8" t="inlineStr">
        <is>
          <t>K4</t>
        </is>
      </c>
      <c r="D316" s="13" t="inlineStr">
        <is>
          <t>K4</t>
        </is>
      </c>
      <c r="E316" s="13" t="inlineStr">
        <is>
          <t>J2Q4A1</t>
        </is>
      </c>
      <c r="F316" s="13" t="inlineStr">
        <is>
          <t>2027-702</t>
        </is>
      </c>
      <c r="G316" s="13" t="n">
        <v>440000</v>
      </c>
      <c r="H316" s="13">
        <f>INDEX('MAR 2e graad'!$B$2:$B$58,MATCH(G316,'MAR 2e graad'!$A$2:$A$58,0))</f>
        <v/>
      </c>
      <c r="I316" s="13">
        <f>INDEX('MAR 2e graad'!$C$2:$C$58,MATCH(G316,'MAR 2e graad'!$A$2:$A$58,0))</f>
        <v/>
      </c>
      <c r="J316" s="13">
        <f>IF(OR(I316="A",I316="K"),IF(K316&gt;0,"+","-"),IF(L316&gt;0,"+","-"))</f>
        <v/>
      </c>
      <c r="K316" s="14" t="n"/>
      <c r="L316" s="14" t="n">
        <v>11090</v>
      </c>
      <c r="M316" s="13" t="inlineStr">
        <is>
          <t>de schuld aan de leverancier stijgt</t>
        </is>
      </c>
      <c r="N316" s="13" t="inlineStr">
        <is>
          <t>nee</t>
        </is>
      </c>
    </row>
    <row r="317">
      <c r="A317" s="12" t="n">
        <v>316</v>
      </c>
      <c r="B317" s="16" t="n">
        <v>46666</v>
      </c>
      <c r="C317" s="8" t="inlineStr">
        <is>
          <t>K4</t>
        </is>
      </c>
      <c r="D317" s="13" t="inlineStr">
        <is>
          <t>K4</t>
        </is>
      </c>
      <c r="E317" s="13" t="inlineStr">
        <is>
          <t>J2Q4A2</t>
        </is>
      </c>
      <c r="F317" s="13" t="inlineStr">
        <is>
          <t>SK-27-3310</t>
        </is>
      </c>
      <c r="G317" s="13" t="n">
        <v>612700</v>
      </c>
      <c r="H317" s="13">
        <f>INDEX('MAR 2e graad'!$B$2:$B$58,MATCH(G317,'MAR 2e graad'!$A$2:$A$58,0))</f>
        <v/>
      </c>
      <c r="I317" s="13">
        <f>INDEX('MAR 2e graad'!$C$2:$C$58,MATCH(G317,'MAR 2e graad'!$A$2:$A$58,0))</f>
        <v/>
      </c>
      <c r="J317" s="13">
        <f>IF(OR(I317="A",I317="K"),IF(K317&gt;0,"+","-"),IF(L317&gt;0,"+","-"))</f>
        <v/>
      </c>
      <c r="K317" s="14" t="n">
        <v>700</v>
      </c>
      <c r="L317" s="14" t="n"/>
      <c r="M317" s="13" t="inlineStr">
        <is>
          <t>de kosten voor diensten en diverse goederen stijgen</t>
        </is>
      </c>
      <c r="N317" s="13" t="inlineStr">
        <is>
          <t>nee</t>
        </is>
      </c>
    </row>
    <row r="318">
      <c r="A318" s="12" t="n">
        <v>317</v>
      </c>
      <c r="B318" s="16" t="n">
        <v>46666</v>
      </c>
      <c r="C318" s="8" t="inlineStr">
        <is>
          <t>K4</t>
        </is>
      </c>
      <c r="D318" s="13" t="inlineStr">
        <is>
          <t>K4</t>
        </is>
      </c>
      <c r="E318" s="13" t="inlineStr">
        <is>
          <t>J2Q4A2</t>
        </is>
      </c>
      <c r="F318" s="13" t="inlineStr">
        <is>
          <t>SK-27-3310</t>
        </is>
      </c>
      <c r="G318" s="13" t="n">
        <v>411100</v>
      </c>
      <c r="H318" s="13">
        <f>INDEX('MAR 2e graad'!$B$2:$B$58,MATCH(G318,'MAR 2e graad'!$A$2:$A$58,0))</f>
        <v/>
      </c>
      <c r="I318" s="13">
        <f>INDEX('MAR 2e graad'!$C$2:$C$58,MATCH(G318,'MAR 2e graad'!$A$2:$A$58,0))</f>
        <v/>
      </c>
      <c r="J318" s="13">
        <f>IF(OR(I318="A",I318="K"),IF(K318&gt;0,"+","-"),IF(L318&gt;0,"+","-"))</f>
        <v/>
      </c>
      <c r="K318" s="14" t="n">
        <v>147</v>
      </c>
      <c r="L318" s="14" t="n"/>
      <c r="M318" s="13" t="inlineStr">
        <is>
          <t>de vordering op de overheid (aftrekbare btw) stijgt</t>
        </is>
      </c>
      <c r="N318" s="13" t="inlineStr">
        <is>
          <t>nee</t>
        </is>
      </c>
    </row>
    <row r="319">
      <c r="A319" s="12" t="n">
        <v>318</v>
      </c>
      <c r="B319" s="16" t="n">
        <v>46666</v>
      </c>
      <c r="C319" s="8" t="inlineStr">
        <is>
          <t>K4</t>
        </is>
      </c>
      <c r="D319" s="13" t="inlineStr">
        <is>
          <t>K4</t>
        </is>
      </c>
      <c r="E319" s="13" t="inlineStr">
        <is>
          <t>J2Q4A2</t>
        </is>
      </c>
      <c r="F319" s="13" t="inlineStr">
        <is>
          <t>SK-27-3310</t>
        </is>
      </c>
      <c r="G319" s="13" t="n">
        <v>440000</v>
      </c>
      <c r="H319" s="13">
        <f>INDEX('MAR 2e graad'!$B$2:$B$58,MATCH(G319,'MAR 2e graad'!$A$2:$A$58,0))</f>
        <v/>
      </c>
      <c r="I319" s="13">
        <f>INDEX('MAR 2e graad'!$C$2:$C$58,MATCH(G319,'MAR 2e graad'!$A$2:$A$58,0))</f>
        <v/>
      </c>
      <c r="J319" s="13">
        <f>IF(OR(I319="A",I319="K"),IF(K319&gt;0,"+","-"),IF(L319&gt;0,"+","-"))</f>
        <v/>
      </c>
      <c r="K319" s="14" t="n"/>
      <c r="L319" s="14" t="n">
        <v>847</v>
      </c>
      <c r="M319" s="13" t="inlineStr">
        <is>
          <t>de schuld aan de leverancier stijgt</t>
        </is>
      </c>
      <c r="N319" s="13" t="inlineStr">
        <is>
          <t>nee</t>
        </is>
      </c>
    </row>
    <row r="320">
      <c r="A320" s="12" t="n">
        <v>319</v>
      </c>
      <c r="B320" s="16" t="n">
        <v>46667</v>
      </c>
      <c r="C320" s="8" t="inlineStr">
        <is>
          <t>K4</t>
        </is>
      </c>
      <c r="D320" s="13" t="inlineStr">
        <is>
          <t>K4</t>
        </is>
      </c>
      <c r="E320" s="13" t="inlineStr">
        <is>
          <t>J2Q4V1</t>
        </is>
      </c>
      <c r="F320" s="13" t="inlineStr">
        <is>
          <t>2027-020</t>
        </is>
      </c>
      <c r="G320" s="13" t="n">
        <v>400000</v>
      </c>
      <c r="H320" s="13">
        <f>INDEX('MAR 2e graad'!$B$2:$B$58,MATCH(G320,'MAR 2e graad'!$A$2:$A$58,0))</f>
        <v/>
      </c>
      <c r="I320" s="13">
        <f>INDEX('MAR 2e graad'!$C$2:$C$58,MATCH(G320,'MAR 2e graad'!$A$2:$A$58,0))</f>
        <v/>
      </c>
      <c r="J320" s="13">
        <f>IF(OR(I320="A",I320="K"),IF(K320&gt;0,"+","-"),IF(L320&gt;0,"+","-"))</f>
        <v/>
      </c>
      <c r="K320" s="14" t="n">
        <v>6684</v>
      </c>
      <c r="L320" s="14" t="n"/>
      <c r="M320" s="13" t="inlineStr">
        <is>
          <t>de vordering op de klant stijgt</t>
        </is>
      </c>
      <c r="N320" s="13" t="inlineStr">
        <is>
          <t>nee</t>
        </is>
      </c>
    </row>
    <row r="321">
      <c r="A321" s="12" t="n">
        <v>320</v>
      </c>
      <c r="B321" s="16" t="n">
        <v>46667</v>
      </c>
      <c r="C321" s="8" t="inlineStr">
        <is>
          <t>K4</t>
        </is>
      </c>
      <c r="D321" s="13" t="inlineStr">
        <is>
          <t>K4</t>
        </is>
      </c>
      <c r="E321" s="13" t="inlineStr">
        <is>
          <t>J2Q4V1</t>
        </is>
      </c>
      <c r="F321" s="13" t="inlineStr">
        <is>
          <t>2027-020</t>
        </is>
      </c>
      <c r="G321" s="13" t="n">
        <v>704000</v>
      </c>
      <c r="H321" s="13">
        <f>INDEX('MAR 2e graad'!$B$2:$B$58,MATCH(G321,'MAR 2e graad'!$A$2:$A$58,0))</f>
        <v/>
      </c>
      <c r="I321" s="13">
        <f>INDEX('MAR 2e graad'!$C$2:$C$58,MATCH(G321,'MAR 2e graad'!$A$2:$A$58,0))</f>
        <v/>
      </c>
      <c r="J321" s="13">
        <f>IF(OR(I321="A",I321="K"),IF(K321&gt;0,"+","-"),IF(L321&gt;0,"+","-"))</f>
        <v/>
      </c>
      <c r="K321" s="14" t="n"/>
      <c r="L321" s="14" t="n">
        <v>6000</v>
      </c>
      <c r="M321" s="13" t="inlineStr">
        <is>
          <t>de omzet stijgt</t>
        </is>
      </c>
      <c r="N321" s="13" t="inlineStr">
        <is>
          <t>nee</t>
        </is>
      </c>
    </row>
    <row r="322">
      <c r="A322" s="12" t="n">
        <v>321</v>
      </c>
      <c r="B322" s="16" t="n">
        <v>46667</v>
      </c>
      <c r="C322" s="8" t="inlineStr">
        <is>
          <t>K4</t>
        </is>
      </c>
      <c r="D322" s="13" t="inlineStr">
        <is>
          <t>K4</t>
        </is>
      </c>
      <c r="E322" s="13" t="inlineStr">
        <is>
          <t>J2Q4V1</t>
        </is>
      </c>
      <c r="F322" s="13" t="inlineStr">
        <is>
          <t>2027-020</t>
        </is>
      </c>
      <c r="G322" s="13" t="n">
        <v>488000</v>
      </c>
      <c r="H322" s="13">
        <f>INDEX('MAR 2e graad'!$B$2:$B$58,MATCH(G322,'MAR 2e graad'!$A$2:$A$58,0))</f>
        <v/>
      </c>
      <c r="I322" s="13">
        <f>INDEX('MAR 2e graad'!$C$2:$C$58,MATCH(G322,'MAR 2e graad'!$A$2:$A$58,0))</f>
        <v/>
      </c>
      <c r="J322" s="13">
        <f>IF(OR(I322="A",I322="K"),IF(K322&gt;0,"+","-"),IF(L322&gt;0,"+","-"))</f>
        <v/>
      </c>
      <c r="K322" s="14" t="n"/>
      <c r="L322" s="14" t="n">
        <v>150</v>
      </c>
      <c r="M322" s="13" t="inlineStr">
        <is>
          <t>de schuld aan de klant (verpakking) stijgt</t>
        </is>
      </c>
      <c r="N322" s="13" t="inlineStr">
        <is>
          <t>nee</t>
        </is>
      </c>
    </row>
    <row r="323">
      <c r="A323" s="12" t="n">
        <v>322</v>
      </c>
      <c r="B323" s="16" t="n">
        <v>46667</v>
      </c>
      <c r="C323" s="8" t="inlineStr">
        <is>
          <t>K4</t>
        </is>
      </c>
      <c r="D323" s="13" t="inlineStr">
        <is>
          <t>K4</t>
        </is>
      </c>
      <c r="E323" s="13" t="inlineStr">
        <is>
          <t>J2Q4V1</t>
        </is>
      </c>
      <c r="F323" s="13" t="inlineStr">
        <is>
          <t>2027-020</t>
        </is>
      </c>
      <c r="G323" s="13" t="n">
        <v>704020</v>
      </c>
      <c r="H323" s="13">
        <f>INDEX('MAR 2e graad'!$B$2:$B$58,MATCH(G323,'MAR 2e graad'!$A$2:$A$58,0))</f>
        <v/>
      </c>
      <c r="I323" s="13">
        <f>INDEX('MAR 2e graad'!$C$2:$C$58,MATCH(G323,'MAR 2e graad'!$A$2:$A$58,0))</f>
        <v/>
      </c>
      <c r="J323" s="13">
        <f>IF(OR(I323="A",I323="K"),IF(K323&gt;0,"+","-"),IF(L323&gt;0,"+","-"))</f>
        <v/>
      </c>
      <c r="K323" s="14" t="n">
        <v>600</v>
      </c>
      <c r="L323" s="14" t="n"/>
      <c r="M323" s="13" t="inlineStr">
        <is>
          <t>de handelskorting op verkopen stijgt (omzet daalt)</t>
        </is>
      </c>
      <c r="N323" s="13" t="inlineStr">
        <is>
          <t>nee</t>
        </is>
      </c>
    </row>
    <row r="324">
      <c r="A324" s="12" t="n">
        <v>323</v>
      </c>
      <c r="B324" s="16" t="n">
        <v>46667</v>
      </c>
      <c r="C324" s="8" t="inlineStr">
        <is>
          <t>K4</t>
        </is>
      </c>
      <c r="D324" s="13" t="inlineStr">
        <is>
          <t>K4</t>
        </is>
      </c>
      <c r="E324" s="13" t="inlineStr">
        <is>
          <t>J2Q4V1</t>
        </is>
      </c>
      <c r="F324" s="13" t="inlineStr">
        <is>
          <t>2027-020</t>
        </is>
      </c>
      <c r="G324" s="13" t="n">
        <v>451100</v>
      </c>
      <c r="H324" s="13">
        <f>INDEX('MAR 2e graad'!$B$2:$B$58,MATCH(G324,'MAR 2e graad'!$A$2:$A$58,0))</f>
        <v/>
      </c>
      <c r="I324" s="13">
        <f>INDEX('MAR 2e graad'!$C$2:$C$58,MATCH(G324,'MAR 2e graad'!$A$2:$A$58,0))</f>
        <v/>
      </c>
      <c r="J324" s="13">
        <f>IF(OR(I324="A",I324="K"),IF(K324&gt;0,"+","-"),IF(L324&gt;0,"+","-"))</f>
        <v/>
      </c>
      <c r="K324" s="14" t="n"/>
      <c r="L324" s="14" t="n">
        <v>1134</v>
      </c>
      <c r="M324" s="13" t="inlineStr">
        <is>
          <t>de schuld aan de overheid (verschuldigde btw) stijgt</t>
        </is>
      </c>
      <c r="N324" s="13" t="inlineStr">
        <is>
          <t>nee</t>
        </is>
      </c>
    </row>
    <row r="325">
      <c r="A325" s="12" t="n">
        <v>324</v>
      </c>
      <c r="B325" s="16" t="n">
        <v>46668</v>
      </c>
      <c r="C325" s="8" t="inlineStr">
        <is>
          <t>K4</t>
        </is>
      </c>
      <c r="D325" s="13" t="inlineStr">
        <is>
          <t>K4</t>
        </is>
      </c>
      <c r="E325" s="13" t="inlineStr">
        <is>
          <t>J2Q4CA1</t>
        </is>
      </c>
      <c r="F325" s="13" t="inlineStr">
        <is>
          <t>CN-2027-061</t>
        </is>
      </c>
      <c r="G325" s="13" t="n">
        <v>604010</v>
      </c>
      <c r="H325" s="13">
        <f>INDEX('MAR 2e graad'!$B$2:$B$58,MATCH(G325,'MAR 2e graad'!$A$2:$A$58,0))</f>
        <v/>
      </c>
      <c r="I325" s="13">
        <f>INDEX('MAR 2e graad'!$C$2:$C$58,MATCH(G325,'MAR 2e graad'!$A$2:$A$58,0))</f>
        <v/>
      </c>
      <c r="J325" s="13">
        <f>IF(OR(I325="A",I325="K"),IF(K325&gt;0,"+","-"),IF(L325&gt;0,"+","-"))</f>
        <v/>
      </c>
      <c r="K325" s="14" t="n"/>
      <c r="L325" s="14" t="n">
        <v>600</v>
      </c>
      <c r="M325" s="13" t="inlineStr">
        <is>
          <t>de kosten voor handelsgoederen dalen (retour)</t>
        </is>
      </c>
      <c r="N325" s="13" t="inlineStr">
        <is>
          <t>nee</t>
        </is>
      </c>
    </row>
    <row r="326">
      <c r="A326" s="12" t="n">
        <v>325</v>
      </c>
      <c r="B326" s="16" t="n">
        <v>46668</v>
      </c>
      <c r="C326" s="8" t="inlineStr">
        <is>
          <t>K4</t>
        </is>
      </c>
      <c r="D326" s="13" t="inlineStr">
        <is>
          <t>K4</t>
        </is>
      </c>
      <c r="E326" s="13" t="inlineStr">
        <is>
          <t>J2Q4CA1</t>
        </is>
      </c>
      <c r="F326" s="13" t="inlineStr">
        <is>
          <t>CN-2027-061</t>
        </is>
      </c>
      <c r="G326" s="13" t="n">
        <v>604010</v>
      </c>
      <c r="H326" s="13">
        <f>INDEX('MAR 2e graad'!$B$2:$B$58,MATCH(G326,'MAR 2e graad'!$A$2:$A$58,0))</f>
        <v/>
      </c>
      <c r="I326" s="13">
        <f>INDEX('MAR 2e graad'!$C$2:$C$58,MATCH(G326,'MAR 2e graad'!$A$2:$A$58,0))</f>
        <v/>
      </c>
      <c r="J326" s="13">
        <f>IF(OR(I326="A",I326="K"),IF(K326&gt;0,"+","-"),IF(L326&gt;0,"+","-"))</f>
        <v/>
      </c>
      <c r="K326" s="14" t="n"/>
      <c r="L326" s="14" t="n">
        <v>400</v>
      </c>
      <c r="M326" s="13" t="inlineStr">
        <is>
          <t>de kosten voor handelsgoederen dalen (retour)</t>
        </is>
      </c>
      <c r="N326" s="13" t="inlineStr">
        <is>
          <t>nee</t>
        </is>
      </c>
    </row>
    <row r="327">
      <c r="A327" s="12" t="n">
        <v>326</v>
      </c>
      <c r="B327" s="16" t="n">
        <v>46668</v>
      </c>
      <c r="C327" s="8" t="inlineStr">
        <is>
          <t>K4</t>
        </is>
      </c>
      <c r="D327" s="13" t="inlineStr">
        <is>
          <t>K4</t>
        </is>
      </c>
      <c r="E327" s="13" t="inlineStr">
        <is>
          <t>J2Q4CA1</t>
        </is>
      </c>
      <c r="F327" s="13" t="inlineStr">
        <is>
          <t>CN-2027-061</t>
        </is>
      </c>
      <c r="G327" s="13" t="n">
        <v>604020</v>
      </c>
      <c r="H327" s="13">
        <f>INDEX('MAR 2e graad'!$B$2:$B$58,MATCH(G327,'MAR 2e graad'!$A$2:$A$58,0))</f>
        <v/>
      </c>
      <c r="I327" s="13">
        <f>INDEX('MAR 2e graad'!$C$2:$C$58,MATCH(G327,'MAR 2e graad'!$A$2:$A$58,0))</f>
        <v/>
      </c>
      <c r="J327" s="13">
        <f>IF(OR(I327="A",I327="K"),IF(K327&gt;0,"+","-"),IF(L327&gt;0,"+","-"))</f>
        <v/>
      </c>
      <c r="K327" s="14" t="n">
        <v>100</v>
      </c>
      <c r="L327" s="14" t="n"/>
      <c r="M327" s="13" t="inlineStr">
        <is>
          <t>de handelskorting op aankopen daalt (kost stijgt)</t>
        </is>
      </c>
      <c r="N327" s="13" t="inlineStr">
        <is>
          <t>nee</t>
        </is>
      </c>
    </row>
    <row r="328">
      <c r="A328" s="12" t="n">
        <v>327</v>
      </c>
      <c r="B328" s="16" t="n">
        <v>46668</v>
      </c>
      <c r="C328" s="8" t="inlineStr">
        <is>
          <t>K4</t>
        </is>
      </c>
      <c r="D328" s="13" t="inlineStr">
        <is>
          <t>K4</t>
        </is>
      </c>
      <c r="E328" s="13" t="inlineStr">
        <is>
          <t>J2Q4CA1</t>
        </is>
      </c>
      <c r="F328" s="13" t="inlineStr">
        <is>
          <t>CN-2027-061</t>
        </is>
      </c>
      <c r="G328" s="13" t="n">
        <v>451200</v>
      </c>
      <c r="H328" s="13">
        <f>INDEX('MAR 2e graad'!$B$2:$B$58,MATCH(G328,'MAR 2e graad'!$A$2:$A$58,0))</f>
        <v/>
      </c>
      <c r="I328" s="13">
        <f>INDEX('MAR 2e graad'!$C$2:$C$58,MATCH(G328,'MAR 2e graad'!$A$2:$A$58,0))</f>
        <v/>
      </c>
      <c r="J328" s="13">
        <f>IF(OR(I328="A",I328="K"),IF(K328&gt;0,"+","-"),IF(L328&gt;0,"+","-"))</f>
        <v/>
      </c>
      <c r="K328" s="14" t="n"/>
      <c r="L328" s="14" t="n">
        <v>189</v>
      </c>
      <c r="M328" s="13" t="inlineStr">
        <is>
          <t>de schuld aan de overheid stijgt (btw op inkomende creditnota)</t>
        </is>
      </c>
      <c r="N328" s="13" t="inlineStr">
        <is>
          <t>nee</t>
        </is>
      </c>
    </row>
    <row r="329">
      <c r="A329" s="12" t="n">
        <v>328</v>
      </c>
      <c r="B329" s="16" t="n">
        <v>46668</v>
      </c>
      <c r="C329" s="8" t="inlineStr">
        <is>
          <t>K4</t>
        </is>
      </c>
      <c r="D329" s="13" t="inlineStr">
        <is>
          <t>K4</t>
        </is>
      </c>
      <c r="E329" s="13" t="inlineStr">
        <is>
          <t>J2Q4CA1</t>
        </is>
      </c>
      <c r="F329" s="13" t="inlineStr">
        <is>
          <t>CN-2027-061</t>
        </is>
      </c>
      <c r="G329" s="13" t="n">
        <v>440000</v>
      </c>
      <c r="H329" s="13">
        <f>INDEX('MAR 2e graad'!$B$2:$B$58,MATCH(G329,'MAR 2e graad'!$A$2:$A$58,0))</f>
        <v/>
      </c>
      <c r="I329" s="13">
        <f>INDEX('MAR 2e graad'!$C$2:$C$58,MATCH(G329,'MAR 2e graad'!$A$2:$A$58,0))</f>
        <v/>
      </c>
      <c r="J329" s="13">
        <f>IF(OR(I329="A",I329="K"),IF(K329&gt;0,"+","-"),IF(L329&gt;0,"+","-"))</f>
        <v/>
      </c>
      <c r="K329" s="14" t="n">
        <v>1089</v>
      </c>
      <c r="L329" s="14" t="n"/>
      <c r="M329" s="13" t="inlineStr">
        <is>
          <t>de schuld aan de leverancier daalt</t>
        </is>
      </c>
      <c r="N329" s="13" t="inlineStr">
        <is>
          <t>nee</t>
        </is>
      </c>
    </row>
    <row r="330">
      <c r="A330" s="12" t="n">
        <v>329</v>
      </c>
      <c r="B330" s="16" t="n">
        <v>46672</v>
      </c>
      <c r="C330" s="8" t="inlineStr">
        <is>
          <t>K4</t>
        </is>
      </c>
      <c r="D330" s="13" t="inlineStr">
        <is>
          <t>K4</t>
        </is>
      </c>
      <c r="E330" s="13" t="inlineStr">
        <is>
          <t>J2Q4CV1</t>
        </is>
      </c>
      <c r="F330" s="13" t="inlineStr">
        <is>
          <t>CN-2027-008</t>
        </is>
      </c>
      <c r="G330" s="13" t="n">
        <v>400000</v>
      </c>
      <c r="H330" s="13">
        <f>INDEX('MAR 2e graad'!$B$2:$B$58,MATCH(G330,'MAR 2e graad'!$A$2:$A$58,0))</f>
        <v/>
      </c>
      <c r="I330" s="13">
        <f>INDEX('MAR 2e graad'!$C$2:$C$58,MATCH(G330,'MAR 2e graad'!$A$2:$A$58,0))</f>
        <v/>
      </c>
      <c r="J330" s="13">
        <f>IF(OR(I330="A",I330="K"),IF(K330&gt;0,"+","-"),IF(L330&gt;0,"+","-"))</f>
        <v/>
      </c>
      <c r="K330" s="14" t="n"/>
      <c r="L330" s="14" t="n">
        <v>3267</v>
      </c>
      <c r="M330" s="13" t="inlineStr">
        <is>
          <t>de vordering op de klant daalt</t>
        </is>
      </c>
      <c r="N330" s="13" t="inlineStr">
        <is>
          <t>nee</t>
        </is>
      </c>
    </row>
    <row r="331">
      <c r="A331" s="12" t="n">
        <v>330</v>
      </c>
      <c r="B331" s="16" t="n">
        <v>46672</v>
      </c>
      <c r="C331" s="8" t="inlineStr">
        <is>
          <t>K4</t>
        </is>
      </c>
      <c r="D331" s="13" t="inlineStr">
        <is>
          <t>K4</t>
        </is>
      </c>
      <c r="E331" s="13" t="inlineStr">
        <is>
          <t>J2Q4CV1</t>
        </is>
      </c>
      <c r="F331" s="13" t="inlineStr">
        <is>
          <t>CN-2027-008</t>
        </is>
      </c>
      <c r="G331" s="13" t="n">
        <v>704010</v>
      </c>
      <c r="H331" s="13">
        <f>INDEX('MAR 2e graad'!$B$2:$B$58,MATCH(G331,'MAR 2e graad'!$A$2:$A$58,0))</f>
        <v/>
      </c>
      <c r="I331" s="13">
        <f>INDEX('MAR 2e graad'!$C$2:$C$58,MATCH(G331,'MAR 2e graad'!$A$2:$A$58,0))</f>
        <v/>
      </c>
      <c r="J331" s="13">
        <f>IF(OR(I331="A",I331="K"),IF(K331&gt;0,"+","-"),IF(L331&gt;0,"+","-"))</f>
        <v/>
      </c>
      <c r="K331" s="14" t="n">
        <v>3000</v>
      </c>
      <c r="L331" s="14" t="n"/>
      <c r="M331" s="13" t="inlineStr">
        <is>
          <t>de omzet daalt (retour)</t>
        </is>
      </c>
      <c r="N331" s="13" t="inlineStr">
        <is>
          <t>nee</t>
        </is>
      </c>
    </row>
    <row r="332">
      <c r="A332" s="12" t="n">
        <v>331</v>
      </c>
      <c r="B332" s="16" t="n">
        <v>46672</v>
      </c>
      <c r="C332" s="8" t="inlineStr">
        <is>
          <t>K4</t>
        </is>
      </c>
      <c r="D332" s="13" t="inlineStr">
        <is>
          <t>K4</t>
        </is>
      </c>
      <c r="E332" s="13" t="inlineStr">
        <is>
          <t>J2Q4CV1</t>
        </is>
      </c>
      <c r="F332" s="13" t="inlineStr">
        <is>
          <t>CN-2027-008</t>
        </is>
      </c>
      <c r="G332" s="13" t="n">
        <v>704020</v>
      </c>
      <c r="H332" s="13">
        <f>INDEX('MAR 2e graad'!$B$2:$B$58,MATCH(G332,'MAR 2e graad'!$A$2:$A$58,0))</f>
        <v/>
      </c>
      <c r="I332" s="13">
        <f>INDEX('MAR 2e graad'!$C$2:$C$58,MATCH(G332,'MAR 2e graad'!$A$2:$A$58,0))</f>
        <v/>
      </c>
      <c r="J332" s="13">
        <f>IF(OR(I332="A",I332="K"),IF(K332&gt;0,"+","-"),IF(L332&gt;0,"+","-"))</f>
        <v/>
      </c>
      <c r="K332" s="14" t="n"/>
      <c r="L332" s="14" t="n">
        <v>300</v>
      </c>
      <c r="M332" s="13" t="inlineStr">
        <is>
          <t>de handelskorting op verkopen daalt (omzet stijgt)</t>
        </is>
      </c>
      <c r="N332" s="13" t="inlineStr">
        <is>
          <t>nee</t>
        </is>
      </c>
    </row>
    <row r="333">
      <c r="A333" s="12" t="n">
        <v>332</v>
      </c>
      <c r="B333" s="16" t="n">
        <v>46672</v>
      </c>
      <c r="C333" s="8" t="inlineStr">
        <is>
          <t>K4</t>
        </is>
      </c>
      <c r="D333" s="13" t="inlineStr">
        <is>
          <t>K4</t>
        </is>
      </c>
      <c r="E333" s="13" t="inlineStr">
        <is>
          <t>J2Q4CV1</t>
        </is>
      </c>
      <c r="F333" s="13" t="inlineStr">
        <is>
          <t>CN-2027-008</t>
        </is>
      </c>
      <c r="G333" s="13" t="n">
        <v>411200</v>
      </c>
      <c r="H333" s="13">
        <f>INDEX('MAR 2e graad'!$B$2:$B$58,MATCH(G333,'MAR 2e graad'!$A$2:$A$58,0))</f>
        <v/>
      </c>
      <c r="I333" s="13">
        <f>INDEX('MAR 2e graad'!$C$2:$C$58,MATCH(G333,'MAR 2e graad'!$A$2:$A$58,0))</f>
        <v/>
      </c>
      <c r="J333" s="13">
        <f>IF(OR(I333="A",I333="K"),IF(K333&gt;0,"+","-"),IF(L333&gt;0,"+","-"))</f>
        <v/>
      </c>
      <c r="K333" s="14" t="n">
        <v>567</v>
      </c>
      <c r="L333" s="14" t="n"/>
      <c r="M333" s="13" t="inlineStr">
        <is>
          <t>de vordering op de overheid stijgt (btw op uitgaande creditnota)</t>
        </is>
      </c>
      <c r="N333" s="13" t="inlineStr">
        <is>
          <t>nee</t>
        </is>
      </c>
    </row>
    <row r="334">
      <c r="A334" s="12" t="n">
        <v>333</v>
      </c>
      <c r="B334" s="16" t="n">
        <v>46680</v>
      </c>
      <c r="C334" s="8" t="inlineStr">
        <is>
          <t>K4</t>
        </is>
      </c>
      <c r="D334" s="13" t="inlineStr">
        <is>
          <t>K4</t>
        </is>
      </c>
      <c r="E334" s="13" t="inlineStr">
        <is>
          <t>J2Q4A3</t>
        </is>
      </c>
      <c r="F334" s="13" t="inlineStr">
        <is>
          <t>HH-27-260</t>
        </is>
      </c>
      <c r="G334" s="13" t="n">
        <v>604000</v>
      </c>
      <c r="H334" s="13">
        <f>INDEX('MAR 2e graad'!$B$2:$B$58,MATCH(G334,'MAR 2e graad'!$A$2:$A$58,0))</f>
        <v/>
      </c>
      <c r="I334" s="13">
        <f>INDEX('MAR 2e graad'!$C$2:$C$58,MATCH(G334,'MAR 2e graad'!$A$2:$A$58,0))</f>
        <v/>
      </c>
      <c r="J334" s="13">
        <f>IF(OR(I334="A",I334="K"),IF(K334&gt;0,"+","-"),IF(L334&gt;0,"+","-"))</f>
        <v/>
      </c>
      <c r="K334" s="14" t="n">
        <v>900</v>
      </c>
      <c r="L334" s="14" t="n"/>
      <c r="M334" s="13" t="inlineStr">
        <is>
          <t>de kosten voor handelsgoederen stijgen</t>
        </is>
      </c>
      <c r="N334" s="13" t="inlineStr">
        <is>
          <t>nee</t>
        </is>
      </c>
    </row>
    <row r="335">
      <c r="A335" s="12" t="n">
        <v>334</v>
      </c>
      <c r="B335" s="16" t="n">
        <v>46680</v>
      </c>
      <c r="C335" s="8" t="inlineStr">
        <is>
          <t>K4</t>
        </is>
      </c>
      <c r="D335" s="13" t="inlineStr">
        <is>
          <t>K4</t>
        </is>
      </c>
      <c r="E335" s="13" t="inlineStr">
        <is>
          <t>J2Q4A3</t>
        </is>
      </c>
      <c r="F335" s="13" t="inlineStr">
        <is>
          <t>HH-27-260</t>
        </is>
      </c>
      <c r="G335" s="13" t="n">
        <v>604000</v>
      </c>
      <c r="H335" s="13">
        <f>INDEX('MAR 2e graad'!$B$2:$B$58,MATCH(G335,'MAR 2e graad'!$A$2:$A$58,0))</f>
        <v/>
      </c>
      <c r="I335" s="13">
        <f>INDEX('MAR 2e graad'!$C$2:$C$58,MATCH(G335,'MAR 2e graad'!$A$2:$A$58,0))</f>
        <v/>
      </c>
      <c r="J335" s="13">
        <f>IF(OR(I335="A",I335="K"),IF(K335&gt;0,"+","-"),IF(L335&gt;0,"+","-"))</f>
        <v/>
      </c>
      <c r="K335" s="14" t="n">
        <v>100</v>
      </c>
      <c r="L335" s="14" t="n"/>
      <c r="M335" s="13" t="inlineStr">
        <is>
          <t>de kosten voor handelsgoederen stijgen</t>
        </is>
      </c>
      <c r="N335" s="13" t="inlineStr">
        <is>
          <t>nee</t>
        </is>
      </c>
    </row>
    <row r="336">
      <c r="A336" s="12" t="n">
        <v>335</v>
      </c>
      <c r="B336" s="16" t="n">
        <v>46680</v>
      </c>
      <c r="C336" s="8" t="inlineStr">
        <is>
          <t>K4</t>
        </is>
      </c>
      <c r="D336" s="13" t="inlineStr">
        <is>
          <t>K4</t>
        </is>
      </c>
      <c r="E336" s="13" t="inlineStr">
        <is>
          <t>J2Q4A3</t>
        </is>
      </c>
      <c r="F336" s="13" t="inlineStr">
        <is>
          <t>HH-27-260</t>
        </is>
      </c>
      <c r="G336" s="13" t="n">
        <v>604030</v>
      </c>
      <c r="H336" s="13">
        <f>INDEX('MAR 2e graad'!$B$2:$B$58,MATCH(G336,'MAR 2e graad'!$A$2:$A$58,0))</f>
        <v/>
      </c>
      <c r="I336" s="13">
        <f>INDEX('MAR 2e graad'!$C$2:$C$58,MATCH(G336,'MAR 2e graad'!$A$2:$A$58,0))</f>
        <v/>
      </c>
      <c r="J336" s="13">
        <f>IF(OR(I336="A",I336="K"),IF(K336&gt;0,"+","-"),IF(L336&gt;0,"+","-"))</f>
        <v/>
      </c>
      <c r="K336" s="14" t="n">
        <v>100</v>
      </c>
      <c r="L336" s="14" t="n"/>
      <c r="M336" s="13" t="inlineStr">
        <is>
          <t>de aankoopkosten stijgen</t>
        </is>
      </c>
      <c r="N336" s="13" t="inlineStr">
        <is>
          <t>nee</t>
        </is>
      </c>
    </row>
    <row r="337">
      <c r="A337" s="12" t="n">
        <v>336</v>
      </c>
      <c r="B337" s="16" t="n">
        <v>46680</v>
      </c>
      <c r="C337" s="8" t="inlineStr">
        <is>
          <t>K4</t>
        </is>
      </c>
      <c r="D337" s="13" t="inlineStr">
        <is>
          <t>K4</t>
        </is>
      </c>
      <c r="E337" s="13" t="inlineStr">
        <is>
          <t>J2Q4A3</t>
        </is>
      </c>
      <c r="F337" s="13" t="inlineStr">
        <is>
          <t>HH-27-260</t>
        </is>
      </c>
      <c r="G337" s="13" t="n">
        <v>411100</v>
      </c>
      <c r="H337" s="13">
        <f>INDEX('MAR 2e graad'!$B$2:$B$58,MATCH(G337,'MAR 2e graad'!$A$2:$A$58,0))</f>
        <v/>
      </c>
      <c r="I337" s="13">
        <f>INDEX('MAR 2e graad'!$C$2:$C$58,MATCH(G337,'MAR 2e graad'!$A$2:$A$58,0))</f>
        <v/>
      </c>
      <c r="J337" s="13">
        <f>IF(OR(I337="A",I337="K"),IF(K337&gt;0,"+","-"),IF(L337&gt;0,"+","-"))</f>
        <v/>
      </c>
      <c r="K337" s="14" t="n">
        <v>231</v>
      </c>
      <c r="L337" s="14" t="n"/>
      <c r="M337" s="13" t="inlineStr">
        <is>
          <t>de vordering op de overheid (aftrekbare btw) stijgt</t>
        </is>
      </c>
      <c r="N337" s="13" t="inlineStr">
        <is>
          <t>nee</t>
        </is>
      </c>
    </row>
    <row r="338">
      <c r="A338" s="12" t="n">
        <v>337</v>
      </c>
      <c r="B338" s="16" t="n">
        <v>46680</v>
      </c>
      <c r="C338" s="8" t="inlineStr">
        <is>
          <t>K4</t>
        </is>
      </c>
      <c r="D338" s="13" t="inlineStr">
        <is>
          <t>K4</t>
        </is>
      </c>
      <c r="E338" s="13" t="inlineStr">
        <is>
          <t>J2Q4A3</t>
        </is>
      </c>
      <c r="F338" s="13" t="inlineStr">
        <is>
          <t>HH-27-260</t>
        </is>
      </c>
      <c r="G338" s="13" t="n">
        <v>440000</v>
      </c>
      <c r="H338" s="13">
        <f>INDEX('MAR 2e graad'!$B$2:$B$58,MATCH(G338,'MAR 2e graad'!$A$2:$A$58,0))</f>
        <v/>
      </c>
      <c r="I338" s="13">
        <f>INDEX('MAR 2e graad'!$C$2:$C$58,MATCH(G338,'MAR 2e graad'!$A$2:$A$58,0))</f>
        <v/>
      </c>
      <c r="J338" s="13">
        <f>IF(OR(I338="A",I338="K"),IF(K338&gt;0,"+","-"),IF(L338&gt;0,"+","-"))</f>
        <v/>
      </c>
      <c r="K338" s="14" t="n"/>
      <c r="L338" s="14" t="n">
        <v>1331</v>
      </c>
      <c r="M338" s="13" t="inlineStr">
        <is>
          <t>de schuld aan de leverancier stijgt</t>
        </is>
      </c>
      <c r="N338" s="13" t="inlineStr">
        <is>
          <t>nee</t>
        </is>
      </c>
    </row>
    <row r="339">
      <c r="A339" s="12" t="n">
        <v>338</v>
      </c>
      <c r="B339" s="16" t="n">
        <v>46680</v>
      </c>
      <c r="C339" s="8" t="inlineStr">
        <is>
          <t>K4</t>
        </is>
      </c>
      <c r="D339" s="13" t="inlineStr">
        <is>
          <t>K4</t>
        </is>
      </c>
      <c r="E339" s="13" t="inlineStr">
        <is>
          <t>U2027-19/1</t>
        </is>
      </c>
      <c r="F339" s="13" t="inlineStr">
        <is>
          <t>uittreksel U2027-19/1</t>
        </is>
      </c>
      <c r="G339" s="13" t="n">
        <v>440000</v>
      </c>
      <c r="H339" s="13">
        <f>INDEX('MAR 2e graad'!$B$2:$B$58,MATCH(G339,'MAR 2e graad'!$A$2:$A$58,0))</f>
        <v/>
      </c>
      <c r="I339" s="13">
        <f>INDEX('MAR 2e graad'!$C$2:$C$58,MATCH(G339,'MAR 2e graad'!$A$2:$A$58,0))</f>
        <v/>
      </c>
      <c r="J339" s="13">
        <f>IF(OR(I339="A",I339="K"),IF(K339&gt;0,"+","-"),IF(L339&gt;0,"+","-"))</f>
        <v/>
      </c>
      <c r="K339" s="14" t="n">
        <v>10001</v>
      </c>
      <c r="L339" s="14" t="n"/>
      <c r="M339" s="13" t="inlineStr">
        <is>
          <t>de schuld aan de leverancier daalt</t>
        </is>
      </c>
      <c r="N339" s="13" t="inlineStr">
        <is>
          <t>nee</t>
        </is>
      </c>
    </row>
    <row r="340">
      <c r="A340" s="12" t="n">
        <v>339</v>
      </c>
      <c r="B340" s="16" t="n">
        <v>46680</v>
      </c>
      <c r="C340" s="8" t="inlineStr">
        <is>
          <t>K4</t>
        </is>
      </c>
      <c r="D340" s="13" t="inlineStr">
        <is>
          <t>K4</t>
        </is>
      </c>
      <c r="E340" s="13" t="inlineStr">
        <is>
          <t>U2027-19/1</t>
        </is>
      </c>
      <c r="F340" s="13" t="inlineStr">
        <is>
          <t>uittreksel U2027-19/1</t>
        </is>
      </c>
      <c r="G340" s="13" t="n">
        <v>550000</v>
      </c>
      <c r="H340" s="13">
        <f>INDEX('MAR 2e graad'!$B$2:$B$58,MATCH(G340,'MAR 2e graad'!$A$2:$A$58,0))</f>
        <v/>
      </c>
      <c r="I340" s="13">
        <f>INDEX('MAR 2e graad'!$C$2:$C$58,MATCH(G340,'MAR 2e graad'!$A$2:$A$58,0))</f>
        <v/>
      </c>
      <c r="J340" s="13">
        <f>IF(OR(I340="A",I340="K"),IF(K340&gt;0,"+","-"),IF(L340&gt;0,"+","-"))</f>
        <v/>
      </c>
      <c r="K340" s="14" t="n"/>
      <c r="L340" s="14" t="n">
        <v>10001</v>
      </c>
      <c r="M340" s="13" t="inlineStr">
        <is>
          <t>de bank daalt</t>
        </is>
      </c>
      <c r="N340" s="13" t="inlineStr">
        <is>
          <t>nee</t>
        </is>
      </c>
    </row>
    <row r="341">
      <c r="A341" s="12" t="n">
        <v>340</v>
      </c>
      <c r="B341" s="16" t="n">
        <v>46680</v>
      </c>
      <c r="C341" s="8" t="inlineStr">
        <is>
          <t>K4</t>
        </is>
      </c>
      <c r="D341" s="13" t="inlineStr">
        <is>
          <t>K4</t>
        </is>
      </c>
      <c r="E341" s="13" t="inlineStr">
        <is>
          <t>U2027-19/2</t>
        </is>
      </c>
      <c r="F341" s="13" t="inlineStr">
        <is>
          <t>uittreksel U2027-19/2</t>
        </is>
      </c>
      <c r="G341" s="13" t="n">
        <v>440000</v>
      </c>
      <c r="H341" s="13">
        <f>INDEX('MAR 2e graad'!$B$2:$B$58,MATCH(G341,'MAR 2e graad'!$A$2:$A$58,0))</f>
        <v/>
      </c>
      <c r="I341" s="13">
        <f>INDEX('MAR 2e graad'!$C$2:$C$58,MATCH(G341,'MAR 2e graad'!$A$2:$A$58,0))</f>
        <v/>
      </c>
      <c r="J341" s="13">
        <f>IF(OR(I341="A",I341="K"),IF(K341&gt;0,"+","-"),IF(L341&gt;0,"+","-"))</f>
        <v/>
      </c>
      <c r="K341" s="14" t="n">
        <v>847</v>
      </c>
      <c r="L341" s="14" t="n"/>
      <c r="M341" s="13" t="inlineStr">
        <is>
          <t>de schuld aan de leverancier daalt</t>
        </is>
      </c>
      <c r="N341" s="13" t="inlineStr">
        <is>
          <t>nee</t>
        </is>
      </c>
    </row>
    <row r="342">
      <c r="A342" s="12" t="n">
        <v>341</v>
      </c>
      <c r="B342" s="16" t="n">
        <v>46680</v>
      </c>
      <c r="C342" s="8" t="inlineStr">
        <is>
          <t>K4</t>
        </is>
      </c>
      <c r="D342" s="13" t="inlineStr">
        <is>
          <t>K4</t>
        </is>
      </c>
      <c r="E342" s="13" t="inlineStr">
        <is>
          <t>U2027-19/2</t>
        </is>
      </c>
      <c r="F342" s="13" t="inlineStr">
        <is>
          <t>uittreksel U2027-19/2</t>
        </is>
      </c>
      <c r="G342" s="13" t="n">
        <v>550000</v>
      </c>
      <c r="H342" s="13">
        <f>INDEX('MAR 2e graad'!$B$2:$B$58,MATCH(G342,'MAR 2e graad'!$A$2:$A$58,0))</f>
        <v/>
      </c>
      <c r="I342" s="13">
        <f>INDEX('MAR 2e graad'!$C$2:$C$58,MATCH(G342,'MAR 2e graad'!$A$2:$A$58,0))</f>
        <v/>
      </c>
      <c r="J342" s="13">
        <f>IF(OR(I342="A",I342="K"),IF(K342&gt;0,"+","-"),IF(L342&gt;0,"+","-"))</f>
        <v/>
      </c>
      <c r="K342" s="14" t="n"/>
      <c r="L342" s="14" t="n">
        <v>847</v>
      </c>
      <c r="M342" s="13" t="inlineStr">
        <is>
          <t>de bank daalt</t>
        </is>
      </c>
      <c r="N342" s="13" t="inlineStr">
        <is>
          <t>nee</t>
        </is>
      </c>
    </row>
    <row r="343">
      <c r="A343" s="12" t="n">
        <v>342</v>
      </c>
      <c r="B343" s="16" t="n">
        <v>46680</v>
      </c>
      <c r="C343" s="8" t="inlineStr">
        <is>
          <t>K4</t>
        </is>
      </c>
      <c r="D343" s="13" t="inlineStr">
        <is>
          <t>K4</t>
        </is>
      </c>
      <c r="E343" s="13" t="inlineStr">
        <is>
          <t>U2027-19/3</t>
        </is>
      </c>
      <c r="F343" s="13" t="inlineStr">
        <is>
          <t>uittreksel U2027-19/3</t>
        </is>
      </c>
      <c r="G343" s="13" t="n">
        <v>550000</v>
      </c>
      <c r="H343" s="13">
        <f>INDEX('MAR 2e graad'!$B$2:$B$58,MATCH(G343,'MAR 2e graad'!$A$2:$A$58,0))</f>
        <v/>
      </c>
      <c r="I343" s="13">
        <f>INDEX('MAR 2e graad'!$C$2:$C$58,MATCH(G343,'MAR 2e graad'!$A$2:$A$58,0))</f>
        <v/>
      </c>
      <c r="J343" s="13">
        <f>IF(OR(I343="A",I343="K"),IF(K343&gt;0,"+","-"),IF(L343&gt;0,"+","-"))</f>
        <v/>
      </c>
      <c r="K343" s="14" t="n">
        <v>3417</v>
      </c>
      <c r="L343" s="14" t="n"/>
      <c r="M343" s="13" t="inlineStr">
        <is>
          <t>de bank stijgt</t>
        </is>
      </c>
      <c r="N343" s="13" t="inlineStr">
        <is>
          <t>nee</t>
        </is>
      </c>
    </row>
    <row r="344">
      <c r="A344" s="12" t="n">
        <v>343</v>
      </c>
      <c r="B344" s="16" t="n">
        <v>46680</v>
      </c>
      <c r="C344" s="8" t="inlineStr">
        <is>
          <t>K4</t>
        </is>
      </c>
      <c r="D344" s="13" t="inlineStr">
        <is>
          <t>K4</t>
        </is>
      </c>
      <c r="E344" s="13" t="inlineStr">
        <is>
          <t>U2027-19/3</t>
        </is>
      </c>
      <c r="F344" s="13" t="inlineStr">
        <is>
          <t>uittreksel U2027-19/3</t>
        </is>
      </c>
      <c r="G344" s="13" t="n">
        <v>400000</v>
      </c>
      <c r="H344" s="13">
        <f>INDEX('MAR 2e graad'!$B$2:$B$58,MATCH(G344,'MAR 2e graad'!$A$2:$A$58,0))</f>
        <v/>
      </c>
      <c r="I344" s="13">
        <f>INDEX('MAR 2e graad'!$C$2:$C$58,MATCH(G344,'MAR 2e graad'!$A$2:$A$58,0))</f>
        <v/>
      </c>
      <c r="J344" s="13">
        <f>IF(OR(I344="A",I344="K"),IF(K344&gt;0,"+","-"),IF(L344&gt;0,"+","-"))</f>
        <v/>
      </c>
      <c r="K344" s="14" t="n"/>
      <c r="L344" s="14" t="n">
        <v>3417</v>
      </c>
      <c r="M344" s="13" t="inlineStr">
        <is>
          <t>de vordering op de klant daalt</t>
        </is>
      </c>
      <c r="N344" s="13" t="inlineStr">
        <is>
          <t>nee</t>
        </is>
      </c>
    </row>
    <row r="345">
      <c r="A345" s="12" t="n">
        <v>344</v>
      </c>
      <c r="B345" s="16" t="n">
        <v>46681</v>
      </c>
      <c r="C345" s="8" t="inlineStr">
        <is>
          <t>K4</t>
        </is>
      </c>
      <c r="D345" s="13" t="inlineStr">
        <is>
          <t>K4</t>
        </is>
      </c>
      <c r="E345" s="13" t="inlineStr">
        <is>
          <t>J2Q4V2</t>
        </is>
      </c>
      <c r="F345" s="13" t="inlineStr">
        <is>
          <t>2027-021</t>
        </is>
      </c>
      <c r="G345" s="13" t="n">
        <v>400000</v>
      </c>
      <c r="H345" s="13">
        <f>INDEX('MAR 2e graad'!$B$2:$B$58,MATCH(G345,'MAR 2e graad'!$A$2:$A$58,0))</f>
        <v/>
      </c>
      <c r="I345" s="13">
        <f>INDEX('MAR 2e graad'!$C$2:$C$58,MATCH(G345,'MAR 2e graad'!$A$2:$A$58,0))</f>
        <v/>
      </c>
      <c r="J345" s="13">
        <f>IF(OR(I345="A",I345="K"),IF(K345&gt;0,"+","-"),IF(L345&gt;0,"+","-"))</f>
        <v/>
      </c>
      <c r="K345" s="14" t="n">
        <v>5203</v>
      </c>
      <c r="L345" s="14" t="n"/>
      <c r="M345" s="13" t="inlineStr">
        <is>
          <t>de vordering op de klant stijgt</t>
        </is>
      </c>
      <c r="N345" s="13" t="inlineStr">
        <is>
          <t>nee</t>
        </is>
      </c>
    </row>
    <row r="346">
      <c r="A346" s="12" t="n">
        <v>345</v>
      </c>
      <c r="B346" s="16" t="n">
        <v>46681</v>
      </c>
      <c r="C346" s="8" t="inlineStr">
        <is>
          <t>K4</t>
        </is>
      </c>
      <c r="D346" s="13" t="inlineStr">
        <is>
          <t>K4</t>
        </is>
      </c>
      <c r="E346" s="13" t="inlineStr">
        <is>
          <t>J2Q4V2</t>
        </is>
      </c>
      <c r="F346" s="13" t="inlineStr">
        <is>
          <t>2027-021</t>
        </is>
      </c>
      <c r="G346" s="13" t="n">
        <v>704000</v>
      </c>
      <c r="H346" s="13">
        <f>INDEX('MAR 2e graad'!$B$2:$B$58,MATCH(G346,'MAR 2e graad'!$A$2:$A$58,0))</f>
        <v/>
      </c>
      <c r="I346" s="13">
        <f>INDEX('MAR 2e graad'!$C$2:$C$58,MATCH(G346,'MAR 2e graad'!$A$2:$A$58,0))</f>
        <v/>
      </c>
      <c r="J346" s="13">
        <f>IF(OR(I346="A",I346="K"),IF(K346&gt;0,"+","-"),IF(L346&gt;0,"+","-"))</f>
        <v/>
      </c>
      <c r="K346" s="14" t="n"/>
      <c r="L346" s="14" t="n">
        <v>4000</v>
      </c>
      <c r="M346" s="13" t="inlineStr">
        <is>
          <t>de omzet stijgt</t>
        </is>
      </c>
      <c r="N346" s="13" t="inlineStr">
        <is>
          <t>nee</t>
        </is>
      </c>
    </row>
    <row r="347">
      <c r="A347" s="12" t="n">
        <v>346</v>
      </c>
      <c r="B347" s="16" t="n">
        <v>46681</v>
      </c>
      <c r="C347" s="8" t="inlineStr">
        <is>
          <t>K4</t>
        </is>
      </c>
      <c r="D347" s="13" t="inlineStr">
        <is>
          <t>K4</t>
        </is>
      </c>
      <c r="E347" s="13" t="inlineStr">
        <is>
          <t>J2Q4V2</t>
        </is>
      </c>
      <c r="F347" s="13" t="inlineStr">
        <is>
          <t>2027-021</t>
        </is>
      </c>
      <c r="G347" s="13" t="n">
        <v>704000</v>
      </c>
      <c r="H347" s="13">
        <f>INDEX('MAR 2e graad'!$B$2:$B$58,MATCH(G347,'MAR 2e graad'!$A$2:$A$58,0))</f>
        <v/>
      </c>
      <c r="I347" s="13">
        <f>INDEX('MAR 2e graad'!$C$2:$C$58,MATCH(G347,'MAR 2e graad'!$A$2:$A$58,0))</f>
        <v/>
      </c>
      <c r="J347" s="13">
        <f>IF(OR(I347="A",I347="K"),IF(K347&gt;0,"+","-"),IF(L347&gt;0,"+","-"))</f>
        <v/>
      </c>
      <c r="K347" s="14" t="n"/>
      <c r="L347" s="14" t="n">
        <v>300</v>
      </c>
      <c r="M347" s="13" t="inlineStr">
        <is>
          <t>de omzet stijgt</t>
        </is>
      </c>
      <c r="N347" s="13" t="inlineStr">
        <is>
          <t>nee</t>
        </is>
      </c>
    </row>
    <row r="348">
      <c r="A348" s="12" t="n">
        <v>347</v>
      </c>
      <c r="B348" s="16" t="n">
        <v>46681</v>
      </c>
      <c r="C348" s="8" t="inlineStr">
        <is>
          <t>K4</t>
        </is>
      </c>
      <c r="D348" s="13" t="inlineStr">
        <is>
          <t>K4</t>
        </is>
      </c>
      <c r="E348" s="13" t="inlineStr">
        <is>
          <t>J2Q4V2</t>
        </is>
      </c>
      <c r="F348" s="13" t="inlineStr">
        <is>
          <t>2027-021</t>
        </is>
      </c>
      <c r="G348" s="13" t="n">
        <v>451100</v>
      </c>
      <c r="H348" s="13">
        <f>INDEX('MAR 2e graad'!$B$2:$B$58,MATCH(G348,'MAR 2e graad'!$A$2:$A$58,0))</f>
        <v/>
      </c>
      <c r="I348" s="13">
        <f>INDEX('MAR 2e graad'!$C$2:$C$58,MATCH(G348,'MAR 2e graad'!$A$2:$A$58,0))</f>
        <v/>
      </c>
      <c r="J348" s="13">
        <f>IF(OR(I348="A",I348="K"),IF(K348&gt;0,"+","-"),IF(L348&gt;0,"+","-"))</f>
        <v/>
      </c>
      <c r="K348" s="14" t="n"/>
      <c r="L348" s="14" t="n">
        <v>903</v>
      </c>
      <c r="M348" s="13" t="inlineStr">
        <is>
          <t>de schuld aan de overheid (verschuldigde btw) stijgt</t>
        </is>
      </c>
      <c r="N348" s="13" t="inlineStr">
        <is>
          <t>nee</t>
        </is>
      </c>
    </row>
    <row r="349">
      <c r="A349" s="12" t="n">
        <v>348</v>
      </c>
      <c r="B349" s="16" t="n">
        <v>46690</v>
      </c>
      <c r="C349" s="8" t="inlineStr">
        <is>
          <t>K4</t>
        </is>
      </c>
      <c r="D349" s="13" t="inlineStr">
        <is>
          <t>K4</t>
        </is>
      </c>
      <c r="E349" s="13" t="inlineStr">
        <is>
          <t>J2Q4CA2</t>
        </is>
      </c>
      <c r="F349" s="13" t="inlineStr">
        <is>
          <t>CN-2027-070</t>
        </is>
      </c>
      <c r="G349" s="13" t="n">
        <v>418000</v>
      </c>
      <c r="H349" s="13">
        <f>INDEX('MAR 2e graad'!$B$2:$B$58,MATCH(G349,'MAR 2e graad'!$A$2:$A$58,0))</f>
        <v/>
      </c>
      <c r="I349" s="13">
        <f>INDEX('MAR 2e graad'!$C$2:$C$58,MATCH(G349,'MAR 2e graad'!$A$2:$A$58,0))</f>
        <v/>
      </c>
      <c r="J349" s="13">
        <f>IF(OR(I349="A",I349="K"),IF(K349&gt;0,"+","-"),IF(L349&gt;0,"+","-"))</f>
        <v/>
      </c>
      <c r="K349" s="14" t="n"/>
      <c r="L349" s="14" t="n">
        <v>200</v>
      </c>
      <c r="M349" s="13" t="inlineStr">
        <is>
          <t>de vordering op de leverancier (verpakking) daalt</t>
        </is>
      </c>
      <c r="N349" s="13" t="inlineStr">
        <is>
          <t>nee</t>
        </is>
      </c>
    </row>
    <row r="350">
      <c r="A350" s="12" t="n">
        <v>349</v>
      </c>
      <c r="B350" s="16" t="n">
        <v>46690</v>
      </c>
      <c r="C350" s="8" t="inlineStr">
        <is>
          <t>K4</t>
        </is>
      </c>
      <c r="D350" s="13" t="inlineStr">
        <is>
          <t>K4</t>
        </is>
      </c>
      <c r="E350" s="13" t="inlineStr">
        <is>
          <t>J2Q4CA2</t>
        </is>
      </c>
      <c r="F350" s="13" t="inlineStr">
        <is>
          <t>CN-2027-070</t>
        </is>
      </c>
      <c r="G350" s="13" t="n">
        <v>440000</v>
      </c>
      <c r="H350" s="13">
        <f>INDEX('MAR 2e graad'!$B$2:$B$58,MATCH(G350,'MAR 2e graad'!$A$2:$A$58,0))</f>
        <v/>
      </c>
      <c r="I350" s="13">
        <f>INDEX('MAR 2e graad'!$C$2:$C$58,MATCH(G350,'MAR 2e graad'!$A$2:$A$58,0))</f>
        <v/>
      </c>
      <c r="J350" s="13">
        <f>IF(OR(I350="A",I350="K"),IF(K350&gt;0,"+","-"),IF(L350&gt;0,"+","-"))</f>
        <v/>
      </c>
      <c r="K350" s="14" t="n">
        <v>200</v>
      </c>
      <c r="L350" s="14" t="n"/>
      <c r="M350" s="13" t="inlineStr">
        <is>
          <t>de schuld aan de leverancier daalt</t>
        </is>
      </c>
      <c r="N350" s="13" t="inlineStr">
        <is>
          <t>nee</t>
        </is>
      </c>
    </row>
    <row r="351">
      <c r="A351" s="12" t="n">
        <v>350</v>
      </c>
      <c r="B351" s="16" t="n">
        <v>46692</v>
      </c>
      <c r="C351" s="8" t="inlineStr">
        <is>
          <t>K4</t>
        </is>
      </c>
      <c r="D351" s="13" t="inlineStr">
        <is>
          <t>K4</t>
        </is>
      </c>
      <c r="E351" s="13" t="inlineStr">
        <is>
          <t>U2027-20/1</t>
        </is>
      </c>
      <c r="F351" s="13" t="inlineStr">
        <is>
          <t>uittreksel U2027-20/1</t>
        </is>
      </c>
      <c r="G351" s="13" t="n">
        <v>173000</v>
      </c>
      <c r="H351" s="13">
        <f>INDEX('MAR 2e graad'!$B$2:$B$58,MATCH(G351,'MAR 2e graad'!$A$2:$A$58,0))</f>
        <v/>
      </c>
      <c r="I351" s="13">
        <f>INDEX('MAR 2e graad'!$C$2:$C$58,MATCH(G351,'MAR 2e graad'!$A$2:$A$58,0))</f>
        <v/>
      </c>
      <c r="J351" s="13">
        <f>IF(OR(I351="A",I351="K"),IF(K351&gt;0,"+","-"),IF(L351&gt;0,"+","-"))</f>
        <v/>
      </c>
      <c r="K351" s="14" t="n">
        <v>1500</v>
      </c>
      <c r="L351" s="14" t="n"/>
      <c r="M351" s="13" t="inlineStr">
        <is>
          <t>de schuld aan de bank (lening) daalt</t>
        </is>
      </c>
      <c r="N351" s="13" t="inlineStr">
        <is>
          <t>nee</t>
        </is>
      </c>
    </row>
    <row r="352">
      <c r="A352" s="12" t="n">
        <v>351</v>
      </c>
      <c r="B352" s="16" t="n">
        <v>46692</v>
      </c>
      <c r="C352" s="8" t="inlineStr">
        <is>
          <t>K4</t>
        </is>
      </c>
      <c r="D352" s="13" t="inlineStr">
        <is>
          <t>K4</t>
        </is>
      </c>
      <c r="E352" s="13" t="inlineStr">
        <is>
          <t>U2027-20/1</t>
        </is>
      </c>
      <c r="F352" s="13" t="inlineStr">
        <is>
          <t>uittreksel U2027-20/1</t>
        </is>
      </c>
      <c r="G352" s="13" t="n">
        <v>650000</v>
      </c>
      <c r="H352" s="13">
        <f>INDEX('MAR 2e graad'!$B$2:$B$58,MATCH(G352,'MAR 2e graad'!$A$2:$A$58,0))</f>
        <v/>
      </c>
      <c r="I352" s="13">
        <f>INDEX('MAR 2e graad'!$C$2:$C$58,MATCH(G352,'MAR 2e graad'!$A$2:$A$58,0))</f>
        <v/>
      </c>
      <c r="J352" s="13">
        <f>IF(OR(I352="A",I352="K"),IF(K352&gt;0,"+","-"),IF(L352&gt;0,"+","-"))</f>
        <v/>
      </c>
      <c r="K352" s="14" t="n">
        <v>270</v>
      </c>
      <c r="L352" s="14" t="n"/>
      <c r="M352" s="13" t="inlineStr">
        <is>
          <t>de financiële kosten (intrest) stijgen</t>
        </is>
      </c>
      <c r="N352" s="13" t="inlineStr">
        <is>
          <t>nee</t>
        </is>
      </c>
    </row>
    <row r="353">
      <c r="A353" s="12" t="n">
        <v>352</v>
      </c>
      <c r="B353" s="16" t="n">
        <v>46692</v>
      </c>
      <c r="C353" s="8" t="inlineStr">
        <is>
          <t>K4</t>
        </is>
      </c>
      <c r="D353" s="13" t="inlineStr">
        <is>
          <t>K4</t>
        </is>
      </c>
      <c r="E353" s="13" t="inlineStr">
        <is>
          <t>U2027-20/1</t>
        </is>
      </c>
      <c r="F353" s="13" t="inlineStr">
        <is>
          <t>uittreksel U2027-20/1</t>
        </is>
      </c>
      <c r="G353" s="13" t="n">
        <v>550000</v>
      </c>
      <c r="H353" s="13">
        <f>INDEX('MAR 2e graad'!$B$2:$B$58,MATCH(G353,'MAR 2e graad'!$A$2:$A$58,0))</f>
        <v/>
      </c>
      <c r="I353" s="13">
        <f>INDEX('MAR 2e graad'!$C$2:$C$58,MATCH(G353,'MAR 2e graad'!$A$2:$A$58,0))</f>
        <v/>
      </c>
      <c r="J353" s="13">
        <f>IF(OR(I353="A",I353="K"),IF(K353&gt;0,"+","-"),IF(L353&gt;0,"+","-"))</f>
        <v/>
      </c>
      <c r="K353" s="14" t="n"/>
      <c r="L353" s="14" t="n">
        <v>1770</v>
      </c>
      <c r="M353" s="13" t="inlineStr">
        <is>
          <t>de bank daalt</t>
        </is>
      </c>
      <c r="N353" s="13" t="inlineStr">
        <is>
          <t>nee</t>
        </is>
      </c>
    </row>
    <row r="354">
      <c r="A354" s="12" t="n">
        <v>353</v>
      </c>
      <c r="B354" s="16" t="n">
        <v>46695</v>
      </c>
      <c r="C354" s="8" t="inlineStr">
        <is>
          <t>K4</t>
        </is>
      </c>
      <c r="D354" s="13" t="inlineStr">
        <is>
          <t>K4</t>
        </is>
      </c>
      <c r="E354" s="13" t="inlineStr">
        <is>
          <t>J2Q4A4</t>
        </is>
      </c>
      <c r="F354" s="13" t="inlineStr">
        <is>
          <t>2027-766</t>
        </is>
      </c>
      <c r="G354" s="13" t="n">
        <v>604000</v>
      </c>
      <c r="H354" s="13">
        <f>INDEX('MAR 2e graad'!$B$2:$B$58,MATCH(G354,'MAR 2e graad'!$A$2:$A$58,0))</f>
        <v/>
      </c>
      <c r="I354" s="13">
        <f>INDEX('MAR 2e graad'!$C$2:$C$58,MATCH(G354,'MAR 2e graad'!$A$2:$A$58,0))</f>
        <v/>
      </c>
      <c r="J354" s="13">
        <f>IF(OR(I354="A",I354="K"),IF(K354&gt;0,"+","-"),IF(L354&gt;0,"+","-"))</f>
        <v/>
      </c>
      <c r="K354" s="14" t="n">
        <v>1400</v>
      </c>
      <c r="L354" s="14" t="n"/>
      <c r="M354" s="13" t="inlineStr">
        <is>
          <t>de kosten voor handelsgoederen stijgen</t>
        </is>
      </c>
      <c r="N354" s="13" t="inlineStr">
        <is>
          <t>nee</t>
        </is>
      </c>
    </row>
    <row r="355">
      <c r="A355" s="12" t="n">
        <v>354</v>
      </c>
      <c r="B355" s="16" t="n">
        <v>46695</v>
      </c>
      <c r="C355" s="8" t="inlineStr">
        <is>
          <t>K4</t>
        </is>
      </c>
      <c r="D355" s="13" t="inlineStr">
        <is>
          <t>K4</t>
        </is>
      </c>
      <c r="E355" s="13" t="inlineStr">
        <is>
          <t>J2Q4A4</t>
        </is>
      </c>
      <c r="F355" s="13" t="inlineStr">
        <is>
          <t>2027-766</t>
        </is>
      </c>
      <c r="G355" s="13" t="n">
        <v>604000</v>
      </c>
      <c r="H355" s="13">
        <f>INDEX('MAR 2e graad'!$B$2:$B$58,MATCH(G355,'MAR 2e graad'!$A$2:$A$58,0))</f>
        <v/>
      </c>
      <c r="I355" s="13">
        <f>INDEX('MAR 2e graad'!$C$2:$C$58,MATCH(G355,'MAR 2e graad'!$A$2:$A$58,0))</f>
        <v/>
      </c>
      <c r="J355" s="13">
        <f>IF(OR(I355="A",I355="K"),IF(K355&gt;0,"+","-"),IF(L355&gt;0,"+","-"))</f>
        <v/>
      </c>
      <c r="K355" s="14" t="n">
        <v>1600</v>
      </c>
      <c r="L355" s="14" t="n"/>
      <c r="M355" s="13" t="inlineStr">
        <is>
          <t>de kosten voor handelsgoederen stijgen</t>
        </is>
      </c>
      <c r="N355" s="13" t="inlineStr">
        <is>
          <t>nee</t>
        </is>
      </c>
    </row>
    <row r="356">
      <c r="A356" s="12" t="n">
        <v>355</v>
      </c>
      <c r="B356" s="16" t="n">
        <v>46695</v>
      </c>
      <c r="C356" s="8" t="inlineStr">
        <is>
          <t>K4</t>
        </is>
      </c>
      <c r="D356" s="13" t="inlineStr">
        <is>
          <t>K4</t>
        </is>
      </c>
      <c r="E356" s="13" t="inlineStr">
        <is>
          <t>J2Q4A4</t>
        </is>
      </c>
      <c r="F356" s="13" t="inlineStr">
        <is>
          <t>2027-766</t>
        </is>
      </c>
      <c r="G356" s="13" t="n">
        <v>604030</v>
      </c>
      <c r="H356" s="13">
        <f>INDEX('MAR 2e graad'!$B$2:$B$58,MATCH(G356,'MAR 2e graad'!$A$2:$A$58,0))</f>
        <v/>
      </c>
      <c r="I356" s="13">
        <f>INDEX('MAR 2e graad'!$C$2:$C$58,MATCH(G356,'MAR 2e graad'!$A$2:$A$58,0))</f>
        <v/>
      </c>
      <c r="J356" s="13">
        <f>IF(OR(I356="A",I356="K"),IF(K356&gt;0,"+","-"),IF(L356&gt;0,"+","-"))</f>
        <v/>
      </c>
      <c r="K356" s="14" t="n">
        <v>100</v>
      </c>
      <c r="L356" s="14" t="n"/>
      <c r="M356" s="13" t="inlineStr">
        <is>
          <t>de aankoopkosten stijgen</t>
        </is>
      </c>
      <c r="N356" s="13" t="inlineStr">
        <is>
          <t>nee</t>
        </is>
      </c>
    </row>
    <row r="357">
      <c r="A357" s="12" t="n">
        <v>356</v>
      </c>
      <c r="B357" s="16" t="n">
        <v>46695</v>
      </c>
      <c r="C357" s="8" t="inlineStr">
        <is>
          <t>K4</t>
        </is>
      </c>
      <c r="D357" s="13" t="inlineStr">
        <is>
          <t>K4</t>
        </is>
      </c>
      <c r="E357" s="13" t="inlineStr">
        <is>
          <t>J2Q4A4</t>
        </is>
      </c>
      <c r="F357" s="13" t="inlineStr">
        <is>
          <t>2027-766</t>
        </is>
      </c>
      <c r="G357" s="13" t="n">
        <v>604020</v>
      </c>
      <c r="H357" s="13">
        <f>INDEX('MAR 2e graad'!$B$2:$B$58,MATCH(G357,'MAR 2e graad'!$A$2:$A$58,0))</f>
        <v/>
      </c>
      <c r="I357" s="13">
        <f>INDEX('MAR 2e graad'!$C$2:$C$58,MATCH(G357,'MAR 2e graad'!$A$2:$A$58,0))</f>
        <v/>
      </c>
      <c r="J357" s="13">
        <f>IF(OR(I357="A",I357="K"),IF(K357&gt;0,"+","-"),IF(L357&gt;0,"+","-"))</f>
        <v/>
      </c>
      <c r="K357" s="14" t="n"/>
      <c r="L357" s="14" t="n">
        <v>300</v>
      </c>
      <c r="M357" s="13" t="inlineStr">
        <is>
          <t>de handelskorting op aankopen stijgt (kost daalt)</t>
        </is>
      </c>
      <c r="N357" s="13" t="inlineStr">
        <is>
          <t>nee</t>
        </is>
      </c>
    </row>
    <row r="358">
      <c r="A358" s="12" t="n">
        <v>357</v>
      </c>
      <c r="B358" s="16" t="n">
        <v>46695</v>
      </c>
      <c r="C358" s="8" t="inlineStr">
        <is>
          <t>K4</t>
        </is>
      </c>
      <c r="D358" s="13" t="inlineStr">
        <is>
          <t>K4</t>
        </is>
      </c>
      <c r="E358" s="13" t="inlineStr">
        <is>
          <t>J2Q4A4</t>
        </is>
      </c>
      <c r="F358" s="13" t="inlineStr">
        <is>
          <t>2027-766</t>
        </is>
      </c>
      <c r="G358" s="13" t="n">
        <v>411100</v>
      </c>
      <c r="H358" s="13">
        <f>INDEX('MAR 2e graad'!$B$2:$B$58,MATCH(G358,'MAR 2e graad'!$A$2:$A$58,0))</f>
        <v/>
      </c>
      <c r="I358" s="13">
        <f>INDEX('MAR 2e graad'!$C$2:$C$58,MATCH(G358,'MAR 2e graad'!$A$2:$A$58,0))</f>
        <v/>
      </c>
      <c r="J358" s="13">
        <f>IF(OR(I358="A",I358="K"),IF(K358&gt;0,"+","-"),IF(L358&gt;0,"+","-"))</f>
        <v/>
      </c>
      <c r="K358" s="14" t="n">
        <v>588</v>
      </c>
      <c r="L358" s="14" t="n"/>
      <c r="M358" s="13" t="inlineStr">
        <is>
          <t>de vordering op de overheid (aftrekbare btw) stijgt</t>
        </is>
      </c>
      <c r="N358" s="13" t="inlineStr">
        <is>
          <t>nee</t>
        </is>
      </c>
    </row>
    <row r="359">
      <c r="A359" s="12" t="n">
        <v>358</v>
      </c>
      <c r="B359" s="16" t="n">
        <v>46695</v>
      </c>
      <c r="C359" s="8" t="inlineStr">
        <is>
          <t>K4</t>
        </is>
      </c>
      <c r="D359" s="13" t="inlineStr">
        <is>
          <t>K4</t>
        </is>
      </c>
      <c r="E359" s="13" t="inlineStr">
        <is>
          <t>J2Q4A4</t>
        </is>
      </c>
      <c r="F359" s="13" t="inlineStr">
        <is>
          <t>2027-766</t>
        </is>
      </c>
      <c r="G359" s="13" t="n">
        <v>440000</v>
      </c>
      <c r="H359" s="13">
        <f>INDEX('MAR 2e graad'!$B$2:$B$58,MATCH(G359,'MAR 2e graad'!$A$2:$A$58,0))</f>
        <v/>
      </c>
      <c r="I359" s="13">
        <f>INDEX('MAR 2e graad'!$C$2:$C$58,MATCH(G359,'MAR 2e graad'!$A$2:$A$58,0))</f>
        <v/>
      </c>
      <c r="J359" s="13">
        <f>IF(OR(I359="A",I359="K"),IF(K359&gt;0,"+","-"),IF(L359&gt;0,"+","-"))</f>
        <v/>
      </c>
      <c r="K359" s="14" t="n"/>
      <c r="L359" s="14" t="n">
        <v>3388</v>
      </c>
      <c r="M359" s="13" t="inlineStr">
        <is>
          <t>de schuld aan de leverancier stijgt</t>
        </is>
      </c>
      <c r="N359" s="13" t="inlineStr">
        <is>
          <t>nee</t>
        </is>
      </c>
    </row>
    <row r="360">
      <c r="A360" s="12" t="n">
        <v>359</v>
      </c>
      <c r="B360" s="16" t="n">
        <v>46696</v>
      </c>
      <c r="C360" s="8" t="inlineStr">
        <is>
          <t>K4</t>
        </is>
      </c>
      <c r="D360" s="13" t="inlineStr">
        <is>
          <t>K4</t>
        </is>
      </c>
      <c r="E360" s="13" t="inlineStr">
        <is>
          <t>J2Q4V3</t>
        </is>
      </c>
      <c r="F360" s="13" t="inlineStr">
        <is>
          <t>2027-022</t>
        </is>
      </c>
      <c r="G360" s="13" t="n">
        <v>400000</v>
      </c>
      <c r="H360" s="13">
        <f>INDEX('MAR 2e graad'!$B$2:$B$58,MATCH(G360,'MAR 2e graad'!$A$2:$A$58,0))</f>
        <v/>
      </c>
      <c r="I360" s="13">
        <f>INDEX('MAR 2e graad'!$C$2:$C$58,MATCH(G360,'MAR 2e graad'!$A$2:$A$58,0))</f>
        <v/>
      </c>
      <c r="J360" s="13">
        <f>IF(OR(I360="A",I360="K"),IF(K360&gt;0,"+","-"),IF(L360&gt;0,"+","-"))</f>
        <v/>
      </c>
      <c r="K360" s="14" t="n">
        <v>4961</v>
      </c>
      <c r="L360" s="14" t="n"/>
      <c r="M360" s="13" t="inlineStr">
        <is>
          <t>de vordering op de klant stijgt</t>
        </is>
      </c>
      <c r="N360" s="13" t="inlineStr">
        <is>
          <t>nee</t>
        </is>
      </c>
    </row>
    <row r="361">
      <c r="A361" s="12" t="n">
        <v>360</v>
      </c>
      <c r="B361" s="16" t="n">
        <v>46696</v>
      </c>
      <c r="C361" s="8" t="inlineStr">
        <is>
          <t>K4</t>
        </is>
      </c>
      <c r="D361" s="13" t="inlineStr">
        <is>
          <t>K4</t>
        </is>
      </c>
      <c r="E361" s="13" t="inlineStr">
        <is>
          <t>J2Q4V3</t>
        </is>
      </c>
      <c r="F361" s="13" t="inlineStr">
        <is>
          <t>2027-022</t>
        </is>
      </c>
      <c r="G361" s="13" t="n">
        <v>704000</v>
      </c>
      <c r="H361" s="13">
        <f>INDEX('MAR 2e graad'!$B$2:$B$58,MATCH(G361,'MAR 2e graad'!$A$2:$A$58,0))</f>
        <v/>
      </c>
      <c r="I361" s="13">
        <f>INDEX('MAR 2e graad'!$C$2:$C$58,MATCH(G361,'MAR 2e graad'!$A$2:$A$58,0))</f>
        <v/>
      </c>
      <c r="J361" s="13">
        <f>IF(OR(I361="A",I361="K"),IF(K361&gt;0,"+","-"),IF(L361&gt;0,"+","-"))</f>
        <v/>
      </c>
      <c r="K361" s="14" t="n"/>
      <c r="L361" s="14" t="n">
        <v>4000</v>
      </c>
      <c r="M361" s="13" t="inlineStr">
        <is>
          <t>de omzet stijgt</t>
        </is>
      </c>
      <c r="N361" s="13" t="inlineStr">
        <is>
          <t>nee</t>
        </is>
      </c>
    </row>
    <row r="362">
      <c r="A362" s="12" t="n">
        <v>361</v>
      </c>
      <c r="B362" s="16" t="n">
        <v>46696</v>
      </c>
      <c r="C362" s="8" t="inlineStr">
        <is>
          <t>K4</t>
        </is>
      </c>
      <c r="D362" s="13" t="inlineStr">
        <is>
          <t>K4</t>
        </is>
      </c>
      <c r="E362" s="13" t="inlineStr">
        <is>
          <t>J2Q4V3</t>
        </is>
      </c>
      <c r="F362" s="13" t="inlineStr">
        <is>
          <t>2027-022</t>
        </is>
      </c>
      <c r="G362" s="13" t="n">
        <v>746000</v>
      </c>
      <c r="H362" s="13">
        <f>INDEX('MAR 2e graad'!$B$2:$B$58,MATCH(G362,'MAR 2e graad'!$A$2:$A$58,0))</f>
        <v/>
      </c>
      <c r="I362" s="13">
        <f>INDEX('MAR 2e graad'!$C$2:$C$58,MATCH(G362,'MAR 2e graad'!$A$2:$A$58,0))</f>
        <v/>
      </c>
      <c r="J362" s="13">
        <f>IF(OR(I362="A",I362="K"),IF(K362&gt;0,"+","-"),IF(L362&gt;0,"+","-"))</f>
        <v/>
      </c>
      <c r="K362" s="14" t="n"/>
      <c r="L362" s="14" t="n">
        <v>100</v>
      </c>
      <c r="M362" s="13" t="inlineStr">
        <is>
          <t>de doorgerekende kosten (opbrengst) stijgen</t>
        </is>
      </c>
      <c r="N362" s="13" t="inlineStr">
        <is>
          <t>nee</t>
        </is>
      </c>
    </row>
    <row r="363">
      <c r="A363" s="12" t="n">
        <v>362</v>
      </c>
      <c r="B363" s="16" t="n">
        <v>46696</v>
      </c>
      <c r="C363" s="8" t="inlineStr">
        <is>
          <t>K4</t>
        </is>
      </c>
      <c r="D363" s="13" t="inlineStr">
        <is>
          <t>K4</t>
        </is>
      </c>
      <c r="E363" s="13" t="inlineStr">
        <is>
          <t>J2Q4V3</t>
        </is>
      </c>
      <c r="F363" s="13" t="inlineStr">
        <is>
          <t>2027-022</t>
        </is>
      </c>
      <c r="G363" s="13" t="n">
        <v>451100</v>
      </c>
      <c r="H363" s="13">
        <f>INDEX('MAR 2e graad'!$B$2:$B$58,MATCH(G363,'MAR 2e graad'!$A$2:$A$58,0))</f>
        <v/>
      </c>
      <c r="I363" s="13">
        <f>INDEX('MAR 2e graad'!$C$2:$C$58,MATCH(G363,'MAR 2e graad'!$A$2:$A$58,0))</f>
        <v/>
      </c>
      <c r="J363" s="13">
        <f>IF(OR(I363="A",I363="K"),IF(K363&gt;0,"+","-"),IF(L363&gt;0,"+","-"))</f>
        <v/>
      </c>
      <c r="K363" s="14" t="n"/>
      <c r="L363" s="14" t="n">
        <v>861</v>
      </c>
      <c r="M363" s="13" t="inlineStr">
        <is>
          <t>de schuld aan de overheid (verschuldigde btw) stijgt</t>
        </is>
      </c>
      <c r="N363" s="13" t="inlineStr">
        <is>
          <t>nee</t>
        </is>
      </c>
    </row>
    <row r="364">
      <c r="A364" s="12" t="n">
        <v>363</v>
      </c>
      <c r="B364" s="16" t="n">
        <v>46697</v>
      </c>
      <c r="C364" s="8" t="inlineStr">
        <is>
          <t>K4</t>
        </is>
      </c>
      <c r="D364" s="13" t="inlineStr">
        <is>
          <t>K4</t>
        </is>
      </c>
      <c r="E364" s="13" t="inlineStr">
        <is>
          <t>J2Q4CV2</t>
        </is>
      </c>
      <c r="F364" s="13" t="inlineStr">
        <is>
          <t>CN-2027-009</t>
        </is>
      </c>
      <c r="G364" s="13" t="n">
        <v>400000</v>
      </c>
      <c r="H364" s="13">
        <f>INDEX('MAR 2e graad'!$B$2:$B$58,MATCH(G364,'MAR 2e graad'!$A$2:$A$58,0))</f>
        <v/>
      </c>
      <c r="I364" s="13">
        <f>INDEX('MAR 2e graad'!$C$2:$C$58,MATCH(G364,'MAR 2e graad'!$A$2:$A$58,0))</f>
        <v/>
      </c>
      <c r="J364" s="13">
        <f>IF(OR(I364="A",I364="K"),IF(K364&gt;0,"+","-"),IF(L364&gt;0,"+","-"))</f>
        <v/>
      </c>
      <c r="K364" s="14" t="n"/>
      <c r="L364" s="14" t="n">
        <v>150</v>
      </c>
      <c r="M364" s="13" t="inlineStr">
        <is>
          <t>de vordering op de klant daalt</t>
        </is>
      </c>
      <c r="N364" s="13" t="inlineStr">
        <is>
          <t>nee</t>
        </is>
      </c>
    </row>
    <row r="365">
      <c r="A365" s="12" t="n">
        <v>364</v>
      </c>
      <c r="B365" s="16" t="n">
        <v>46697</v>
      </c>
      <c r="C365" s="8" t="inlineStr">
        <is>
          <t>K4</t>
        </is>
      </c>
      <c r="D365" s="13" t="inlineStr">
        <is>
          <t>K4</t>
        </is>
      </c>
      <c r="E365" s="13" t="inlineStr">
        <is>
          <t>J2Q4CV2</t>
        </is>
      </c>
      <c r="F365" s="13" t="inlineStr">
        <is>
          <t>CN-2027-009</t>
        </is>
      </c>
      <c r="G365" s="13" t="n">
        <v>488000</v>
      </c>
      <c r="H365" s="13">
        <f>INDEX('MAR 2e graad'!$B$2:$B$58,MATCH(G365,'MAR 2e graad'!$A$2:$A$58,0))</f>
        <v/>
      </c>
      <c r="I365" s="13">
        <f>INDEX('MAR 2e graad'!$C$2:$C$58,MATCH(G365,'MAR 2e graad'!$A$2:$A$58,0))</f>
        <v/>
      </c>
      <c r="J365" s="13">
        <f>IF(OR(I365="A",I365="K"),IF(K365&gt;0,"+","-"),IF(L365&gt;0,"+","-"))</f>
        <v/>
      </c>
      <c r="K365" s="14" t="n">
        <v>150</v>
      </c>
      <c r="L365" s="14" t="n"/>
      <c r="M365" s="13" t="inlineStr">
        <is>
          <t>de schuld aan de klant (verpakking) daalt</t>
        </is>
      </c>
      <c r="N365" s="13" t="inlineStr">
        <is>
          <t>nee</t>
        </is>
      </c>
    </row>
    <row r="366">
      <c r="A366" s="12" t="n">
        <v>365</v>
      </c>
      <c r="B366" s="16" t="n">
        <v>46704</v>
      </c>
      <c r="C366" s="8" t="inlineStr">
        <is>
          <t>K4</t>
        </is>
      </c>
      <c r="D366" s="13" t="inlineStr">
        <is>
          <t>K4</t>
        </is>
      </c>
      <c r="E366" s="13" t="inlineStr">
        <is>
          <t>J2Q4A6</t>
        </is>
      </c>
      <c r="F366" s="13" t="inlineStr">
        <is>
          <t>2027-811</t>
        </is>
      </c>
      <c r="G366" s="13" t="n">
        <v>604000</v>
      </c>
      <c r="H366" s="13">
        <f>INDEX('MAR 2e graad'!$B$2:$B$58,MATCH(G366,'MAR 2e graad'!$A$2:$A$58,0))</f>
        <v/>
      </c>
      <c r="I366" s="13">
        <f>INDEX('MAR 2e graad'!$C$2:$C$58,MATCH(G366,'MAR 2e graad'!$A$2:$A$58,0))</f>
        <v/>
      </c>
      <c r="J366" s="13">
        <f>IF(OR(I366="A",I366="K"),IF(K366&gt;0,"+","-"),IF(L366&gt;0,"+","-"))</f>
        <v/>
      </c>
      <c r="K366" s="14" t="n">
        <v>1800</v>
      </c>
      <c r="L366" s="14" t="n"/>
      <c r="M366" s="13" t="inlineStr">
        <is>
          <t>de kosten voor handelsgoederen stijgen</t>
        </is>
      </c>
      <c r="N366" s="13" t="inlineStr">
        <is>
          <t>nee</t>
        </is>
      </c>
    </row>
    <row r="367">
      <c r="A367" s="12" t="n">
        <v>366</v>
      </c>
      <c r="B367" s="16" t="n">
        <v>46704</v>
      </c>
      <c r="C367" s="8" t="inlineStr">
        <is>
          <t>K4</t>
        </is>
      </c>
      <c r="D367" s="13" t="inlineStr">
        <is>
          <t>K4</t>
        </is>
      </c>
      <c r="E367" s="13" t="inlineStr">
        <is>
          <t>J2Q4A6</t>
        </is>
      </c>
      <c r="F367" s="13" t="inlineStr">
        <is>
          <t>2027-811</t>
        </is>
      </c>
      <c r="G367" s="13" t="n">
        <v>604000</v>
      </c>
      <c r="H367" s="13">
        <f>INDEX('MAR 2e graad'!$B$2:$B$58,MATCH(G367,'MAR 2e graad'!$A$2:$A$58,0))</f>
        <v/>
      </c>
      <c r="I367" s="13">
        <f>INDEX('MAR 2e graad'!$C$2:$C$58,MATCH(G367,'MAR 2e graad'!$A$2:$A$58,0))</f>
        <v/>
      </c>
      <c r="J367" s="13">
        <f>IF(OR(I367="A",I367="K"),IF(K367&gt;0,"+","-"),IF(L367&gt;0,"+","-"))</f>
        <v/>
      </c>
      <c r="K367" s="14" t="n">
        <v>400</v>
      </c>
      <c r="L367" s="14" t="n"/>
      <c r="M367" s="13" t="inlineStr">
        <is>
          <t>de kosten voor handelsgoederen stijgen</t>
        </is>
      </c>
      <c r="N367" s="13" t="inlineStr">
        <is>
          <t>nee</t>
        </is>
      </c>
    </row>
    <row r="368">
      <c r="A368" s="12" t="n">
        <v>367</v>
      </c>
      <c r="B368" s="16" t="n">
        <v>46704</v>
      </c>
      <c r="C368" s="8" t="inlineStr">
        <is>
          <t>K4</t>
        </is>
      </c>
      <c r="D368" s="13" t="inlineStr">
        <is>
          <t>K4</t>
        </is>
      </c>
      <c r="E368" s="13" t="inlineStr">
        <is>
          <t>J2Q4A6</t>
        </is>
      </c>
      <c r="F368" s="13" t="inlineStr">
        <is>
          <t>2027-811</t>
        </is>
      </c>
      <c r="G368" s="13" t="n">
        <v>604000</v>
      </c>
      <c r="H368" s="13">
        <f>INDEX('MAR 2e graad'!$B$2:$B$58,MATCH(G368,'MAR 2e graad'!$A$2:$A$58,0))</f>
        <v/>
      </c>
      <c r="I368" s="13">
        <f>INDEX('MAR 2e graad'!$C$2:$C$58,MATCH(G368,'MAR 2e graad'!$A$2:$A$58,0))</f>
        <v/>
      </c>
      <c r="J368" s="13">
        <f>IF(OR(I368="A",I368="K"),IF(K368&gt;0,"+","-"),IF(L368&gt;0,"+","-"))</f>
        <v/>
      </c>
      <c r="K368" s="14" t="n">
        <v>300</v>
      </c>
      <c r="L368" s="14" t="n"/>
      <c r="M368" s="13" t="inlineStr">
        <is>
          <t>de kosten voor handelsgoederen stijgen</t>
        </is>
      </c>
      <c r="N368" s="13" t="inlineStr">
        <is>
          <t>nee</t>
        </is>
      </c>
    </row>
    <row r="369">
      <c r="A369" s="12" t="n">
        <v>368</v>
      </c>
      <c r="B369" s="16" t="n">
        <v>46704</v>
      </c>
      <c r="C369" s="8" t="inlineStr">
        <is>
          <t>K4</t>
        </is>
      </c>
      <c r="D369" s="13" t="inlineStr">
        <is>
          <t>K4</t>
        </is>
      </c>
      <c r="E369" s="13" t="inlineStr">
        <is>
          <t>J2Q4A6</t>
        </is>
      </c>
      <c r="F369" s="13" t="inlineStr">
        <is>
          <t>2027-811</t>
        </is>
      </c>
      <c r="G369" s="13" t="n">
        <v>411100</v>
      </c>
      <c r="H369" s="13">
        <f>INDEX('MAR 2e graad'!$B$2:$B$58,MATCH(G369,'MAR 2e graad'!$A$2:$A$58,0))</f>
        <v/>
      </c>
      <c r="I369" s="13">
        <f>INDEX('MAR 2e graad'!$C$2:$C$58,MATCH(G369,'MAR 2e graad'!$A$2:$A$58,0))</f>
        <v/>
      </c>
      <c r="J369" s="13">
        <f>IF(OR(I369="A",I369="K"),IF(K369&gt;0,"+","-"),IF(L369&gt;0,"+","-"))</f>
        <v/>
      </c>
      <c r="K369" s="14" t="n">
        <v>504</v>
      </c>
      <c r="L369" s="14" t="n"/>
      <c r="M369" s="13" t="inlineStr">
        <is>
          <t>de vordering op de overheid (aftrekbare btw) stijgt</t>
        </is>
      </c>
      <c r="N369" s="13" t="inlineStr">
        <is>
          <t>nee</t>
        </is>
      </c>
    </row>
    <row r="370">
      <c r="A370" s="12" t="n">
        <v>369</v>
      </c>
      <c r="B370" s="16" t="n">
        <v>46704</v>
      </c>
      <c r="C370" s="8" t="inlineStr">
        <is>
          <t>K4</t>
        </is>
      </c>
      <c r="D370" s="13" t="inlineStr">
        <is>
          <t>K4</t>
        </is>
      </c>
      <c r="E370" s="13" t="inlineStr">
        <is>
          <t>J2Q4A6</t>
        </is>
      </c>
      <c r="F370" s="13" t="inlineStr">
        <is>
          <t>2027-811</t>
        </is>
      </c>
      <c r="G370" s="13" t="n">
        <v>440000</v>
      </c>
      <c r="H370" s="13">
        <f>INDEX('MAR 2e graad'!$B$2:$B$58,MATCH(G370,'MAR 2e graad'!$A$2:$A$58,0))</f>
        <v/>
      </c>
      <c r="I370" s="13">
        <f>INDEX('MAR 2e graad'!$C$2:$C$58,MATCH(G370,'MAR 2e graad'!$A$2:$A$58,0))</f>
        <v/>
      </c>
      <c r="J370" s="13">
        <f>IF(OR(I370="A",I370="K"),IF(K370&gt;0,"+","-"),IF(L370&gt;0,"+","-"))</f>
        <v/>
      </c>
      <c r="K370" s="14" t="n"/>
      <c r="L370" s="14" t="n">
        <v>3004</v>
      </c>
      <c r="M370" s="13" t="inlineStr">
        <is>
          <t>de schuld aan de leverancier stijgt</t>
        </is>
      </c>
      <c r="N370" s="13" t="inlineStr">
        <is>
          <t>nee</t>
        </is>
      </c>
    </row>
    <row r="371">
      <c r="A371" s="12" t="n">
        <v>370</v>
      </c>
      <c r="B371" s="16" t="n">
        <v>46705</v>
      </c>
      <c r="C371" s="8" t="inlineStr">
        <is>
          <t>K4</t>
        </is>
      </c>
      <c r="D371" s="13" t="inlineStr">
        <is>
          <t>K4</t>
        </is>
      </c>
      <c r="E371" s="13" t="inlineStr">
        <is>
          <t>U2027-21/1</t>
        </is>
      </c>
      <c r="F371" s="13" t="inlineStr">
        <is>
          <t>uittreksel U2027-21/1</t>
        </is>
      </c>
      <c r="G371" s="13" t="n">
        <v>550000</v>
      </c>
      <c r="H371" s="13">
        <f>INDEX('MAR 2e graad'!$B$2:$B$58,MATCH(G371,'MAR 2e graad'!$A$2:$A$58,0))</f>
        <v/>
      </c>
      <c r="I371" s="13">
        <f>INDEX('MAR 2e graad'!$C$2:$C$58,MATCH(G371,'MAR 2e graad'!$A$2:$A$58,0))</f>
        <v/>
      </c>
      <c r="J371" s="13">
        <f>IF(OR(I371="A",I371="K"),IF(K371&gt;0,"+","-"),IF(L371&gt;0,"+","-"))</f>
        <v/>
      </c>
      <c r="K371" s="14" t="n">
        <v>200</v>
      </c>
      <c r="L371" s="14" t="n"/>
      <c r="M371" s="13" t="inlineStr">
        <is>
          <t>de bank stijgt</t>
        </is>
      </c>
      <c r="N371" s="13" t="inlineStr">
        <is>
          <t>nee</t>
        </is>
      </c>
    </row>
    <row r="372">
      <c r="A372" s="12" t="n">
        <v>371</v>
      </c>
      <c r="B372" s="16" t="n">
        <v>46705</v>
      </c>
      <c r="C372" s="8" t="inlineStr">
        <is>
          <t>K4</t>
        </is>
      </c>
      <c r="D372" s="13" t="inlineStr">
        <is>
          <t>K4</t>
        </is>
      </c>
      <c r="E372" s="13" t="inlineStr">
        <is>
          <t>U2027-21/1</t>
        </is>
      </c>
      <c r="F372" s="13" t="inlineStr">
        <is>
          <t>uittreksel U2027-21/1</t>
        </is>
      </c>
      <c r="G372" s="13" t="n">
        <v>440000</v>
      </c>
      <c r="H372" s="13">
        <f>INDEX('MAR 2e graad'!$B$2:$B$58,MATCH(G372,'MAR 2e graad'!$A$2:$A$58,0))</f>
        <v/>
      </c>
      <c r="I372" s="13">
        <f>INDEX('MAR 2e graad'!$C$2:$C$58,MATCH(G372,'MAR 2e graad'!$A$2:$A$58,0))</f>
        <v/>
      </c>
      <c r="J372" s="13">
        <f>IF(OR(I372="A",I372="K"),IF(K372&gt;0,"+","-"),IF(L372&gt;0,"+","-"))</f>
        <v/>
      </c>
      <c r="K372" s="14" t="n"/>
      <c r="L372" s="14" t="n">
        <v>200</v>
      </c>
      <c r="M372" s="13" t="inlineStr">
        <is>
          <t>de vordering op de leverancier (creditnota) daalt</t>
        </is>
      </c>
      <c r="N372" s="13" t="inlineStr">
        <is>
          <t>nee</t>
        </is>
      </c>
    </row>
    <row r="373">
      <c r="A373" s="12" t="n">
        <v>372</v>
      </c>
      <c r="B373" s="16" t="n">
        <v>46705</v>
      </c>
      <c r="C373" s="8" t="inlineStr">
        <is>
          <t>K4</t>
        </is>
      </c>
      <c r="D373" s="13" t="inlineStr">
        <is>
          <t>K4</t>
        </is>
      </c>
      <c r="E373" s="13" t="inlineStr">
        <is>
          <t>U2027-21/2</t>
        </is>
      </c>
      <c r="F373" s="13" t="inlineStr">
        <is>
          <t>uittreksel U2027-21/2</t>
        </is>
      </c>
      <c r="G373" s="13" t="n">
        <v>440000</v>
      </c>
      <c r="H373" s="13">
        <f>INDEX('MAR 2e graad'!$B$2:$B$58,MATCH(G373,'MAR 2e graad'!$A$2:$A$58,0))</f>
        <v/>
      </c>
      <c r="I373" s="13">
        <f>INDEX('MAR 2e graad'!$C$2:$C$58,MATCH(G373,'MAR 2e graad'!$A$2:$A$58,0))</f>
        <v/>
      </c>
      <c r="J373" s="13">
        <f>IF(OR(I373="A",I373="K"),IF(K373&gt;0,"+","-"),IF(L373&gt;0,"+","-"))</f>
        <v/>
      </c>
      <c r="K373" s="14" t="n">
        <v>1331</v>
      </c>
      <c r="L373" s="14" t="n"/>
      <c r="M373" s="13" t="inlineStr">
        <is>
          <t>de schuld aan de leverancier daalt</t>
        </is>
      </c>
      <c r="N373" s="13" t="inlineStr">
        <is>
          <t>nee</t>
        </is>
      </c>
    </row>
    <row r="374">
      <c r="A374" s="12" t="n">
        <v>373</v>
      </c>
      <c r="B374" s="16" t="n">
        <v>46705</v>
      </c>
      <c r="C374" s="8" t="inlineStr">
        <is>
          <t>K4</t>
        </is>
      </c>
      <c r="D374" s="13" t="inlineStr">
        <is>
          <t>K4</t>
        </is>
      </c>
      <c r="E374" s="13" t="inlineStr">
        <is>
          <t>U2027-21/2</t>
        </is>
      </c>
      <c r="F374" s="13" t="inlineStr">
        <is>
          <t>uittreksel U2027-21/2</t>
        </is>
      </c>
      <c r="G374" s="13" t="n">
        <v>550000</v>
      </c>
      <c r="H374" s="13">
        <f>INDEX('MAR 2e graad'!$B$2:$B$58,MATCH(G374,'MAR 2e graad'!$A$2:$A$58,0))</f>
        <v/>
      </c>
      <c r="I374" s="13">
        <f>INDEX('MAR 2e graad'!$C$2:$C$58,MATCH(G374,'MAR 2e graad'!$A$2:$A$58,0))</f>
        <v/>
      </c>
      <c r="J374" s="13">
        <f>IF(OR(I374="A",I374="K"),IF(K374&gt;0,"+","-"),IF(L374&gt;0,"+","-"))</f>
        <v/>
      </c>
      <c r="K374" s="14" t="n"/>
      <c r="L374" s="14" t="n">
        <v>1331</v>
      </c>
      <c r="M374" s="13" t="inlineStr">
        <is>
          <t>de bank daalt</t>
        </is>
      </c>
      <c r="N374" s="13" t="inlineStr">
        <is>
          <t>nee</t>
        </is>
      </c>
    </row>
    <row r="375">
      <c r="A375" s="12" t="n">
        <v>374</v>
      </c>
      <c r="B375" s="16" t="n">
        <v>46705</v>
      </c>
      <c r="C375" s="8" t="inlineStr">
        <is>
          <t>K4</t>
        </is>
      </c>
      <c r="D375" s="13" t="inlineStr">
        <is>
          <t>K4</t>
        </is>
      </c>
      <c r="E375" s="13" t="inlineStr">
        <is>
          <t>U2027-21/3</t>
        </is>
      </c>
      <c r="F375" s="13" t="inlineStr">
        <is>
          <t>uittreksel U2027-21/3</t>
        </is>
      </c>
      <c r="G375" s="13" t="n">
        <v>550000</v>
      </c>
      <c r="H375" s="13">
        <f>INDEX('MAR 2e graad'!$B$2:$B$58,MATCH(G375,'MAR 2e graad'!$A$2:$A$58,0))</f>
        <v/>
      </c>
      <c r="I375" s="13">
        <f>INDEX('MAR 2e graad'!$C$2:$C$58,MATCH(G375,'MAR 2e graad'!$A$2:$A$58,0))</f>
        <v/>
      </c>
      <c r="J375" s="13">
        <f>IF(OR(I375="A",I375="K"),IF(K375&gt;0,"+","-"),IF(L375&gt;0,"+","-"))</f>
        <v/>
      </c>
      <c r="K375" s="14" t="n">
        <v>5203</v>
      </c>
      <c r="L375" s="14" t="n"/>
      <c r="M375" s="13" t="inlineStr">
        <is>
          <t>de bank stijgt</t>
        </is>
      </c>
      <c r="N375" s="13" t="inlineStr">
        <is>
          <t>nee</t>
        </is>
      </c>
    </row>
    <row r="376">
      <c r="A376" s="12" t="n">
        <v>375</v>
      </c>
      <c r="B376" s="16" t="n">
        <v>46705</v>
      </c>
      <c r="C376" s="8" t="inlineStr">
        <is>
          <t>K4</t>
        </is>
      </c>
      <c r="D376" s="13" t="inlineStr">
        <is>
          <t>K4</t>
        </is>
      </c>
      <c r="E376" s="13" t="inlineStr">
        <is>
          <t>U2027-21/3</t>
        </is>
      </c>
      <c r="F376" s="13" t="inlineStr">
        <is>
          <t>uittreksel U2027-21/3</t>
        </is>
      </c>
      <c r="G376" s="13" t="n">
        <v>400000</v>
      </c>
      <c r="H376" s="13">
        <f>INDEX('MAR 2e graad'!$B$2:$B$58,MATCH(G376,'MAR 2e graad'!$A$2:$A$58,0))</f>
        <v/>
      </c>
      <c r="I376" s="13">
        <f>INDEX('MAR 2e graad'!$C$2:$C$58,MATCH(G376,'MAR 2e graad'!$A$2:$A$58,0))</f>
        <v/>
      </c>
      <c r="J376" s="13">
        <f>IF(OR(I376="A",I376="K"),IF(K376&gt;0,"+","-"),IF(L376&gt;0,"+","-"))</f>
        <v/>
      </c>
      <c r="K376" s="14" t="n"/>
      <c r="L376" s="14" t="n">
        <v>5203</v>
      </c>
      <c r="M376" s="13" t="inlineStr">
        <is>
          <t>de vordering op de klant daalt</t>
        </is>
      </c>
      <c r="N376" s="13" t="inlineStr">
        <is>
          <t>nee</t>
        </is>
      </c>
    </row>
    <row r="377">
      <c r="A377" s="12" t="n">
        <v>376</v>
      </c>
      <c r="B377" s="16" t="n">
        <v>46705</v>
      </c>
      <c r="C377" s="8" t="inlineStr">
        <is>
          <t>K4</t>
        </is>
      </c>
      <c r="D377" s="13" t="inlineStr">
        <is>
          <t>K4</t>
        </is>
      </c>
      <c r="E377" s="13" t="inlineStr">
        <is>
          <t>U2027-21/4</t>
        </is>
      </c>
      <c r="F377" s="13" t="inlineStr">
        <is>
          <t>uittreksel U2027-21/4</t>
        </is>
      </c>
      <c r="G377" s="13" t="n">
        <v>550000</v>
      </c>
      <c r="H377" s="13">
        <f>INDEX('MAR 2e graad'!$B$2:$B$58,MATCH(G377,'MAR 2e graad'!$A$2:$A$58,0))</f>
        <v/>
      </c>
      <c r="I377" s="13">
        <f>INDEX('MAR 2e graad'!$C$2:$C$58,MATCH(G377,'MAR 2e graad'!$A$2:$A$58,0))</f>
        <v/>
      </c>
      <c r="J377" s="13">
        <f>IF(OR(I377="A",I377="K"),IF(K377&gt;0,"+","-"),IF(L377&gt;0,"+","-"))</f>
        <v/>
      </c>
      <c r="K377" s="14" t="n">
        <v>4961</v>
      </c>
      <c r="L377" s="14" t="n"/>
      <c r="M377" s="13" t="inlineStr">
        <is>
          <t>de bank stijgt</t>
        </is>
      </c>
      <c r="N377" s="13" t="inlineStr">
        <is>
          <t>nee</t>
        </is>
      </c>
    </row>
    <row r="378">
      <c r="A378" s="12" t="n">
        <v>377</v>
      </c>
      <c r="B378" s="16" t="n">
        <v>46705</v>
      </c>
      <c r="C378" s="8" t="inlineStr">
        <is>
          <t>K4</t>
        </is>
      </c>
      <c r="D378" s="13" t="inlineStr">
        <is>
          <t>K4</t>
        </is>
      </c>
      <c r="E378" s="13" t="inlineStr">
        <is>
          <t>U2027-21/4</t>
        </is>
      </c>
      <c r="F378" s="13" t="inlineStr">
        <is>
          <t>uittreksel U2027-21/4</t>
        </is>
      </c>
      <c r="G378" s="13" t="n">
        <v>400000</v>
      </c>
      <c r="H378" s="13">
        <f>INDEX('MAR 2e graad'!$B$2:$B$58,MATCH(G378,'MAR 2e graad'!$A$2:$A$58,0))</f>
        <v/>
      </c>
      <c r="I378" s="13">
        <f>INDEX('MAR 2e graad'!$C$2:$C$58,MATCH(G378,'MAR 2e graad'!$A$2:$A$58,0))</f>
        <v/>
      </c>
      <c r="J378" s="13">
        <f>IF(OR(I378="A",I378="K"),IF(K378&gt;0,"+","-"),IF(L378&gt;0,"+","-"))</f>
        <v/>
      </c>
      <c r="K378" s="14" t="n"/>
      <c r="L378" s="14" t="n">
        <v>4961</v>
      </c>
      <c r="M378" s="13" t="inlineStr">
        <is>
          <t>de vordering op de klant daalt</t>
        </is>
      </c>
      <c r="N378" s="13" t="inlineStr">
        <is>
          <t>nee</t>
        </is>
      </c>
    </row>
    <row r="379">
      <c r="A379" s="12" t="n">
        <v>378</v>
      </c>
      <c r="B379" s="16" t="n">
        <v>46705</v>
      </c>
      <c r="C379" s="8" t="inlineStr">
        <is>
          <t>K4</t>
        </is>
      </c>
      <c r="D379" s="13" t="inlineStr">
        <is>
          <t>K4</t>
        </is>
      </c>
      <c r="E379" s="13" t="inlineStr">
        <is>
          <t>U2027-21/5</t>
        </is>
      </c>
      <c r="F379" s="13" t="inlineStr">
        <is>
          <t>uittreksel U2027-21/5</t>
        </is>
      </c>
      <c r="G379" s="13" t="n">
        <v>400000</v>
      </c>
      <c r="H379" s="13">
        <f>INDEX('MAR 2e graad'!$B$2:$B$58,MATCH(G379,'MAR 2e graad'!$A$2:$A$58,0))</f>
        <v/>
      </c>
      <c r="I379" s="13">
        <f>INDEX('MAR 2e graad'!$C$2:$C$58,MATCH(G379,'MAR 2e graad'!$A$2:$A$58,0))</f>
        <v/>
      </c>
      <c r="J379" s="13">
        <f>IF(OR(I379="A",I379="K"),IF(K379&gt;0,"+","-"),IF(L379&gt;0,"+","-"))</f>
        <v/>
      </c>
      <c r="K379" s="14" t="n">
        <v>150</v>
      </c>
      <c r="L379" s="14" t="n"/>
      <c r="M379" s="13" t="inlineStr">
        <is>
          <t>de schuld aan de klant (creditnota) daalt</t>
        </is>
      </c>
      <c r="N379" s="13" t="inlineStr">
        <is>
          <t>nee</t>
        </is>
      </c>
    </row>
    <row r="380">
      <c r="A380" s="12" t="n">
        <v>379</v>
      </c>
      <c r="B380" s="16" t="n">
        <v>46705</v>
      </c>
      <c r="C380" s="8" t="inlineStr">
        <is>
          <t>K4</t>
        </is>
      </c>
      <c r="D380" s="13" t="inlineStr">
        <is>
          <t>K4</t>
        </is>
      </c>
      <c r="E380" s="13" t="inlineStr">
        <is>
          <t>U2027-21/5</t>
        </is>
      </c>
      <c r="F380" s="13" t="inlineStr">
        <is>
          <t>uittreksel U2027-21/5</t>
        </is>
      </c>
      <c r="G380" s="13" t="n">
        <v>550000</v>
      </c>
      <c r="H380" s="13">
        <f>INDEX('MAR 2e graad'!$B$2:$B$58,MATCH(G380,'MAR 2e graad'!$A$2:$A$58,0))</f>
        <v/>
      </c>
      <c r="I380" s="13">
        <f>INDEX('MAR 2e graad'!$C$2:$C$58,MATCH(G380,'MAR 2e graad'!$A$2:$A$58,0))</f>
        <v/>
      </c>
      <c r="J380" s="13">
        <f>IF(OR(I380="A",I380="K"),IF(K380&gt;0,"+","-"),IF(L380&gt;0,"+","-"))</f>
        <v/>
      </c>
      <c r="K380" s="14" t="n"/>
      <c r="L380" s="14" t="n">
        <v>150</v>
      </c>
      <c r="M380" s="13" t="inlineStr">
        <is>
          <t>de bank daalt</t>
        </is>
      </c>
      <c r="N380" s="13" t="inlineStr">
        <is>
          <t>nee</t>
        </is>
      </c>
    </row>
    <row r="381">
      <c r="A381" s="12" t="n">
        <v>380</v>
      </c>
      <c r="B381" s="16" t="n">
        <v>46705</v>
      </c>
      <c r="C381" s="8" t="inlineStr">
        <is>
          <t>K4</t>
        </is>
      </c>
      <c r="D381" s="13" t="inlineStr">
        <is>
          <t>K4</t>
        </is>
      </c>
      <c r="E381" s="13" t="inlineStr">
        <is>
          <t>U2027-21/6</t>
        </is>
      </c>
      <c r="F381" s="13" t="inlineStr">
        <is>
          <t>uittreksel U2027-21/6</t>
        </is>
      </c>
      <c r="G381" s="13" t="n">
        <v>440000</v>
      </c>
      <c r="H381" s="13">
        <f>INDEX('MAR 2e graad'!$B$2:$B$58,MATCH(G381,'MAR 2e graad'!$A$2:$A$58,0))</f>
        <v/>
      </c>
      <c r="I381" s="13">
        <f>INDEX('MAR 2e graad'!$C$2:$C$58,MATCH(G381,'MAR 2e graad'!$A$2:$A$58,0))</f>
        <v/>
      </c>
      <c r="J381" s="13">
        <f>IF(OR(I381="A",I381="K"),IF(K381&gt;0,"+","-"),IF(L381&gt;0,"+","-"))</f>
        <v/>
      </c>
      <c r="K381" s="14" t="n">
        <v>3004</v>
      </c>
      <c r="L381" s="14" t="n"/>
      <c r="M381" s="13" t="inlineStr">
        <is>
          <t>de schuld aan de leverancier daalt</t>
        </is>
      </c>
      <c r="N381" s="13" t="inlineStr">
        <is>
          <t>nee</t>
        </is>
      </c>
    </row>
    <row r="382">
      <c r="A382" s="12" t="n">
        <v>381</v>
      </c>
      <c r="B382" s="16" t="n">
        <v>46705</v>
      </c>
      <c r="C382" s="8" t="inlineStr">
        <is>
          <t>K4</t>
        </is>
      </c>
      <c r="D382" s="13" t="inlineStr">
        <is>
          <t>K4</t>
        </is>
      </c>
      <c r="E382" s="13" t="inlineStr">
        <is>
          <t>U2027-21/6</t>
        </is>
      </c>
      <c r="F382" s="13" t="inlineStr">
        <is>
          <t>uittreksel U2027-21/6</t>
        </is>
      </c>
      <c r="G382" s="13" t="n">
        <v>550000</v>
      </c>
      <c r="H382" s="13">
        <f>INDEX('MAR 2e graad'!$B$2:$B$58,MATCH(G382,'MAR 2e graad'!$A$2:$A$58,0))</f>
        <v/>
      </c>
      <c r="I382" s="13">
        <f>INDEX('MAR 2e graad'!$C$2:$C$58,MATCH(G382,'MAR 2e graad'!$A$2:$A$58,0))</f>
        <v/>
      </c>
      <c r="J382" s="13">
        <f>IF(OR(I382="A",I382="K"),IF(K382&gt;0,"+","-"),IF(L382&gt;0,"+","-"))</f>
        <v/>
      </c>
      <c r="K382" s="14" t="n"/>
      <c r="L382" s="14" t="n">
        <v>2904</v>
      </c>
      <c r="M382" s="13" t="inlineStr">
        <is>
          <t>de bank daalt</t>
        </is>
      </c>
      <c r="N382" s="13" t="inlineStr">
        <is>
          <t>nee</t>
        </is>
      </c>
    </row>
    <row r="383">
      <c r="A383" s="12" t="n">
        <v>382</v>
      </c>
      <c r="B383" s="16" t="n">
        <v>46705</v>
      </c>
      <c r="C383" s="8" t="inlineStr">
        <is>
          <t>K4</t>
        </is>
      </c>
      <c r="D383" s="13" t="inlineStr">
        <is>
          <t>K4</t>
        </is>
      </c>
      <c r="E383" s="13" t="inlineStr">
        <is>
          <t>U2027-21/6</t>
        </is>
      </c>
      <c r="F383" s="13" t="inlineStr">
        <is>
          <t>uittreksel U2027-21/6</t>
        </is>
      </c>
      <c r="G383" s="13" t="n">
        <v>757000</v>
      </c>
      <c r="H383" s="13">
        <f>INDEX('MAR 2e graad'!$B$2:$B$58,MATCH(G383,'MAR 2e graad'!$A$2:$A$58,0))</f>
        <v/>
      </c>
      <c r="I383" s="13">
        <f>INDEX('MAR 2e graad'!$C$2:$C$58,MATCH(G383,'MAR 2e graad'!$A$2:$A$58,0))</f>
        <v/>
      </c>
      <c r="J383" s="13">
        <f>IF(OR(I383="A",I383="K"),IF(K383&gt;0,"+","-"),IF(L383&gt;0,"+","-"))</f>
        <v/>
      </c>
      <c r="K383" s="14" t="n"/>
      <c r="L383" s="14" t="n">
        <v>100</v>
      </c>
      <c r="M383" s="13" t="inlineStr">
        <is>
          <t>de financiële opbrengsten (ontvangen betalingskorting) stijgen</t>
        </is>
      </c>
      <c r="N383" s="13" t="inlineStr">
        <is>
          <t>nee</t>
        </is>
      </c>
    </row>
    <row r="384">
      <c r="A384" s="12" t="n">
        <v>383</v>
      </c>
      <c r="B384" s="16" t="n">
        <v>46710</v>
      </c>
      <c r="C384" s="8" t="inlineStr">
        <is>
          <t>K4</t>
        </is>
      </c>
      <c r="D384" s="13" t="inlineStr">
        <is>
          <t>K4</t>
        </is>
      </c>
      <c r="E384" s="13" t="inlineStr">
        <is>
          <t>J2Q4V6</t>
        </is>
      </c>
      <c r="F384" s="13" t="inlineStr">
        <is>
          <t>2027-029</t>
        </is>
      </c>
      <c r="G384" s="13" t="n">
        <v>400000</v>
      </c>
      <c r="H384" s="13">
        <f>INDEX('MAR 2e graad'!$B$2:$B$58,MATCH(G384,'MAR 2e graad'!$A$2:$A$58,0))</f>
        <v/>
      </c>
      <c r="I384" s="13">
        <f>INDEX('MAR 2e graad'!$C$2:$C$58,MATCH(G384,'MAR 2e graad'!$A$2:$A$58,0))</f>
        <v/>
      </c>
      <c r="J384" s="13">
        <f>IF(OR(I384="A",I384="K"),IF(K384&gt;0,"+","-"),IF(L384&gt;0,"+","-"))</f>
        <v/>
      </c>
      <c r="K384" s="14" t="n">
        <v>6029</v>
      </c>
      <c r="L384" s="14" t="n"/>
      <c r="M384" s="13" t="inlineStr">
        <is>
          <t>de vordering op de klant stijgt</t>
        </is>
      </c>
      <c r="N384" s="13" t="inlineStr">
        <is>
          <t>nee</t>
        </is>
      </c>
    </row>
    <row r="385">
      <c r="A385" s="12" t="n">
        <v>384</v>
      </c>
      <c r="B385" s="16" t="n">
        <v>46710</v>
      </c>
      <c r="C385" s="8" t="inlineStr">
        <is>
          <t>K4</t>
        </is>
      </c>
      <c r="D385" s="13" t="inlineStr">
        <is>
          <t>K4</t>
        </is>
      </c>
      <c r="E385" s="13" t="inlineStr">
        <is>
          <t>J2Q4V6</t>
        </is>
      </c>
      <c r="F385" s="13" t="inlineStr">
        <is>
          <t>2027-029</t>
        </is>
      </c>
      <c r="G385" s="13" t="n">
        <v>704000</v>
      </c>
      <c r="H385" s="13">
        <f>INDEX('MAR 2e graad'!$B$2:$B$58,MATCH(G385,'MAR 2e graad'!$A$2:$A$58,0))</f>
        <v/>
      </c>
      <c r="I385" s="13">
        <f>INDEX('MAR 2e graad'!$C$2:$C$58,MATCH(G385,'MAR 2e graad'!$A$2:$A$58,0))</f>
        <v/>
      </c>
      <c r="J385" s="13">
        <f>IF(OR(I385="A",I385="K"),IF(K385&gt;0,"+","-"),IF(L385&gt;0,"+","-"))</f>
        <v/>
      </c>
      <c r="K385" s="14" t="n"/>
      <c r="L385" s="14" t="n">
        <v>3000</v>
      </c>
      <c r="M385" s="13" t="inlineStr">
        <is>
          <t>de omzet stijgt</t>
        </is>
      </c>
      <c r="N385" s="13" t="inlineStr">
        <is>
          <t>nee</t>
        </is>
      </c>
    </row>
    <row r="386">
      <c r="A386" s="12" t="n">
        <v>385</v>
      </c>
      <c r="B386" s="16" t="n">
        <v>46710</v>
      </c>
      <c r="C386" s="8" t="inlineStr">
        <is>
          <t>K4</t>
        </is>
      </c>
      <c r="D386" s="13" t="inlineStr">
        <is>
          <t>K4</t>
        </is>
      </c>
      <c r="E386" s="13" t="inlineStr">
        <is>
          <t>J2Q4V6</t>
        </is>
      </c>
      <c r="F386" s="13" t="inlineStr">
        <is>
          <t>2027-029</t>
        </is>
      </c>
      <c r="G386" s="13" t="n">
        <v>704000</v>
      </c>
      <c r="H386" s="13">
        <f>INDEX('MAR 2e graad'!$B$2:$B$58,MATCH(G386,'MAR 2e graad'!$A$2:$A$58,0))</f>
        <v/>
      </c>
      <c r="I386" s="13">
        <f>INDEX('MAR 2e graad'!$C$2:$C$58,MATCH(G386,'MAR 2e graad'!$A$2:$A$58,0))</f>
        <v/>
      </c>
      <c r="J386" s="13">
        <f>IF(OR(I386="A",I386="K"),IF(K386&gt;0,"+","-"),IF(L386&gt;0,"+","-"))</f>
        <v/>
      </c>
      <c r="K386" s="14" t="n"/>
      <c r="L386" s="14" t="n">
        <v>2000</v>
      </c>
      <c r="M386" s="13" t="inlineStr">
        <is>
          <t>de omzet stijgt</t>
        </is>
      </c>
      <c r="N386" s="13" t="inlineStr">
        <is>
          <t>nee</t>
        </is>
      </c>
    </row>
    <row r="387">
      <c r="A387" s="12" t="n">
        <v>386</v>
      </c>
      <c r="B387" s="16" t="n">
        <v>46710</v>
      </c>
      <c r="C387" s="8" t="inlineStr">
        <is>
          <t>K4</t>
        </is>
      </c>
      <c r="D387" s="13" t="inlineStr">
        <is>
          <t>K4</t>
        </is>
      </c>
      <c r="E387" s="13" t="inlineStr">
        <is>
          <t>J2Q4V6</t>
        </is>
      </c>
      <c r="F387" s="13" t="inlineStr">
        <is>
          <t>2027-029</t>
        </is>
      </c>
      <c r="G387" s="13" t="n">
        <v>451100</v>
      </c>
      <c r="H387" s="13">
        <f>INDEX('MAR 2e graad'!$B$2:$B$58,MATCH(G387,'MAR 2e graad'!$A$2:$A$58,0))</f>
        <v/>
      </c>
      <c r="I387" s="13">
        <f>INDEX('MAR 2e graad'!$C$2:$C$58,MATCH(G387,'MAR 2e graad'!$A$2:$A$58,0))</f>
        <v/>
      </c>
      <c r="J387" s="13">
        <f>IF(OR(I387="A",I387="K"),IF(K387&gt;0,"+","-"),IF(L387&gt;0,"+","-"))</f>
        <v/>
      </c>
      <c r="K387" s="14" t="n"/>
      <c r="L387" s="14" t="n">
        <v>1029</v>
      </c>
      <c r="M387" s="13" t="inlineStr">
        <is>
          <t>de schuld aan de overheid (verschuldigde btw) stijgt</t>
        </is>
      </c>
      <c r="N387" s="13" t="inlineStr">
        <is>
          <t>nee</t>
        </is>
      </c>
    </row>
    <row r="388">
      <c r="A388" s="12" t="n">
        <v>387</v>
      </c>
      <c r="B388" s="16" t="n">
        <v>46723</v>
      </c>
      <c r="C388" s="8" t="inlineStr">
        <is>
          <t>K4</t>
        </is>
      </c>
      <c r="D388" s="13" t="inlineStr">
        <is>
          <t>K4</t>
        </is>
      </c>
      <c r="E388" s="13" t="inlineStr">
        <is>
          <t>J2Q4V5</t>
        </is>
      </c>
      <c r="F388" s="13" t="inlineStr">
        <is>
          <t>2027-024</t>
        </is>
      </c>
      <c r="G388" s="13" t="n">
        <v>400000</v>
      </c>
      <c r="H388" s="13">
        <f>INDEX('MAR 2e graad'!$B$2:$B$58,MATCH(G388,'MAR 2e graad'!$A$2:$A$58,0))</f>
        <v/>
      </c>
      <c r="I388" s="13">
        <f>INDEX('MAR 2e graad'!$C$2:$C$58,MATCH(G388,'MAR 2e graad'!$A$2:$A$58,0))</f>
        <v/>
      </c>
      <c r="J388" s="13">
        <f>IF(OR(I388="A",I388="K"),IF(K388&gt;0,"+","-"),IF(L388&gt;0,"+","-"))</f>
        <v/>
      </c>
      <c r="K388" s="14" t="n">
        <v>7018</v>
      </c>
      <c r="L388" s="14" t="n"/>
      <c r="M388" s="13" t="inlineStr">
        <is>
          <t>de vordering op de klant stijgt</t>
        </is>
      </c>
      <c r="N388" s="13" t="inlineStr">
        <is>
          <t>nee</t>
        </is>
      </c>
    </row>
    <row r="389">
      <c r="A389" s="12" t="n">
        <v>388</v>
      </c>
      <c r="B389" s="16" t="n">
        <v>46723</v>
      </c>
      <c r="C389" s="8" t="inlineStr">
        <is>
          <t>K4</t>
        </is>
      </c>
      <c r="D389" s="13" t="inlineStr">
        <is>
          <t>K4</t>
        </is>
      </c>
      <c r="E389" s="13" t="inlineStr">
        <is>
          <t>J2Q4V5</t>
        </is>
      </c>
      <c r="F389" s="13" t="inlineStr">
        <is>
          <t>2027-024</t>
        </is>
      </c>
      <c r="G389" s="13" t="n">
        <v>704000</v>
      </c>
      <c r="H389" s="13">
        <f>INDEX('MAR 2e graad'!$B$2:$B$58,MATCH(G389,'MAR 2e graad'!$A$2:$A$58,0))</f>
        <v/>
      </c>
      <c r="I389" s="13">
        <f>INDEX('MAR 2e graad'!$C$2:$C$58,MATCH(G389,'MAR 2e graad'!$A$2:$A$58,0))</f>
        <v/>
      </c>
      <c r="J389" s="13">
        <f>IF(OR(I389="A",I389="K"),IF(K389&gt;0,"+","-"),IF(L389&gt;0,"+","-"))</f>
        <v/>
      </c>
      <c r="K389" s="14" t="n"/>
      <c r="L389" s="14" t="n">
        <v>5200</v>
      </c>
      <c r="M389" s="13" t="inlineStr">
        <is>
          <t>de omzet stijgt</t>
        </is>
      </c>
      <c r="N389" s="13" t="inlineStr">
        <is>
          <t>nee</t>
        </is>
      </c>
    </row>
    <row r="390">
      <c r="A390" s="12" t="n">
        <v>389</v>
      </c>
      <c r="B390" s="16" t="n">
        <v>46723</v>
      </c>
      <c r="C390" s="8" t="inlineStr">
        <is>
          <t>K4</t>
        </is>
      </c>
      <c r="D390" s="13" t="inlineStr">
        <is>
          <t>K4</t>
        </is>
      </c>
      <c r="E390" s="13" t="inlineStr">
        <is>
          <t>J2Q4V5</t>
        </is>
      </c>
      <c r="F390" s="13" t="inlineStr">
        <is>
          <t>2027-024</t>
        </is>
      </c>
      <c r="G390" s="13" t="n">
        <v>704000</v>
      </c>
      <c r="H390" s="13">
        <f>INDEX('MAR 2e graad'!$B$2:$B$58,MATCH(G390,'MAR 2e graad'!$A$2:$A$58,0))</f>
        <v/>
      </c>
      <c r="I390" s="13">
        <f>INDEX('MAR 2e graad'!$C$2:$C$58,MATCH(G390,'MAR 2e graad'!$A$2:$A$58,0))</f>
        <v/>
      </c>
      <c r="J390" s="13">
        <f>IF(OR(I390="A",I390="K"),IF(K390&gt;0,"+","-"),IF(L390&gt;0,"+","-"))</f>
        <v/>
      </c>
      <c r="K390" s="14" t="n"/>
      <c r="L390" s="14" t="n">
        <v>800</v>
      </c>
      <c r="M390" s="13" t="inlineStr">
        <is>
          <t>de omzet stijgt</t>
        </is>
      </c>
      <c r="N390" s="13" t="inlineStr">
        <is>
          <t>nee</t>
        </is>
      </c>
    </row>
    <row r="391">
      <c r="A391" s="12" t="n">
        <v>390</v>
      </c>
      <c r="B391" s="16" t="n">
        <v>46723</v>
      </c>
      <c r="C391" s="8" t="inlineStr">
        <is>
          <t>K4</t>
        </is>
      </c>
      <c r="D391" s="13" t="inlineStr">
        <is>
          <t>K4</t>
        </is>
      </c>
      <c r="E391" s="13" t="inlineStr">
        <is>
          <t>J2Q4V5</t>
        </is>
      </c>
      <c r="F391" s="13" t="inlineStr">
        <is>
          <t>2027-024</t>
        </is>
      </c>
      <c r="G391" s="13" t="n">
        <v>746000</v>
      </c>
      <c r="H391" s="13">
        <f>INDEX('MAR 2e graad'!$B$2:$B$58,MATCH(G391,'MAR 2e graad'!$A$2:$A$58,0))</f>
        <v/>
      </c>
      <c r="I391" s="13">
        <f>INDEX('MAR 2e graad'!$C$2:$C$58,MATCH(G391,'MAR 2e graad'!$A$2:$A$58,0))</f>
        <v/>
      </c>
      <c r="J391" s="13">
        <f>IF(OR(I391="A",I391="K"),IF(K391&gt;0,"+","-"),IF(L391&gt;0,"+","-"))</f>
        <v/>
      </c>
      <c r="K391" s="14" t="n"/>
      <c r="L391" s="14" t="n">
        <v>100</v>
      </c>
      <c r="M391" s="13" t="inlineStr">
        <is>
          <t>de doorgerekende kosten (opbrengst) stijgen</t>
        </is>
      </c>
      <c r="N391" s="13" t="inlineStr">
        <is>
          <t>nee</t>
        </is>
      </c>
    </row>
    <row r="392">
      <c r="A392" s="12" t="n">
        <v>391</v>
      </c>
      <c r="B392" s="16" t="n">
        <v>46723</v>
      </c>
      <c r="C392" s="8" t="inlineStr">
        <is>
          <t>K4</t>
        </is>
      </c>
      <c r="D392" s="13" t="inlineStr">
        <is>
          <t>K4</t>
        </is>
      </c>
      <c r="E392" s="13" t="inlineStr">
        <is>
          <t>J2Q4V5</t>
        </is>
      </c>
      <c r="F392" s="13" t="inlineStr">
        <is>
          <t>2027-024</t>
        </is>
      </c>
      <c r="G392" s="13" t="n">
        <v>704020</v>
      </c>
      <c r="H392" s="13">
        <f>INDEX('MAR 2e graad'!$B$2:$B$58,MATCH(G392,'MAR 2e graad'!$A$2:$A$58,0))</f>
        <v/>
      </c>
      <c r="I392" s="13">
        <f>INDEX('MAR 2e graad'!$C$2:$C$58,MATCH(G392,'MAR 2e graad'!$A$2:$A$58,0))</f>
        <v/>
      </c>
      <c r="J392" s="13">
        <f>IF(OR(I392="A",I392="K"),IF(K392&gt;0,"+","-"),IF(L392&gt;0,"+","-"))</f>
        <v/>
      </c>
      <c r="K392" s="14" t="n">
        <v>300</v>
      </c>
      <c r="L392" s="14" t="n"/>
      <c r="M392" s="13" t="inlineStr">
        <is>
          <t>de handelskorting op verkopen stijgt (omzet daalt)</t>
        </is>
      </c>
      <c r="N392" s="13" t="inlineStr">
        <is>
          <t>nee</t>
        </is>
      </c>
    </row>
    <row r="393">
      <c r="A393" s="12" t="n">
        <v>392</v>
      </c>
      <c r="B393" s="16" t="n">
        <v>46723</v>
      </c>
      <c r="C393" s="8" t="inlineStr">
        <is>
          <t>K4</t>
        </is>
      </c>
      <c r="D393" s="13" t="inlineStr">
        <is>
          <t>K4</t>
        </is>
      </c>
      <c r="E393" s="13" t="inlineStr">
        <is>
          <t>J2Q4V5</t>
        </is>
      </c>
      <c r="F393" s="13" t="inlineStr">
        <is>
          <t>2027-024</t>
        </is>
      </c>
      <c r="G393" s="13" t="n">
        <v>451100</v>
      </c>
      <c r="H393" s="13">
        <f>INDEX('MAR 2e graad'!$B$2:$B$58,MATCH(G393,'MAR 2e graad'!$A$2:$A$58,0))</f>
        <v/>
      </c>
      <c r="I393" s="13">
        <f>INDEX('MAR 2e graad'!$C$2:$C$58,MATCH(G393,'MAR 2e graad'!$A$2:$A$58,0))</f>
        <v/>
      </c>
      <c r="J393" s="13">
        <f>IF(OR(I393="A",I393="K"),IF(K393&gt;0,"+","-"),IF(L393&gt;0,"+","-"))</f>
        <v/>
      </c>
      <c r="K393" s="14" t="n"/>
      <c r="L393" s="14" t="n">
        <v>1218</v>
      </c>
      <c r="M393" s="13" t="inlineStr">
        <is>
          <t>de schuld aan de overheid (verschuldigde btw) stijgt</t>
        </is>
      </c>
      <c r="N393" s="13" t="inlineStr">
        <is>
          <t>nee</t>
        </is>
      </c>
    </row>
    <row r="394">
      <c r="A394" s="12" t="n">
        <v>393</v>
      </c>
      <c r="B394" s="16" t="n">
        <v>46726</v>
      </c>
      <c r="C394" s="8" t="inlineStr">
        <is>
          <t>K4</t>
        </is>
      </c>
      <c r="D394" s="13" t="inlineStr">
        <is>
          <t>K4</t>
        </is>
      </c>
      <c r="E394" s="13" t="inlineStr">
        <is>
          <t>U2027-22/1</t>
        </is>
      </c>
      <c r="F394" s="13" t="inlineStr">
        <is>
          <t>uittreksel U2027-22/1</t>
        </is>
      </c>
      <c r="G394" s="13" t="n">
        <v>440000</v>
      </c>
      <c r="H394" s="13">
        <f>INDEX('MAR 2e graad'!$B$2:$B$58,MATCH(G394,'MAR 2e graad'!$A$2:$A$58,0))</f>
        <v/>
      </c>
      <c r="I394" s="13">
        <f>INDEX('MAR 2e graad'!$C$2:$C$58,MATCH(G394,'MAR 2e graad'!$A$2:$A$58,0))</f>
        <v/>
      </c>
      <c r="J394" s="13">
        <f>IF(OR(I394="A",I394="K"),IF(K394&gt;0,"+","-"),IF(L394&gt;0,"+","-"))</f>
        <v/>
      </c>
      <c r="K394" s="14" t="n">
        <v>3388</v>
      </c>
      <c r="L394" s="14" t="n"/>
      <c r="M394" s="13" t="inlineStr">
        <is>
          <t>de schuld aan de leverancier daalt</t>
        </is>
      </c>
      <c r="N394" s="13" t="inlineStr">
        <is>
          <t>nee</t>
        </is>
      </c>
    </row>
    <row r="395">
      <c r="A395" s="12" t="n">
        <v>394</v>
      </c>
      <c r="B395" s="16" t="n">
        <v>46726</v>
      </c>
      <c r="C395" s="8" t="inlineStr">
        <is>
          <t>K4</t>
        </is>
      </c>
      <c r="D395" s="13" t="inlineStr">
        <is>
          <t>K4</t>
        </is>
      </c>
      <c r="E395" s="13" t="inlineStr">
        <is>
          <t>U2027-22/1</t>
        </is>
      </c>
      <c r="F395" s="13" t="inlineStr">
        <is>
          <t>uittreksel U2027-22/1</t>
        </is>
      </c>
      <c r="G395" s="13" t="n">
        <v>550000</v>
      </c>
      <c r="H395" s="13">
        <f>INDEX('MAR 2e graad'!$B$2:$B$58,MATCH(G395,'MAR 2e graad'!$A$2:$A$58,0))</f>
        <v/>
      </c>
      <c r="I395" s="13">
        <f>INDEX('MAR 2e graad'!$C$2:$C$58,MATCH(G395,'MAR 2e graad'!$A$2:$A$58,0))</f>
        <v/>
      </c>
      <c r="J395" s="13">
        <f>IF(OR(I395="A",I395="K"),IF(K395&gt;0,"+","-"),IF(L395&gt;0,"+","-"))</f>
        <v/>
      </c>
      <c r="K395" s="14" t="n"/>
      <c r="L395" s="14" t="n">
        <v>3388</v>
      </c>
      <c r="M395" s="13" t="inlineStr">
        <is>
          <t>de bank daalt</t>
        </is>
      </c>
      <c r="N395" s="13" t="inlineStr">
        <is>
          <t>nee</t>
        </is>
      </c>
    </row>
    <row r="396">
      <c r="A396" s="12" t="n">
        <v>395</v>
      </c>
      <c r="B396" s="16" t="n">
        <v>46726</v>
      </c>
      <c r="C396" s="8" t="inlineStr">
        <is>
          <t>K4</t>
        </is>
      </c>
      <c r="D396" s="13" t="inlineStr">
        <is>
          <t>K4</t>
        </is>
      </c>
      <c r="E396" s="13" t="inlineStr">
        <is>
          <t>U2027-22/2</t>
        </is>
      </c>
      <c r="F396" s="13" t="inlineStr">
        <is>
          <t>uittreksel U2027-22/2</t>
        </is>
      </c>
      <c r="G396" s="13" t="n">
        <v>550000</v>
      </c>
      <c r="H396" s="13">
        <f>INDEX('MAR 2e graad'!$B$2:$B$58,MATCH(G396,'MAR 2e graad'!$A$2:$A$58,0))</f>
        <v/>
      </c>
      <c r="I396" s="13">
        <f>INDEX('MAR 2e graad'!$C$2:$C$58,MATCH(G396,'MAR 2e graad'!$A$2:$A$58,0))</f>
        <v/>
      </c>
      <c r="J396" s="13">
        <f>IF(OR(I396="A",I396="K"),IF(K396&gt;0,"+","-"),IF(L396&gt;0,"+","-"))</f>
        <v/>
      </c>
      <c r="K396" s="14" t="n">
        <v>6029</v>
      </c>
      <c r="L396" s="14" t="n"/>
      <c r="M396" s="13" t="inlineStr">
        <is>
          <t>de bank stijgt</t>
        </is>
      </c>
      <c r="N396" s="13" t="inlineStr">
        <is>
          <t>nee</t>
        </is>
      </c>
    </row>
    <row r="397">
      <c r="A397" s="12" t="n">
        <v>396</v>
      </c>
      <c r="B397" s="16" t="n">
        <v>46726</v>
      </c>
      <c r="C397" s="8" t="inlineStr">
        <is>
          <t>K4</t>
        </is>
      </c>
      <c r="D397" s="13" t="inlineStr">
        <is>
          <t>K4</t>
        </is>
      </c>
      <c r="E397" s="13" t="inlineStr">
        <is>
          <t>U2027-22/2</t>
        </is>
      </c>
      <c r="F397" s="13" t="inlineStr">
        <is>
          <t>uittreksel U2027-22/2</t>
        </is>
      </c>
      <c r="G397" s="13" t="n">
        <v>400000</v>
      </c>
      <c r="H397" s="13">
        <f>INDEX('MAR 2e graad'!$B$2:$B$58,MATCH(G397,'MAR 2e graad'!$A$2:$A$58,0))</f>
        <v/>
      </c>
      <c r="I397" s="13">
        <f>INDEX('MAR 2e graad'!$C$2:$C$58,MATCH(G397,'MAR 2e graad'!$A$2:$A$58,0))</f>
        <v/>
      </c>
      <c r="J397" s="13">
        <f>IF(OR(I397="A",I397="K"),IF(K397&gt;0,"+","-"),IF(L397&gt;0,"+","-"))</f>
        <v/>
      </c>
      <c r="K397" s="14" t="n"/>
      <c r="L397" s="14" t="n">
        <v>6029</v>
      </c>
      <c r="M397" s="13" t="inlineStr">
        <is>
          <t>de vordering op de klant daalt</t>
        </is>
      </c>
      <c r="N397" s="13" t="inlineStr">
        <is>
          <t>nee</t>
        </is>
      </c>
    </row>
    <row r="398">
      <c r="A398" s="12" t="n">
        <v>397</v>
      </c>
      <c r="B398" s="16" t="n">
        <v>46733</v>
      </c>
      <c r="C398" s="8" t="inlineStr">
        <is>
          <t>K4</t>
        </is>
      </c>
      <c r="D398" s="13" t="inlineStr">
        <is>
          <t>K4</t>
        </is>
      </c>
      <c r="E398" s="13" t="inlineStr">
        <is>
          <t>J2Q4D1</t>
        </is>
      </c>
      <c r="F398" s="13" t="inlineStr">
        <is>
          <t>DO-2027-04</t>
        </is>
      </c>
      <c r="G398" s="13" t="n">
        <v>400000</v>
      </c>
      <c r="H398" s="13">
        <f>INDEX('MAR 2e graad'!$B$2:$B$58,MATCH(G398,'MAR 2e graad'!$A$2:$A$58,0))</f>
        <v/>
      </c>
      <c r="I398" s="13">
        <f>INDEX('MAR 2e graad'!$C$2:$C$58,MATCH(G398,'MAR 2e graad'!$A$2:$A$58,0))</f>
        <v/>
      </c>
      <c r="J398" s="13">
        <f>IF(OR(I398="A",I398="K"),IF(K398&gt;0,"+","-"),IF(L398&gt;0,"+","-"))</f>
        <v/>
      </c>
      <c r="K398" s="14" t="n">
        <v>4266</v>
      </c>
      <c r="L398" s="14" t="n"/>
      <c r="M398" s="13" t="inlineStr">
        <is>
          <t>de vordering op de klanten (dagontvangsten) stijgt</t>
        </is>
      </c>
      <c r="N398" s="13" t="inlineStr">
        <is>
          <t>nee</t>
        </is>
      </c>
    </row>
    <row r="399">
      <c r="A399" s="12" t="n">
        <v>398</v>
      </c>
      <c r="B399" s="16" t="n">
        <v>46733</v>
      </c>
      <c r="C399" s="8" t="inlineStr">
        <is>
          <t>K4</t>
        </is>
      </c>
      <c r="D399" s="13" t="inlineStr">
        <is>
          <t>K4</t>
        </is>
      </c>
      <c r="E399" s="13" t="inlineStr">
        <is>
          <t>J2Q4D1</t>
        </is>
      </c>
      <c r="F399" s="13" t="inlineStr">
        <is>
          <t>DO-2027-04</t>
        </is>
      </c>
      <c r="G399" s="13" t="n">
        <v>704000</v>
      </c>
      <c r="H399" s="13">
        <f>INDEX('MAR 2e graad'!$B$2:$B$58,MATCH(G399,'MAR 2e graad'!$A$2:$A$58,0))</f>
        <v/>
      </c>
      <c r="I399" s="13">
        <f>INDEX('MAR 2e graad'!$C$2:$C$58,MATCH(G399,'MAR 2e graad'!$A$2:$A$58,0))</f>
        <v/>
      </c>
      <c r="J399" s="13">
        <f>IF(OR(I399="A",I399="K"),IF(K399&gt;0,"+","-"),IF(L399&gt;0,"+","-"))</f>
        <v/>
      </c>
      <c r="K399" s="14" t="n"/>
      <c r="L399" s="14" t="n">
        <v>2000</v>
      </c>
      <c r="M399" s="13" t="inlineStr">
        <is>
          <t>de omzet stijgt</t>
        </is>
      </c>
      <c r="N399" s="13" t="inlineStr">
        <is>
          <t>nee</t>
        </is>
      </c>
    </row>
    <row r="400">
      <c r="A400" s="12" t="n">
        <v>399</v>
      </c>
      <c r="B400" s="16" t="n">
        <v>46733</v>
      </c>
      <c r="C400" s="8" t="inlineStr">
        <is>
          <t>K4</t>
        </is>
      </c>
      <c r="D400" s="13" t="inlineStr">
        <is>
          <t>K4</t>
        </is>
      </c>
      <c r="E400" s="13" t="inlineStr">
        <is>
          <t>J2Q4D1</t>
        </is>
      </c>
      <c r="F400" s="13" t="inlineStr">
        <is>
          <t>DO-2027-04</t>
        </is>
      </c>
      <c r="G400" s="13" t="n">
        <v>704000</v>
      </c>
      <c r="H400" s="13">
        <f>INDEX('MAR 2e graad'!$B$2:$B$58,MATCH(G400,'MAR 2e graad'!$A$2:$A$58,0))</f>
        <v/>
      </c>
      <c r="I400" s="13">
        <f>INDEX('MAR 2e graad'!$C$2:$C$58,MATCH(G400,'MAR 2e graad'!$A$2:$A$58,0))</f>
        <v/>
      </c>
      <c r="J400" s="13">
        <f>IF(OR(I400="A",I400="K"),IF(K400&gt;0,"+","-"),IF(L400&gt;0,"+","-"))</f>
        <v/>
      </c>
      <c r="K400" s="14" t="n"/>
      <c r="L400" s="14" t="n">
        <v>500</v>
      </c>
      <c r="M400" s="13" t="inlineStr">
        <is>
          <t>de omzet stijgt</t>
        </is>
      </c>
      <c r="N400" s="13" t="inlineStr">
        <is>
          <t>nee</t>
        </is>
      </c>
    </row>
    <row r="401">
      <c r="A401" s="12" t="n">
        <v>400</v>
      </c>
      <c r="B401" s="16" t="n">
        <v>46733</v>
      </c>
      <c r="C401" s="8" t="inlineStr">
        <is>
          <t>K4</t>
        </is>
      </c>
      <c r="D401" s="13" t="inlineStr">
        <is>
          <t>K4</t>
        </is>
      </c>
      <c r="E401" s="13" t="inlineStr">
        <is>
          <t>J2Q4D1</t>
        </is>
      </c>
      <c r="F401" s="13" t="inlineStr">
        <is>
          <t>DO-2027-04</t>
        </is>
      </c>
      <c r="G401" s="13" t="n">
        <v>704000</v>
      </c>
      <c r="H401" s="13">
        <f>INDEX('MAR 2e graad'!$B$2:$B$58,MATCH(G401,'MAR 2e graad'!$A$2:$A$58,0))</f>
        <v/>
      </c>
      <c r="I401" s="13">
        <f>INDEX('MAR 2e graad'!$C$2:$C$58,MATCH(G401,'MAR 2e graad'!$A$2:$A$58,0))</f>
        <v/>
      </c>
      <c r="J401" s="13">
        <f>IF(OR(I401="A",I401="K"),IF(K401&gt;0,"+","-"),IF(L401&gt;0,"+","-"))</f>
        <v/>
      </c>
      <c r="K401" s="14" t="n"/>
      <c r="L401" s="14" t="n">
        <v>240</v>
      </c>
      <c r="M401" s="13" t="inlineStr">
        <is>
          <t>de omzet stijgt</t>
        </is>
      </c>
      <c r="N401" s="13" t="inlineStr">
        <is>
          <t>nee</t>
        </is>
      </c>
    </row>
    <row r="402">
      <c r="A402" s="12" t="n">
        <v>401</v>
      </c>
      <c r="B402" s="16" t="n">
        <v>46733</v>
      </c>
      <c r="C402" s="8" t="inlineStr">
        <is>
          <t>K4</t>
        </is>
      </c>
      <c r="D402" s="13" t="inlineStr">
        <is>
          <t>K4</t>
        </is>
      </c>
      <c r="E402" s="13" t="inlineStr">
        <is>
          <t>J2Q4D1</t>
        </is>
      </c>
      <c r="F402" s="13" t="inlineStr">
        <is>
          <t>DO-2027-04</t>
        </is>
      </c>
      <c r="G402" s="13" t="n">
        <v>704000</v>
      </c>
      <c r="H402" s="13">
        <f>INDEX('MAR 2e graad'!$B$2:$B$58,MATCH(G402,'MAR 2e graad'!$A$2:$A$58,0))</f>
        <v/>
      </c>
      <c r="I402" s="13">
        <f>INDEX('MAR 2e graad'!$C$2:$C$58,MATCH(G402,'MAR 2e graad'!$A$2:$A$58,0))</f>
        <v/>
      </c>
      <c r="J402" s="13">
        <f>IF(OR(I402="A",I402="K"),IF(K402&gt;0,"+","-"),IF(L402&gt;0,"+","-"))</f>
        <v/>
      </c>
      <c r="K402" s="14" t="n"/>
      <c r="L402" s="14" t="n">
        <v>60</v>
      </c>
      <c r="M402" s="13" t="inlineStr">
        <is>
          <t>de omzet stijgt</t>
        </is>
      </c>
      <c r="N402" s="13" t="inlineStr">
        <is>
          <t>nee</t>
        </is>
      </c>
    </row>
    <row r="403">
      <c r="A403" s="12" t="n">
        <v>402</v>
      </c>
      <c r="B403" s="16" t="n">
        <v>46733</v>
      </c>
      <c r="C403" s="8" t="inlineStr">
        <is>
          <t>K4</t>
        </is>
      </c>
      <c r="D403" s="13" t="inlineStr">
        <is>
          <t>K4</t>
        </is>
      </c>
      <c r="E403" s="13" t="inlineStr">
        <is>
          <t>J2Q4D1</t>
        </is>
      </c>
      <c r="F403" s="13" t="inlineStr">
        <is>
          <t>DO-2027-04</t>
        </is>
      </c>
      <c r="G403" s="13" t="n">
        <v>704000</v>
      </c>
      <c r="H403" s="13">
        <f>INDEX('MAR 2e graad'!$B$2:$B$58,MATCH(G403,'MAR 2e graad'!$A$2:$A$58,0))</f>
        <v/>
      </c>
      <c r="I403" s="13">
        <f>INDEX('MAR 2e graad'!$C$2:$C$58,MATCH(G403,'MAR 2e graad'!$A$2:$A$58,0))</f>
        <v/>
      </c>
      <c r="J403" s="13">
        <f>IF(OR(I403="A",I403="K"),IF(K403&gt;0,"+","-"),IF(L403&gt;0,"+","-"))</f>
        <v/>
      </c>
      <c r="K403" s="14" t="n"/>
      <c r="L403" s="14" t="n">
        <v>200</v>
      </c>
      <c r="M403" s="13" t="inlineStr">
        <is>
          <t>de omzet stijgt</t>
        </is>
      </c>
      <c r="N403" s="13" t="inlineStr">
        <is>
          <t>nee</t>
        </is>
      </c>
    </row>
    <row r="404">
      <c r="A404" s="12" t="n">
        <v>403</v>
      </c>
      <c r="B404" s="16" t="n">
        <v>46733</v>
      </c>
      <c r="C404" s="8" t="inlineStr">
        <is>
          <t>K4</t>
        </is>
      </c>
      <c r="D404" s="13" t="inlineStr">
        <is>
          <t>K4</t>
        </is>
      </c>
      <c r="E404" s="13" t="inlineStr">
        <is>
          <t>J2Q4D1</t>
        </is>
      </c>
      <c r="F404" s="13" t="inlineStr">
        <is>
          <t>DO-2027-04</t>
        </is>
      </c>
      <c r="G404" s="13" t="n">
        <v>700000</v>
      </c>
      <c r="H404" s="13">
        <f>INDEX('MAR 2e graad'!$B$2:$B$58,MATCH(G404,'MAR 2e graad'!$A$2:$A$58,0))</f>
        <v/>
      </c>
      <c r="I404" s="13">
        <f>INDEX('MAR 2e graad'!$C$2:$C$58,MATCH(G404,'MAR 2e graad'!$A$2:$A$58,0))</f>
        <v/>
      </c>
      <c r="J404" s="13">
        <f>IF(OR(I404="A",I404="K"),IF(K404&gt;0,"+","-"),IF(L404&gt;0,"+","-"))</f>
        <v/>
      </c>
      <c r="K404" s="14" t="n"/>
      <c r="L404" s="14" t="n">
        <v>600</v>
      </c>
      <c r="M404" s="13" t="inlineStr">
        <is>
          <t>de omzet (diensten) stijgt</t>
        </is>
      </c>
      <c r="N404" s="13" t="inlineStr">
        <is>
          <t>nee</t>
        </is>
      </c>
    </row>
    <row r="405">
      <c r="A405" s="12" t="n">
        <v>404</v>
      </c>
      <c r="B405" s="16" t="n">
        <v>46733</v>
      </c>
      <c r="C405" s="8" t="inlineStr">
        <is>
          <t>K4</t>
        </is>
      </c>
      <c r="D405" s="13" t="inlineStr">
        <is>
          <t>K4</t>
        </is>
      </c>
      <c r="E405" s="13" t="inlineStr">
        <is>
          <t>J2Q4D1</t>
        </is>
      </c>
      <c r="F405" s="13" t="inlineStr">
        <is>
          <t>DO-2027-04</t>
        </is>
      </c>
      <c r="G405" s="13" t="n">
        <v>451100</v>
      </c>
      <c r="H405" s="13">
        <f>INDEX('MAR 2e graad'!$B$2:$B$58,MATCH(G405,'MAR 2e graad'!$A$2:$A$58,0))</f>
        <v/>
      </c>
      <c r="I405" s="13">
        <f>INDEX('MAR 2e graad'!$C$2:$C$58,MATCH(G405,'MAR 2e graad'!$A$2:$A$58,0))</f>
        <v/>
      </c>
      <c r="J405" s="13">
        <f>IF(OR(I405="A",I405="K"),IF(K405&gt;0,"+","-"),IF(L405&gt;0,"+","-"))</f>
        <v/>
      </c>
      <c r="K405" s="14" t="n"/>
      <c r="L405" s="14" t="n">
        <v>666</v>
      </c>
      <c r="M405" s="13" t="inlineStr">
        <is>
          <t>de schuld aan de overheid (verschuldigde btw) stijgt</t>
        </is>
      </c>
      <c r="N405" s="13" t="inlineStr">
        <is>
          <t>nee</t>
        </is>
      </c>
    </row>
    <row r="406">
      <c r="A406" s="12" t="n">
        <v>405</v>
      </c>
      <c r="B406" s="16" t="n">
        <v>46733</v>
      </c>
      <c r="C406" s="8" t="inlineStr">
        <is>
          <t>K4</t>
        </is>
      </c>
      <c r="D406" s="13" t="inlineStr">
        <is>
          <t>K4</t>
        </is>
      </c>
      <c r="E406" s="13" t="inlineStr">
        <is>
          <t>J2Q4D1K</t>
        </is>
      </c>
      <c r="F406" s="13" t="inlineStr">
        <is>
          <t>Kasboek DO-2027-04</t>
        </is>
      </c>
      <c r="G406" s="13" t="n">
        <v>570000</v>
      </c>
      <c r="H406" s="13">
        <f>INDEX('MAR 2e graad'!$B$2:$B$58,MATCH(G406,'MAR 2e graad'!$A$2:$A$58,0))</f>
        <v/>
      </c>
      <c r="I406" s="13">
        <f>INDEX('MAR 2e graad'!$C$2:$C$58,MATCH(G406,'MAR 2e graad'!$A$2:$A$58,0))</f>
        <v/>
      </c>
      <c r="J406" s="13">
        <f>IF(OR(I406="A",I406="K"),IF(K406&gt;0,"+","-"),IF(L406&gt;0,"+","-"))</f>
        <v/>
      </c>
      <c r="K406" s="14" t="n">
        <v>1266</v>
      </c>
      <c r="L406" s="14" t="n"/>
      <c r="M406" s="13" t="inlineStr">
        <is>
          <t>de kas stijgt</t>
        </is>
      </c>
      <c r="N406" s="13" t="inlineStr">
        <is>
          <t>nee</t>
        </is>
      </c>
    </row>
    <row r="407">
      <c r="A407" s="12" t="n">
        <v>406</v>
      </c>
      <c r="B407" s="16" t="n">
        <v>46733</v>
      </c>
      <c r="C407" s="8" t="inlineStr">
        <is>
          <t>K4</t>
        </is>
      </c>
      <c r="D407" s="13" t="inlineStr">
        <is>
          <t>K4</t>
        </is>
      </c>
      <c r="E407" s="13" t="inlineStr">
        <is>
          <t>J2Q4D1K</t>
        </is>
      </c>
      <c r="F407" s="13" t="inlineStr">
        <is>
          <t>Kasboek DO-2027-04</t>
        </is>
      </c>
      <c r="G407" s="13" t="n">
        <v>400000</v>
      </c>
      <c r="H407" s="13">
        <f>INDEX('MAR 2e graad'!$B$2:$B$58,MATCH(G407,'MAR 2e graad'!$A$2:$A$58,0))</f>
        <v/>
      </c>
      <c r="I407" s="13">
        <f>INDEX('MAR 2e graad'!$C$2:$C$58,MATCH(G407,'MAR 2e graad'!$A$2:$A$58,0))</f>
        <v/>
      </c>
      <c r="J407" s="13">
        <f>IF(OR(I407="A",I407="K"),IF(K407&gt;0,"+","-"),IF(L407&gt;0,"+","-"))</f>
        <v/>
      </c>
      <c r="K407" s="14" t="n"/>
      <c r="L407" s="14" t="n">
        <v>1266</v>
      </c>
      <c r="M407" s="13" t="inlineStr">
        <is>
          <t>de vordering op de klanten (contant betaald) daalt</t>
        </is>
      </c>
      <c r="N407" s="13" t="inlineStr">
        <is>
          <t>nee</t>
        </is>
      </c>
    </row>
    <row r="408">
      <c r="A408" s="12" t="n">
        <v>407</v>
      </c>
      <c r="B408" s="16" t="n">
        <v>46736</v>
      </c>
      <c r="C408" s="8" t="inlineStr">
        <is>
          <t>K4</t>
        </is>
      </c>
      <c r="D408" s="13" t="inlineStr">
        <is>
          <t>K4</t>
        </is>
      </c>
      <c r="E408" s="13" t="inlineStr">
        <is>
          <t>J2Q4K1</t>
        </is>
      </c>
      <c r="F408" s="13" t="inlineStr">
        <is>
          <t>KAS-2027-04</t>
        </is>
      </c>
      <c r="G408" s="13" t="n">
        <v>580000</v>
      </c>
      <c r="H408" s="13">
        <f>INDEX('MAR 2e graad'!$B$2:$B$58,MATCH(G408,'MAR 2e graad'!$A$2:$A$58,0))</f>
        <v/>
      </c>
      <c r="I408" s="13">
        <f>INDEX('MAR 2e graad'!$C$2:$C$58,MATCH(G408,'MAR 2e graad'!$A$2:$A$58,0))</f>
        <v/>
      </c>
      <c r="J408" s="13">
        <f>IF(OR(I408="A",I408="K"),IF(K408&gt;0,"+","-"),IF(L408&gt;0,"+","-"))</f>
        <v/>
      </c>
      <c r="K408" s="14" t="n">
        <v>1000</v>
      </c>
      <c r="L408" s="14" t="n"/>
      <c r="M408" s="13" t="inlineStr">
        <is>
          <t>de interne overboeking (onderweg naar de bank) stijgt</t>
        </is>
      </c>
      <c r="N408" s="13" t="inlineStr">
        <is>
          <t>nee</t>
        </is>
      </c>
    </row>
    <row r="409">
      <c r="A409" s="12" t="n">
        <v>408</v>
      </c>
      <c r="B409" s="16" t="n">
        <v>46736</v>
      </c>
      <c r="C409" s="8" t="inlineStr">
        <is>
          <t>K4</t>
        </is>
      </c>
      <c r="D409" s="13" t="inlineStr">
        <is>
          <t>K4</t>
        </is>
      </c>
      <c r="E409" s="13" t="inlineStr">
        <is>
          <t>J2Q4K1</t>
        </is>
      </c>
      <c r="F409" s="13" t="inlineStr">
        <is>
          <t>KAS-2027-04</t>
        </is>
      </c>
      <c r="G409" s="13" t="n">
        <v>570000</v>
      </c>
      <c r="H409" s="13">
        <f>INDEX('MAR 2e graad'!$B$2:$B$58,MATCH(G409,'MAR 2e graad'!$A$2:$A$58,0))</f>
        <v/>
      </c>
      <c r="I409" s="13">
        <f>INDEX('MAR 2e graad'!$C$2:$C$58,MATCH(G409,'MAR 2e graad'!$A$2:$A$58,0))</f>
        <v/>
      </c>
      <c r="J409" s="13">
        <f>IF(OR(I409="A",I409="K"),IF(K409&gt;0,"+","-"),IF(L409&gt;0,"+","-"))</f>
        <v/>
      </c>
      <c r="K409" s="14" t="n"/>
      <c r="L409" s="14" t="n">
        <v>1000</v>
      </c>
      <c r="M409" s="13" t="inlineStr">
        <is>
          <t>de kas daalt</t>
        </is>
      </c>
      <c r="N409" s="13" t="inlineStr">
        <is>
          <t>nee</t>
        </is>
      </c>
    </row>
    <row r="410">
      <c r="A410" s="12" t="n">
        <v>409</v>
      </c>
      <c r="B410" s="16" t="n">
        <v>46737</v>
      </c>
      <c r="C410" s="8" t="inlineStr">
        <is>
          <t>K4</t>
        </is>
      </c>
      <c r="D410" s="13" t="inlineStr">
        <is>
          <t>K4</t>
        </is>
      </c>
      <c r="E410" s="13" t="inlineStr">
        <is>
          <t>U2027-23/1</t>
        </is>
      </c>
      <c r="F410" s="13" t="inlineStr">
        <is>
          <t>uittreksel U2027-23/1</t>
        </is>
      </c>
      <c r="G410" s="13" t="n">
        <v>550000</v>
      </c>
      <c r="H410" s="13">
        <f>INDEX('MAR 2e graad'!$B$2:$B$58,MATCH(G410,'MAR 2e graad'!$A$2:$A$58,0))</f>
        <v/>
      </c>
      <c r="I410" s="13">
        <f>INDEX('MAR 2e graad'!$C$2:$C$58,MATCH(G410,'MAR 2e graad'!$A$2:$A$58,0))</f>
        <v/>
      </c>
      <c r="J410" s="13">
        <f>IF(OR(I410="A",I410="K"),IF(K410&gt;0,"+","-"),IF(L410&gt;0,"+","-"))</f>
        <v/>
      </c>
      <c r="K410" s="14" t="n">
        <v>3000</v>
      </c>
      <c r="L410" s="14" t="n"/>
      <c r="M410" s="13" t="inlineStr">
        <is>
          <t>de bank stijgt</t>
        </is>
      </c>
      <c r="N410" s="13" t="inlineStr">
        <is>
          <t>nee</t>
        </is>
      </c>
    </row>
    <row r="411">
      <c r="A411" s="12" t="n">
        <v>410</v>
      </c>
      <c r="B411" s="16" t="n">
        <v>46737</v>
      </c>
      <c r="C411" s="8" t="inlineStr">
        <is>
          <t>K4</t>
        </is>
      </c>
      <c r="D411" s="13" t="inlineStr">
        <is>
          <t>K4</t>
        </is>
      </c>
      <c r="E411" s="13" t="inlineStr">
        <is>
          <t>U2027-23/1</t>
        </is>
      </c>
      <c r="F411" s="13" t="inlineStr">
        <is>
          <t>uittreksel U2027-23/1</t>
        </is>
      </c>
      <c r="G411" s="13" t="n">
        <v>400000</v>
      </c>
      <c r="H411" s="13">
        <f>INDEX('MAR 2e graad'!$B$2:$B$58,MATCH(G411,'MAR 2e graad'!$A$2:$A$58,0))</f>
        <v/>
      </c>
      <c r="I411" s="13">
        <f>INDEX('MAR 2e graad'!$C$2:$C$58,MATCH(G411,'MAR 2e graad'!$A$2:$A$58,0))</f>
        <v/>
      </c>
      <c r="J411" s="13">
        <f>IF(OR(I411="A",I411="K"),IF(K411&gt;0,"+","-"),IF(L411&gt;0,"+","-"))</f>
        <v/>
      </c>
      <c r="K411" s="14" t="n"/>
      <c r="L411" s="14" t="n">
        <v>3000</v>
      </c>
      <c r="M411" s="13" t="inlineStr">
        <is>
          <t>de vordering (bancontact) daalt</t>
        </is>
      </c>
      <c r="N411" s="13" t="inlineStr">
        <is>
          <t>nee</t>
        </is>
      </c>
    </row>
    <row r="412">
      <c r="A412" s="12" t="n">
        <v>411</v>
      </c>
      <c r="B412" s="16" t="n">
        <v>46737</v>
      </c>
      <c r="C412" s="8" t="inlineStr">
        <is>
          <t>K4</t>
        </is>
      </c>
      <c r="D412" s="13" t="inlineStr">
        <is>
          <t>K4</t>
        </is>
      </c>
      <c r="E412" s="13" t="inlineStr">
        <is>
          <t>U2027-23/2</t>
        </is>
      </c>
      <c r="F412" s="13" t="inlineStr">
        <is>
          <t>uittreksel U2027-23/2</t>
        </is>
      </c>
      <c r="G412" s="13" t="n">
        <v>550000</v>
      </c>
      <c r="H412" s="13">
        <f>INDEX('MAR 2e graad'!$B$2:$B$58,MATCH(G412,'MAR 2e graad'!$A$2:$A$58,0))</f>
        <v/>
      </c>
      <c r="I412" s="13">
        <f>INDEX('MAR 2e graad'!$C$2:$C$58,MATCH(G412,'MAR 2e graad'!$A$2:$A$58,0))</f>
        <v/>
      </c>
      <c r="J412" s="13">
        <f>IF(OR(I412="A",I412="K"),IF(K412&gt;0,"+","-"),IF(L412&gt;0,"+","-"))</f>
        <v/>
      </c>
      <c r="K412" s="14" t="n">
        <v>1000</v>
      </c>
      <c r="L412" s="14" t="n"/>
      <c r="M412" s="13" t="inlineStr">
        <is>
          <t>de bank stijgt</t>
        </is>
      </c>
      <c r="N412" s="13" t="inlineStr">
        <is>
          <t>nee</t>
        </is>
      </c>
    </row>
    <row r="413">
      <c r="A413" s="12" t="n">
        <v>412</v>
      </c>
      <c r="B413" s="16" t="n">
        <v>46737</v>
      </c>
      <c r="C413" s="8" t="inlineStr">
        <is>
          <t>K4</t>
        </is>
      </c>
      <c r="D413" s="13" t="inlineStr">
        <is>
          <t>K4</t>
        </is>
      </c>
      <c r="E413" s="13" t="inlineStr">
        <is>
          <t>U2027-23/2</t>
        </is>
      </c>
      <c r="F413" s="13" t="inlineStr">
        <is>
          <t>uittreksel U2027-23/2</t>
        </is>
      </c>
      <c r="G413" s="13" t="n">
        <v>580000</v>
      </c>
      <c r="H413" s="13">
        <f>INDEX('MAR 2e graad'!$B$2:$B$58,MATCH(G413,'MAR 2e graad'!$A$2:$A$58,0))</f>
        <v/>
      </c>
      <c r="I413" s="13">
        <f>INDEX('MAR 2e graad'!$C$2:$C$58,MATCH(G413,'MAR 2e graad'!$A$2:$A$58,0))</f>
        <v/>
      </c>
      <c r="J413" s="13">
        <f>IF(OR(I413="A",I413="K"),IF(K413&gt;0,"+","-"),IF(L413&gt;0,"+","-"))</f>
        <v/>
      </c>
      <c r="K413" s="14" t="n"/>
      <c r="L413" s="14" t="n">
        <v>1000</v>
      </c>
      <c r="M413" s="13" t="inlineStr">
        <is>
          <t>de interne overboeking daalt</t>
        </is>
      </c>
      <c r="N413" s="13" t="inlineStr">
        <is>
          <t>nee</t>
        </is>
      </c>
    </row>
    <row r="414">
      <c r="A414" s="12" t="n">
        <v>413</v>
      </c>
      <c r="B414" s="16" t="n">
        <v>46737</v>
      </c>
      <c r="C414" s="8" t="inlineStr">
        <is>
          <t>K4</t>
        </is>
      </c>
      <c r="D414" s="13" t="inlineStr">
        <is>
          <t>K4</t>
        </is>
      </c>
      <c r="E414" s="13" t="inlineStr">
        <is>
          <t>U2027-23/3</t>
        </is>
      </c>
      <c r="F414" s="13" t="inlineStr">
        <is>
          <t>uittreksel U2027-23/3</t>
        </is>
      </c>
      <c r="G414" s="13" t="n">
        <v>550000</v>
      </c>
      <c r="H414" s="13">
        <f>INDEX('MAR 2e graad'!$B$2:$B$58,MATCH(G414,'MAR 2e graad'!$A$2:$A$58,0))</f>
        <v/>
      </c>
      <c r="I414" s="13">
        <f>INDEX('MAR 2e graad'!$C$2:$C$58,MATCH(G414,'MAR 2e graad'!$A$2:$A$58,0))</f>
        <v/>
      </c>
      <c r="J414" s="13">
        <f>IF(OR(I414="A",I414="K"),IF(K414&gt;0,"+","-"),IF(L414&gt;0,"+","-"))</f>
        <v/>
      </c>
      <c r="K414" s="14" t="n">
        <v>7018</v>
      </c>
      <c r="L414" s="14" t="n"/>
      <c r="M414" s="13" t="inlineStr">
        <is>
          <t>de bank stijgt</t>
        </is>
      </c>
      <c r="N414" s="13" t="inlineStr">
        <is>
          <t>nee</t>
        </is>
      </c>
    </row>
    <row r="415">
      <c r="A415" s="12" t="n">
        <v>414</v>
      </c>
      <c r="B415" s="16" t="n">
        <v>46737</v>
      </c>
      <c r="C415" s="8" t="inlineStr">
        <is>
          <t>K4</t>
        </is>
      </c>
      <c r="D415" s="13" t="inlineStr">
        <is>
          <t>K4</t>
        </is>
      </c>
      <c r="E415" s="13" t="inlineStr">
        <is>
          <t>U2027-23/3</t>
        </is>
      </c>
      <c r="F415" s="13" t="inlineStr">
        <is>
          <t>uittreksel U2027-23/3</t>
        </is>
      </c>
      <c r="G415" s="13" t="n">
        <v>400000</v>
      </c>
      <c r="H415" s="13">
        <f>INDEX('MAR 2e graad'!$B$2:$B$58,MATCH(G415,'MAR 2e graad'!$A$2:$A$58,0))</f>
        <v/>
      </c>
      <c r="I415" s="13">
        <f>INDEX('MAR 2e graad'!$C$2:$C$58,MATCH(G415,'MAR 2e graad'!$A$2:$A$58,0))</f>
        <v/>
      </c>
      <c r="J415" s="13">
        <f>IF(OR(I415="A",I415="K"),IF(K415&gt;0,"+","-"),IF(L415&gt;0,"+","-"))</f>
        <v/>
      </c>
      <c r="K415" s="14" t="n"/>
      <c r="L415" s="14" t="n">
        <v>7018</v>
      </c>
      <c r="M415" s="13" t="inlineStr">
        <is>
          <t>de vordering op de klant daalt</t>
        </is>
      </c>
      <c r="N415" s="13" t="inlineStr">
        <is>
          <t>nee</t>
        </is>
      </c>
    </row>
    <row r="416">
      <c r="A416" s="12" t="n">
        <v>415</v>
      </c>
      <c r="B416" s="16" t="n">
        <v>46752</v>
      </c>
      <c r="C416" s="10" t="inlineStr">
        <is>
          <t>AFSLUITING</t>
        </is>
      </c>
      <c r="D416" s="13" t="inlineStr">
        <is>
          <t>K4</t>
        </is>
      </c>
      <c r="E416" s="13" t="inlineStr">
        <is>
          <t>AF2-1</t>
        </is>
      </c>
      <c r="F416" s="13" t="inlineStr">
        <is>
          <t>AF2-1</t>
        </is>
      </c>
      <c r="G416" s="13" t="n">
        <v>451100</v>
      </c>
      <c r="H416" s="13">
        <f>INDEX('MAR 2e graad'!$B$2:$B$58,MATCH(G416,'MAR 2e graad'!$A$2:$A$58,0))</f>
        <v/>
      </c>
      <c r="I416" s="13">
        <f>INDEX('MAR 2e graad'!$C$2:$C$58,MATCH(G416,'MAR 2e graad'!$A$2:$A$58,0))</f>
        <v/>
      </c>
      <c r="J416" s="13">
        <f>IF(OR(I416="A",I416="K"),IF(K416&gt;0,"+","-"),IF(L416&gt;0,"+","-"))</f>
        <v/>
      </c>
      <c r="K416" s="14" t="n">
        <v>5811</v>
      </c>
      <c r="L416" s="14" t="n"/>
      <c r="M416" s="13" t="inlineStr">
        <is>
          <t>de verschuldigde btw wordt op 0 gezet</t>
        </is>
      </c>
      <c r="N416" s="13" t="inlineStr">
        <is>
          <t>ja</t>
        </is>
      </c>
    </row>
    <row r="417">
      <c r="A417" s="12" t="n">
        <v>416</v>
      </c>
      <c r="B417" s="16" t="n">
        <v>46752</v>
      </c>
      <c r="C417" s="10" t="inlineStr">
        <is>
          <t>AFSLUITING</t>
        </is>
      </c>
      <c r="D417" s="13" t="inlineStr">
        <is>
          <t>K4</t>
        </is>
      </c>
      <c r="E417" s="13" t="inlineStr">
        <is>
          <t>AF2-1</t>
        </is>
      </c>
      <c r="F417" s="13" t="inlineStr">
        <is>
          <t>AF2-1</t>
        </is>
      </c>
      <c r="G417" s="13" t="n">
        <v>451200</v>
      </c>
      <c r="H417" s="13">
        <f>INDEX('MAR 2e graad'!$B$2:$B$58,MATCH(G417,'MAR 2e graad'!$A$2:$A$58,0))</f>
        <v/>
      </c>
      <c r="I417" s="13">
        <f>INDEX('MAR 2e graad'!$C$2:$C$58,MATCH(G417,'MAR 2e graad'!$A$2:$A$58,0))</f>
        <v/>
      </c>
      <c r="J417" s="13">
        <f>IF(OR(I417="A",I417="K"),IF(K417&gt;0,"+","-"),IF(L417&gt;0,"+","-"))</f>
        <v/>
      </c>
      <c r="K417" s="14" t="n">
        <v>189</v>
      </c>
      <c r="L417" s="14" t="n"/>
      <c r="M417" s="13" t="inlineStr">
        <is>
          <t>de verschuldigde btw op inkomende creditnota’s wordt op 0 gezet</t>
        </is>
      </c>
      <c r="N417" s="13" t="inlineStr">
        <is>
          <t>ja</t>
        </is>
      </c>
    </row>
    <row r="418">
      <c r="A418" s="12" t="n">
        <v>417</v>
      </c>
      <c r="B418" s="16" t="n">
        <v>46752</v>
      </c>
      <c r="C418" s="10" t="inlineStr">
        <is>
          <t>AFSLUITING</t>
        </is>
      </c>
      <c r="D418" s="13" t="inlineStr">
        <is>
          <t>K4</t>
        </is>
      </c>
      <c r="E418" s="13" t="inlineStr">
        <is>
          <t>AF2-1</t>
        </is>
      </c>
      <c r="F418" s="13" t="inlineStr">
        <is>
          <t>AF2-1</t>
        </is>
      </c>
      <c r="G418" s="13" t="n">
        <v>411100</v>
      </c>
      <c r="H418" s="13">
        <f>INDEX('MAR 2e graad'!$B$2:$B$58,MATCH(G418,'MAR 2e graad'!$A$2:$A$58,0))</f>
        <v/>
      </c>
      <c r="I418" s="13">
        <f>INDEX('MAR 2e graad'!$C$2:$C$58,MATCH(G418,'MAR 2e graad'!$A$2:$A$58,0))</f>
        <v/>
      </c>
      <c r="J418" s="13">
        <f>IF(OR(I418="A",I418="K"),IF(K418&gt;0,"+","-"),IF(L418&gt;0,"+","-"))</f>
        <v/>
      </c>
      <c r="K418" s="14" t="n"/>
      <c r="L418" s="14" t="n">
        <v>3360</v>
      </c>
      <c r="M418" s="13" t="inlineStr">
        <is>
          <t>de aftrekbare btw wordt op 0 gezet</t>
        </is>
      </c>
      <c r="N418" s="13" t="inlineStr">
        <is>
          <t>ja</t>
        </is>
      </c>
    </row>
    <row r="419">
      <c r="A419" s="12" t="n">
        <v>418</v>
      </c>
      <c r="B419" s="16" t="n">
        <v>46752</v>
      </c>
      <c r="C419" s="10" t="inlineStr">
        <is>
          <t>AFSLUITING</t>
        </is>
      </c>
      <c r="D419" s="13" t="inlineStr">
        <is>
          <t>K4</t>
        </is>
      </c>
      <c r="E419" s="13" t="inlineStr">
        <is>
          <t>AF2-1</t>
        </is>
      </c>
      <c r="F419" s="13" t="inlineStr">
        <is>
          <t>AF2-1</t>
        </is>
      </c>
      <c r="G419" s="13" t="n">
        <v>411200</v>
      </c>
      <c r="H419" s="13">
        <f>INDEX('MAR 2e graad'!$B$2:$B$58,MATCH(G419,'MAR 2e graad'!$A$2:$A$58,0))</f>
        <v/>
      </c>
      <c r="I419" s="13">
        <f>INDEX('MAR 2e graad'!$C$2:$C$58,MATCH(G419,'MAR 2e graad'!$A$2:$A$58,0))</f>
        <v/>
      </c>
      <c r="J419" s="13">
        <f>IF(OR(I419="A",I419="K"),IF(K419&gt;0,"+","-"),IF(L419&gt;0,"+","-"))</f>
        <v/>
      </c>
      <c r="K419" s="14" t="n"/>
      <c r="L419" s="14" t="n">
        <v>567</v>
      </c>
      <c r="M419" s="13" t="inlineStr">
        <is>
          <t>de aftrekbare btw op uitgaande creditnota’s wordt op 0 gezet</t>
        </is>
      </c>
      <c r="N419" s="13" t="inlineStr">
        <is>
          <t>ja</t>
        </is>
      </c>
    </row>
    <row r="420">
      <c r="A420" s="12" t="n">
        <v>419</v>
      </c>
      <c r="B420" s="16" t="n">
        <v>46752</v>
      </c>
      <c r="C420" s="10" t="inlineStr">
        <is>
          <t>AFSLUITING</t>
        </is>
      </c>
      <c r="D420" s="13" t="inlineStr">
        <is>
          <t>K4</t>
        </is>
      </c>
      <c r="E420" s="13" t="inlineStr">
        <is>
          <t>AF2-1</t>
        </is>
      </c>
      <c r="F420" s="13" t="inlineStr">
        <is>
          <t>AF2-1</t>
        </is>
      </c>
      <c r="G420" s="13" t="n">
        <v>411000</v>
      </c>
      <c r="H420" s="13">
        <f>INDEX('MAR 2e graad'!$B$2:$B$58,MATCH(G420,'MAR 2e graad'!$A$2:$A$58,0))</f>
        <v/>
      </c>
      <c r="I420" s="13">
        <f>INDEX('MAR 2e graad'!$C$2:$C$58,MATCH(G420,'MAR 2e graad'!$A$2:$A$58,0))</f>
        <v/>
      </c>
      <c r="J420" s="13">
        <f>IF(OR(I420="A",I420="K"),IF(K420&gt;0,"+","-"),IF(L420&gt;0,"+","-"))</f>
        <v/>
      </c>
      <c r="K420" s="14" t="n"/>
      <c r="L420" s="14" t="n">
        <v>3876</v>
      </c>
      <c r="M420" s="13" t="inlineStr">
        <is>
          <t>het btw-tegoed van het vorige kwartaal wordt verrekend</t>
        </is>
      </c>
      <c r="N420" s="13" t="inlineStr">
        <is>
          <t>ja</t>
        </is>
      </c>
    </row>
    <row r="421">
      <c r="A421" s="12" t="n">
        <v>420</v>
      </c>
      <c r="B421" s="16" t="n">
        <v>46752</v>
      </c>
      <c r="C421" s="10" t="inlineStr">
        <is>
          <t>AFSLUITING</t>
        </is>
      </c>
      <c r="D421" s="13" t="inlineStr">
        <is>
          <t>K4</t>
        </is>
      </c>
      <c r="E421" s="13" t="inlineStr">
        <is>
          <t>AF2-1</t>
        </is>
      </c>
      <c r="F421" s="13" t="inlineStr">
        <is>
          <t>AF2-1</t>
        </is>
      </c>
      <c r="G421" s="13" t="n">
        <v>411000</v>
      </c>
      <c r="H421" s="13">
        <f>INDEX('MAR 2e graad'!$B$2:$B$58,MATCH(G421,'MAR 2e graad'!$A$2:$A$58,0))</f>
        <v/>
      </c>
      <c r="I421" s="13">
        <f>INDEX('MAR 2e graad'!$C$2:$C$58,MATCH(G421,'MAR 2e graad'!$A$2:$A$58,0))</f>
        <v/>
      </c>
      <c r="J421" s="13">
        <f>IF(OR(I421="A",I421="K"),IF(K421&gt;0,"+","-"),IF(L421&gt;0,"+","-"))</f>
        <v/>
      </c>
      <c r="K421" s="14" t="n">
        <v>1803</v>
      </c>
      <c r="L421" s="14" t="n"/>
      <c r="M421" s="13" t="inlineStr">
        <is>
          <t>het btw-tegoed (terug te vorderen, door te schuiven) stijgt</t>
        </is>
      </c>
      <c r="N421" s="13" t="inlineStr">
        <is>
          <t>ja</t>
        </is>
      </c>
    </row>
    <row r="422">
      <c r="A422" s="12" t="n">
        <v>421</v>
      </c>
      <c r="B422" s="16" t="n">
        <v>46752</v>
      </c>
      <c r="C422" s="10" t="inlineStr">
        <is>
          <t>AFSLUITING</t>
        </is>
      </c>
      <c r="D422" s="13" t="inlineStr">
        <is>
          <t>K4</t>
        </is>
      </c>
      <c r="E422" s="13" t="inlineStr">
        <is>
          <t>AF2-2</t>
        </is>
      </c>
      <c r="F422" s="13" t="inlineStr">
        <is>
          <t>AF2-2</t>
        </is>
      </c>
      <c r="G422" s="13" t="n">
        <v>340000</v>
      </c>
      <c r="H422" s="13">
        <f>INDEX('MAR 2e graad'!$B$2:$B$58,MATCH(G422,'MAR 2e graad'!$A$2:$A$58,0))</f>
        <v/>
      </c>
      <c r="I422" s="13">
        <f>INDEX('MAR 2e graad'!$C$2:$C$58,MATCH(G422,'MAR 2e graad'!$A$2:$A$58,0))</f>
        <v/>
      </c>
      <c r="J422" s="13">
        <f>IF(OR(I422="A",I422="K"),IF(K422&gt;0,"+","-"),IF(L422&gt;0,"+","-"))</f>
        <v/>
      </c>
      <c r="K422" s="14" t="n">
        <v>1930</v>
      </c>
      <c r="L422" s="14" t="n"/>
      <c r="M422" s="13" t="inlineStr">
        <is>
          <t>de voorraad stijgt</t>
        </is>
      </c>
      <c r="N422" s="13" t="inlineStr">
        <is>
          <t>ja</t>
        </is>
      </c>
    </row>
    <row r="423">
      <c r="A423" s="12" t="n">
        <v>422</v>
      </c>
      <c r="B423" s="16" t="n">
        <v>46752</v>
      </c>
      <c r="C423" s="10" t="inlineStr">
        <is>
          <t>AFSLUITING</t>
        </is>
      </c>
      <c r="D423" s="13" t="inlineStr">
        <is>
          <t>K4</t>
        </is>
      </c>
      <c r="E423" s="13" t="inlineStr">
        <is>
          <t>AF2-2</t>
        </is>
      </c>
      <c r="F423" s="13" t="inlineStr">
        <is>
          <t>AF2-2</t>
        </is>
      </c>
      <c r="G423" s="13" t="n">
        <v>609400</v>
      </c>
      <c r="H423" s="13">
        <f>INDEX('MAR 2e graad'!$B$2:$B$58,MATCH(G423,'MAR 2e graad'!$A$2:$A$58,0))</f>
        <v/>
      </c>
      <c r="I423" s="13">
        <f>INDEX('MAR 2e graad'!$C$2:$C$58,MATCH(G423,'MAR 2e graad'!$A$2:$A$58,0))</f>
        <v/>
      </c>
      <c r="J423" s="13">
        <f>IF(OR(I423="A",I423="K"),IF(K423&gt;0,"+","-"),IF(L423&gt;0,"+","-"))</f>
        <v/>
      </c>
      <c r="K423" s="14" t="n"/>
      <c r="L423" s="14" t="n">
        <v>1930</v>
      </c>
      <c r="M423" s="13" t="inlineStr">
        <is>
          <t>de kosten (voorraadwijziging) dalen</t>
        </is>
      </c>
      <c r="N423" s="13" t="inlineStr">
        <is>
          <t>ja</t>
        </is>
      </c>
    </row>
    <row r="424">
      <c r="A424" s="12" t="n">
        <v>423</v>
      </c>
      <c r="B424" s="16" t="n">
        <v>46752</v>
      </c>
      <c r="C424" s="10" t="inlineStr">
        <is>
          <t>AFSLUITING</t>
        </is>
      </c>
      <c r="D424" s="13" t="inlineStr">
        <is>
          <t>K4</t>
        </is>
      </c>
      <c r="E424" s="13" t="inlineStr">
        <is>
          <t>AF2-3</t>
        </is>
      </c>
      <c r="F424" s="13" t="inlineStr">
        <is>
          <t>AF2-3</t>
        </is>
      </c>
      <c r="G424" s="13" t="n">
        <v>630300</v>
      </c>
      <c r="H424" s="13">
        <f>INDEX('MAR 2e graad'!$B$2:$B$58,MATCH(G424,'MAR 2e graad'!$A$2:$A$58,0))</f>
        <v/>
      </c>
      <c r="I424" s="13">
        <f>INDEX('MAR 2e graad'!$C$2:$C$58,MATCH(G424,'MAR 2e graad'!$A$2:$A$58,0))</f>
        <v/>
      </c>
      <c r="J424" s="13">
        <f>IF(OR(I424="A",I424="K"),IF(K424&gt;0,"+","-"),IF(L424&gt;0,"+","-"))</f>
        <v/>
      </c>
      <c r="K424" s="14" t="n">
        <v>1200</v>
      </c>
      <c r="L424" s="14" t="n"/>
      <c r="M424" s="13" t="inlineStr">
        <is>
          <t>de kosten (afschrijving bakfiets) stijgen</t>
        </is>
      </c>
      <c r="N424" s="13" t="inlineStr">
        <is>
          <t>ja</t>
        </is>
      </c>
    </row>
    <row r="425">
      <c r="A425" s="12" t="n">
        <v>424</v>
      </c>
      <c r="B425" s="16" t="n">
        <v>46752</v>
      </c>
      <c r="C425" s="10" t="inlineStr">
        <is>
          <t>AFSLUITING</t>
        </is>
      </c>
      <c r="D425" s="13" t="inlineStr">
        <is>
          <t>K4</t>
        </is>
      </c>
      <c r="E425" s="13" t="inlineStr">
        <is>
          <t>AF2-3</t>
        </is>
      </c>
      <c r="F425" s="13" t="inlineStr">
        <is>
          <t>AF2-3</t>
        </is>
      </c>
      <c r="G425" s="13" t="n">
        <v>241009</v>
      </c>
      <c r="H425" s="13">
        <f>INDEX('MAR 2e graad'!$B$2:$B$58,MATCH(G425,'MAR 2e graad'!$A$2:$A$58,0))</f>
        <v/>
      </c>
      <c r="I425" s="13">
        <f>INDEX('MAR 2e graad'!$C$2:$C$58,MATCH(G425,'MAR 2e graad'!$A$2:$A$58,0))</f>
        <v/>
      </c>
      <c r="J425" s="13">
        <f>IF(OR(I425="A",I425="K"),IF(K425&gt;0,"+","-"),IF(L425&gt;0,"+","-"))</f>
        <v/>
      </c>
      <c r="K425" s="14" t="n"/>
      <c r="L425" s="14" t="n">
        <v>1200</v>
      </c>
      <c r="M425" s="13" t="inlineStr">
        <is>
          <t>de waarde van bakfiets daalt</t>
        </is>
      </c>
      <c r="N425" s="13" t="inlineStr">
        <is>
          <t>ja</t>
        </is>
      </c>
    </row>
    <row r="426">
      <c r="A426" s="12" t="n">
        <v>425</v>
      </c>
      <c r="B426" s="16" t="n">
        <v>46752</v>
      </c>
      <c r="C426" s="10" t="inlineStr">
        <is>
          <t>AFSLUITING</t>
        </is>
      </c>
      <c r="D426" s="13" t="inlineStr">
        <is>
          <t>K4</t>
        </is>
      </c>
      <c r="E426" s="13" t="inlineStr">
        <is>
          <t>AF2-3</t>
        </is>
      </c>
      <c r="F426" s="13" t="inlineStr">
        <is>
          <t>AF2-3</t>
        </is>
      </c>
      <c r="G426" s="13" t="n">
        <v>630200</v>
      </c>
      <c r="H426" s="13">
        <f>INDEX('MAR 2e graad'!$B$2:$B$58,MATCH(G426,'MAR 2e graad'!$A$2:$A$58,0))</f>
        <v/>
      </c>
      <c r="I426" s="13">
        <f>INDEX('MAR 2e graad'!$C$2:$C$58,MATCH(G426,'MAR 2e graad'!$A$2:$A$58,0))</f>
        <v/>
      </c>
      <c r="J426" s="13">
        <f>IF(OR(I426="A",I426="K"),IF(K426&gt;0,"+","-"),IF(L426&gt;0,"+","-"))</f>
        <v/>
      </c>
      <c r="K426" s="14" t="n">
        <v>300</v>
      </c>
      <c r="L426" s="14" t="n"/>
      <c r="M426" s="13" t="inlineStr">
        <is>
          <t>de kosten (afschrijving werkbank) stijgen</t>
        </is>
      </c>
      <c r="N426" s="13" t="inlineStr">
        <is>
          <t>ja</t>
        </is>
      </c>
    </row>
    <row r="427">
      <c r="A427" s="12" t="n">
        <v>426</v>
      </c>
      <c r="B427" s="16" t="n">
        <v>46752</v>
      </c>
      <c r="C427" s="10" t="inlineStr">
        <is>
          <t>AFSLUITING</t>
        </is>
      </c>
      <c r="D427" s="13" t="inlineStr">
        <is>
          <t>K4</t>
        </is>
      </c>
      <c r="E427" s="13" t="inlineStr">
        <is>
          <t>AF2-3</t>
        </is>
      </c>
      <c r="F427" s="13" t="inlineStr">
        <is>
          <t>AF2-3</t>
        </is>
      </c>
      <c r="G427" s="13" t="n">
        <v>230009</v>
      </c>
      <c r="H427" s="13">
        <f>INDEX('MAR 2e graad'!$B$2:$B$58,MATCH(G427,'MAR 2e graad'!$A$2:$A$58,0))</f>
        <v/>
      </c>
      <c r="I427" s="13">
        <f>INDEX('MAR 2e graad'!$C$2:$C$58,MATCH(G427,'MAR 2e graad'!$A$2:$A$58,0))</f>
        <v/>
      </c>
      <c r="J427" s="13">
        <f>IF(OR(I427="A",I427="K"),IF(K427&gt;0,"+","-"),IF(L427&gt;0,"+","-"))</f>
        <v/>
      </c>
      <c r="K427" s="14" t="n"/>
      <c r="L427" s="14" t="n">
        <v>300</v>
      </c>
      <c r="M427" s="13" t="inlineStr">
        <is>
          <t>de waarde van werkbank daalt</t>
        </is>
      </c>
      <c r="N427" s="13" t="inlineStr">
        <is>
          <t>ja</t>
        </is>
      </c>
    </row>
    <row r="428">
      <c r="A428" s="12" t="n">
        <v>427</v>
      </c>
      <c r="B428" s="16" t="n">
        <v>46752</v>
      </c>
      <c r="C428" s="10" t="inlineStr">
        <is>
          <t>AFSLUITING</t>
        </is>
      </c>
      <c r="D428" s="13" t="inlineStr">
        <is>
          <t>K4</t>
        </is>
      </c>
      <c r="E428" s="13" t="inlineStr">
        <is>
          <t>AF2-3</t>
        </is>
      </c>
      <c r="F428" s="13" t="inlineStr">
        <is>
          <t>AF2-3</t>
        </is>
      </c>
      <c r="G428" s="13" t="n">
        <v>630300</v>
      </c>
      <c r="H428" s="13">
        <f>INDEX('MAR 2e graad'!$B$2:$B$58,MATCH(G428,'MAR 2e graad'!$A$2:$A$58,0))</f>
        <v/>
      </c>
      <c r="I428" s="13">
        <f>INDEX('MAR 2e graad'!$C$2:$C$58,MATCH(G428,'MAR 2e graad'!$A$2:$A$58,0))</f>
        <v/>
      </c>
      <c r="J428" s="13">
        <f>IF(OR(I428="A",I428="K"),IF(K428&gt;0,"+","-"),IF(L428&gt;0,"+","-"))</f>
        <v/>
      </c>
      <c r="K428" s="14" t="n">
        <v>400</v>
      </c>
      <c r="L428" s="14" t="n"/>
      <c r="M428" s="13" t="inlineStr">
        <is>
          <t>de kosten (afschrijving kassasysteem) stijgen</t>
        </is>
      </c>
      <c r="N428" s="13" t="inlineStr">
        <is>
          <t>ja</t>
        </is>
      </c>
    </row>
    <row r="429">
      <c r="A429" s="12" t="n">
        <v>428</v>
      </c>
      <c r="B429" s="16" t="n">
        <v>46752</v>
      </c>
      <c r="C429" s="10" t="inlineStr">
        <is>
          <t>AFSLUITING</t>
        </is>
      </c>
      <c r="D429" s="13" t="inlineStr">
        <is>
          <t>K4</t>
        </is>
      </c>
      <c r="E429" s="13" t="inlineStr">
        <is>
          <t>AF2-3</t>
        </is>
      </c>
      <c r="F429" s="13" t="inlineStr">
        <is>
          <t>AF2-3</t>
        </is>
      </c>
      <c r="G429" s="13" t="n">
        <v>240209</v>
      </c>
      <c r="H429" s="13">
        <f>INDEX('MAR 2e graad'!$B$2:$B$58,MATCH(G429,'MAR 2e graad'!$A$2:$A$58,0))</f>
        <v/>
      </c>
      <c r="I429" s="13">
        <f>INDEX('MAR 2e graad'!$C$2:$C$58,MATCH(G429,'MAR 2e graad'!$A$2:$A$58,0))</f>
        <v/>
      </c>
      <c r="J429" s="13">
        <f>IF(OR(I429="A",I429="K"),IF(K429&gt;0,"+","-"),IF(L429&gt;0,"+","-"))</f>
        <v/>
      </c>
      <c r="K429" s="14" t="n"/>
      <c r="L429" s="14" t="n">
        <v>400</v>
      </c>
      <c r="M429" s="13" t="inlineStr">
        <is>
          <t>de waarde van kassasysteem daalt</t>
        </is>
      </c>
      <c r="N429" s="13" t="inlineStr">
        <is>
          <t>ja</t>
        </is>
      </c>
    </row>
    <row r="430">
      <c r="A430" s="12" t="n">
        <v>429</v>
      </c>
      <c r="B430" s="16" t="n">
        <v>46752</v>
      </c>
      <c r="C430" s="10" t="inlineStr">
        <is>
          <t>AFSLUITING</t>
        </is>
      </c>
      <c r="D430" s="13" t="inlineStr">
        <is>
          <t>K4</t>
        </is>
      </c>
      <c r="E430" s="13" t="inlineStr">
        <is>
          <t>AF2-3</t>
        </is>
      </c>
      <c r="F430" s="13" t="inlineStr">
        <is>
          <t>AF2-3</t>
        </is>
      </c>
      <c r="G430" s="13" t="n">
        <v>630200</v>
      </c>
      <c r="H430" s="13">
        <f>INDEX('MAR 2e graad'!$B$2:$B$58,MATCH(G430,'MAR 2e graad'!$A$2:$A$58,0))</f>
        <v/>
      </c>
      <c r="I430" s="13">
        <f>INDEX('MAR 2e graad'!$C$2:$C$58,MATCH(G430,'MAR 2e graad'!$A$2:$A$58,0))</f>
        <v/>
      </c>
      <c r="J430" s="13">
        <f>IF(OR(I430="A",I430="K"),IF(K430&gt;0,"+","-"),IF(L430&gt;0,"+","-"))</f>
        <v/>
      </c>
      <c r="K430" s="14" t="n">
        <v>100</v>
      </c>
      <c r="L430" s="14" t="n"/>
      <c r="M430" s="13" t="inlineStr">
        <is>
          <t>de kosten (afschrijving montagestandaard) stijgen</t>
        </is>
      </c>
      <c r="N430" s="13" t="inlineStr">
        <is>
          <t>ja</t>
        </is>
      </c>
    </row>
    <row r="431">
      <c r="A431" s="12" t="n">
        <v>430</v>
      </c>
      <c r="B431" s="16" t="n">
        <v>46752</v>
      </c>
      <c r="C431" s="10" t="inlineStr">
        <is>
          <t>AFSLUITING</t>
        </is>
      </c>
      <c r="D431" s="13" t="inlineStr">
        <is>
          <t>K4</t>
        </is>
      </c>
      <c r="E431" s="13" t="inlineStr">
        <is>
          <t>AF2-3</t>
        </is>
      </c>
      <c r="F431" s="13" t="inlineStr">
        <is>
          <t>AF2-3</t>
        </is>
      </c>
      <c r="G431" s="13" t="n">
        <v>232009</v>
      </c>
      <c r="H431" s="13">
        <f>INDEX('MAR 2e graad'!$B$2:$B$58,MATCH(G431,'MAR 2e graad'!$A$2:$A$58,0))</f>
        <v/>
      </c>
      <c r="I431" s="13">
        <f>INDEX('MAR 2e graad'!$C$2:$C$58,MATCH(G431,'MAR 2e graad'!$A$2:$A$58,0))</f>
        <v/>
      </c>
      <c r="J431" s="13">
        <f>IF(OR(I431="A",I431="K"),IF(K431&gt;0,"+","-"),IF(L431&gt;0,"+","-"))</f>
        <v/>
      </c>
      <c r="K431" s="14" t="n"/>
      <c r="L431" s="14" t="n">
        <v>100</v>
      </c>
      <c r="M431" s="13" t="inlineStr">
        <is>
          <t>de waarde van montagestandaard daalt</t>
        </is>
      </c>
      <c r="N431" s="13" t="inlineStr">
        <is>
          <t>ja</t>
        </is>
      </c>
    </row>
    <row r="432">
      <c r="A432" s="12" t="n">
        <v>431</v>
      </c>
      <c r="B432" s="16" t="n">
        <v>46752</v>
      </c>
      <c r="C432" s="10" t="inlineStr">
        <is>
          <t>AFSLUITING</t>
        </is>
      </c>
      <c r="D432" s="13" t="inlineStr">
        <is>
          <t>K4</t>
        </is>
      </c>
      <c r="E432" s="13" t="inlineStr">
        <is>
          <t>AF2-3</t>
        </is>
      </c>
      <c r="F432" s="13" t="inlineStr">
        <is>
          <t>AF2-3</t>
        </is>
      </c>
      <c r="G432" s="13" t="n">
        <v>630300</v>
      </c>
      <c r="H432" s="13">
        <f>INDEX('MAR 2e graad'!$B$2:$B$58,MATCH(G432,'MAR 2e graad'!$A$2:$A$58,0))</f>
        <v/>
      </c>
      <c r="I432" s="13">
        <f>INDEX('MAR 2e graad'!$C$2:$C$58,MATCH(G432,'MAR 2e graad'!$A$2:$A$58,0))</f>
        <v/>
      </c>
      <c r="J432" s="13">
        <f>IF(OR(I432="A",I432="K"),IF(K432&gt;0,"+","-"),IF(L432&gt;0,"+","-"))</f>
        <v/>
      </c>
      <c r="K432" s="14" t="n">
        <v>300</v>
      </c>
      <c r="L432" s="14" t="n"/>
      <c r="M432" s="13" t="inlineStr">
        <is>
          <t>de kosten (afschrijving laptop) stijgen</t>
        </is>
      </c>
      <c r="N432" s="13" t="inlineStr">
        <is>
          <t>ja</t>
        </is>
      </c>
    </row>
    <row r="433">
      <c r="A433" s="12" t="n">
        <v>432</v>
      </c>
      <c r="B433" s="16" t="n">
        <v>46752</v>
      </c>
      <c r="C433" s="10" t="inlineStr">
        <is>
          <t>AFSLUITING</t>
        </is>
      </c>
      <c r="D433" s="13" t="inlineStr">
        <is>
          <t>K4</t>
        </is>
      </c>
      <c r="E433" s="13" t="inlineStr">
        <is>
          <t>AF2-3</t>
        </is>
      </c>
      <c r="F433" s="13" t="inlineStr">
        <is>
          <t>AF2-3</t>
        </is>
      </c>
      <c r="G433" s="13" t="n">
        <v>240209</v>
      </c>
      <c r="H433" s="13">
        <f>INDEX('MAR 2e graad'!$B$2:$B$58,MATCH(G433,'MAR 2e graad'!$A$2:$A$58,0))</f>
        <v/>
      </c>
      <c r="I433" s="13">
        <f>INDEX('MAR 2e graad'!$C$2:$C$58,MATCH(G433,'MAR 2e graad'!$A$2:$A$58,0))</f>
        <v/>
      </c>
      <c r="J433" s="13">
        <f>IF(OR(I433="A",I433="K"),IF(K433&gt;0,"+","-"),IF(L433&gt;0,"+","-"))</f>
        <v/>
      </c>
      <c r="K433" s="14" t="n"/>
      <c r="L433" s="14" t="n">
        <v>300</v>
      </c>
      <c r="M433" s="13" t="inlineStr">
        <is>
          <t>de waarde van laptop daalt</t>
        </is>
      </c>
      <c r="N433" s="13" t="inlineStr">
        <is>
          <t>ja</t>
        </is>
      </c>
    </row>
    <row r="434">
      <c r="A434" s="12" t="n">
        <v>433</v>
      </c>
      <c r="B434" s="16" t="n">
        <v>46752</v>
      </c>
      <c r="C434" s="10" t="inlineStr">
        <is>
          <t>AFSLUITING</t>
        </is>
      </c>
      <c r="D434" s="13" t="inlineStr">
        <is>
          <t>K4</t>
        </is>
      </c>
      <c r="E434" s="13" t="inlineStr">
        <is>
          <t>AF2-3</t>
        </is>
      </c>
      <c r="F434" s="13" t="inlineStr">
        <is>
          <t>AF2-3</t>
        </is>
      </c>
      <c r="G434" s="13" t="n">
        <v>630300</v>
      </c>
      <c r="H434" s="13">
        <f>INDEX('MAR 2e graad'!$B$2:$B$58,MATCH(G434,'MAR 2e graad'!$A$2:$A$58,0))</f>
        <v/>
      </c>
      <c r="I434" s="13">
        <f>INDEX('MAR 2e graad'!$C$2:$C$58,MATCH(G434,'MAR 2e graad'!$A$2:$A$58,0))</f>
        <v/>
      </c>
      <c r="J434" s="13">
        <f>IF(OR(I434="A",I434="K"),IF(K434&gt;0,"+","-"),IF(L434&gt;0,"+","-"))</f>
        <v/>
      </c>
      <c r="K434" s="14" t="n">
        <v>4800</v>
      </c>
      <c r="L434" s="14" t="n"/>
      <c r="M434" s="13" t="inlineStr">
        <is>
          <t>de kosten (afschrijving bestelwagen) stijgen</t>
        </is>
      </c>
      <c r="N434" s="13" t="inlineStr">
        <is>
          <t>ja</t>
        </is>
      </c>
    </row>
    <row r="435">
      <c r="A435" s="12" t="n">
        <v>434</v>
      </c>
      <c r="B435" s="16" t="n">
        <v>46752</v>
      </c>
      <c r="C435" s="10" t="inlineStr">
        <is>
          <t>AFSLUITING</t>
        </is>
      </c>
      <c r="D435" s="13" t="inlineStr">
        <is>
          <t>K4</t>
        </is>
      </c>
      <c r="E435" s="13" t="inlineStr">
        <is>
          <t>AF2-3</t>
        </is>
      </c>
      <c r="F435" s="13" t="inlineStr">
        <is>
          <t>AF2-3</t>
        </is>
      </c>
      <c r="G435" s="13" t="n">
        <v>241009</v>
      </c>
      <c r="H435" s="13">
        <f>INDEX('MAR 2e graad'!$B$2:$B$58,MATCH(G435,'MAR 2e graad'!$A$2:$A$58,0))</f>
        <v/>
      </c>
      <c r="I435" s="13">
        <f>INDEX('MAR 2e graad'!$C$2:$C$58,MATCH(G435,'MAR 2e graad'!$A$2:$A$58,0))</f>
        <v/>
      </c>
      <c r="J435" s="13">
        <f>IF(OR(I435="A",I435="K"),IF(K435&gt;0,"+","-"),IF(L435&gt;0,"+","-"))</f>
        <v/>
      </c>
      <c r="K435" s="14" t="n"/>
      <c r="L435" s="14" t="n">
        <v>4800</v>
      </c>
      <c r="M435" s="13" t="inlineStr">
        <is>
          <t>de waarde van bestelwagen daalt</t>
        </is>
      </c>
      <c r="N435" s="13" t="inlineStr">
        <is>
          <t>ja</t>
        </is>
      </c>
    </row>
    <row r="436">
      <c r="A436" s="12" t="n">
        <v>435</v>
      </c>
      <c r="B436" s="16" t="n">
        <v>46752</v>
      </c>
      <c r="C436" s="10" t="inlineStr">
        <is>
          <t>AFSLUITING</t>
        </is>
      </c>
      <c r="D436" s="13" t="inlineStr">
        <is>
          <t>K4</t>
        </is>
      </c>
      <c r="E436" s="13" t="inlineStr">
        <is>
          <t>AF2-4</t>
        </is>
      </c>
      <c r="F436" s="13" t="inlineStr">
        <is>
          <t>AF2-4</t>
        </is>
      </c>
      <c r="G436" s="13" t="n">
        <v>693000</v>
      </c>
      <c r="H436" s="13">
        <f>INDEX('MAR 2e graad'!$B$2:$B$58,MATCH(G436,'MAR 2e graad'!$A$2:$A$58,0))</f>
        <v/>
      </c>
      <c r="I436" s="13">
        <f>INDEX('MAR 2e graad'!$C$2:$C$58,MATCH(G436,'MAR 2e graad'!$A$2:$A$58,0))</f>
        <v/>
      </c>
      <c r="J436" s="13">
        <f>IF(OR(I436="A",I436="K"),IF(K436&gt;0,"+","-"),IF(L436&gt;0,"+","-"))</f>
        <v/>
      </c>
      <c r="K436" s="14" t="n">
        <v>18875</v>
      </c>
      <c r="L436" s="14" t="n"/>
      <c r="M436" s="13" t="inlineStr">
        <is>
          <t>de winst wordt overgedragen</t>
        </is>
      </c>
      <c r="N436" s="13" t="inlineStr">
        <is>
          <t>ja</t>
        </is>
      </c>
    </row>
    <row r="437">
      <c r="A437" s="12" t="n">
        <v>436</v>
      </c>
      <c r="B437" s="16" t="n">
        <v>46752</v>
      </c>
      <c r="C437" s="10" t="inlineStr">
        <is>
          <t>AFSLUITING</t>
        </is>
      </c>
      <c r="D437" s="13" t="inlineStr">
        <is>
          <t>K4</t>
        </is>
      </c>
      <c r="E437" s="13" t="inlineStr">
        <is>
          <t>AF2-4</t>
        </is>
      </c>
      <c r="F437" s="13" t="inlineStr">
        <is>
          <t>AF2-4</t>
        </is>
      </c>
      <c r="G437" s="13" t="n">
        <v>140000</v>
      </c>
      <c r="H437" s="13">
        <f>INDEX('MAR 2e graad'!$B$2:$B$58,MATCH(G437,'MAR 2e graad'!$A$2:$A$58,0))</f>
        <v/>
      </c>
      <c r="I437" s="13">
        <f>INDEX('MAR 2e graad'!$C$2:$C$58,MATCH(G437,'MAR 2e graad'!$A$2:$A$58,0))</f>
        <v/>
      </c>
      <c r="J437" s="13">
        <f>IF(OR(I437="A",I437="K"),IF(K437&gt;0,"+","-"),IF(L437&gt;0,"+","-"))</f>
        <v/>
      </c>
      <c r="K437" s="14" t="n"/>
      <c r="L437" s="14" t="n">
        <v>18875</v>
      </c>
      <c r="M437" s="13" t="inlineStr">
        <is>
          <t>de overgedragen winst (eigen vermogen) stijgt</t>
        </is>
      </c>
      <c r="N437" s="13" t="inlineStr">
        <is>
          <t>ja</t>
        </is>
      </c>
    </row>
  </sheetData>
  <autoFilter ref="A1:N437"/>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filterMode="1">
    <outlinePr summaryBelow="1" summaryRight="1"/>
    <pageSetUpPr/>
  </sheetPr>
  <dimension ref="A1:J61"/>
  <sheetViews>
    <sheetView zoomScaleNormal="100" workbookViewId="0">
      <pane ySplit="1" topLeftCell="A2" activePane="bottomLeft" state="frozen"/>
      <selection pane="bottomLeft" activeCell="E18" sqref="E18"/>
    </sheetView>
  </sheetViews>
  <sheetFormatPr baseColWidth="8" defaultColWidth="8.6328125" defaultRowHeight="14.5"/>
  <cols>
    <col width="10" customWidth="1" min="1" max="1"/>
    <col width="44" customWidth="1" min="2" max="2"/>
    <col width="8" customWidth="1" min="3" max="3"/>
    <col width="14" customWidth="1" min="4" max="7"/>
    <col width="16" customWidth="1" min="8" max="9"/>
  </cols>
  <sheetData>
    <row r="1" ht="30" customHeight="1">
      <c r="A1" s="1" t="inlineStr">
        <is>
          <t>Rekening</t>
        </is>
      </c>
      <c r="B1" s="1" t="inlineStr">
        <is>
          <t>Naam</t>
        </is>
      </c>
      <c r="C1" s="1" t="inlineStr">
        <is>
          <t>A/P/K/O</t>
        </is>
      </c>
      <c r="D1" s="1" t="inlineStr">
        <is>
          <t>Openingsbalans</t>
        </is>
      </c>
      <c r="E1" s="1" t="inlineStr">
        <is>
          <t>Saldo einde K1</t>
        </is>
      </c>
      <c r="F1" s="1" t="inlineStr">
        <is>
          <t>Saldo einde K2</t>
        </is>
      </c>
      <c r="G1" s="1" t="inlineStr">
        <is>
          <t>Saldo einde K3</t>
        </is>
      </c>
      <c r="H1" s="1" t="inlineStr">
        <is>
          <t>Saldo einde K4 vóór afsluiting</t>
        </is>
      </c>
      <c r="I1" s="1" t="inlineStr">
        <is>
          <t>Na afsluiting 31/12</t>
        </is>
      </c>
      <c r="J1" s="18" t="inlineStr">
        <is>
          <t>Debetsaldo = positief, creditsaldo = negatief</t>
        </is>
      </c>
    </row>
    <row r="2">
      <c r="A2" s="13" t="n">
        <v>100000</v>
      </c>
      <c r="B2" s="13" t="inlineStr">
        <is>
          <t>Geplaatst kapitaal</t>
        </is>
      </c>
      <c r="C2" s="13" t="inlineStr">
        <is>
          <t>P</t>
        </is>
      </c>
      <c r="D2" s="14" t="n">
        <v>-20000</v>
      </c>
      <c r="E2" s="14">
        <f>$D2+SUMIFS('J2 Journaal'!$K:$K,'J2 Journaal'!$G:$G,$A2,'J2 Journaal'!$B:$B,"&lt;="&amp;DATE(2027,3,31),'J2 Journaal'!$N:$N,"nee")-SUMIFS('J2 Journaal'!$L:$L,'J2 Journaal'!$G:$G,$A2,'J2 Journaal'!$B:$B,"&lt;="&amp;DATE(2027,3,31),'J2 Journaal'!$N:$N,"nee")</f>
        <v/>
      </c>
      <c r="F2" s="14">
        <f>$D2+SUMIFS('J2 Journaal'!$K:$K,'J2 Journaal'!$G:$G,$A2,'J2 Journaal'!$B:$B,"&lt;="&amp;DATE(2027,6,30),'J2 Journaal'!$N:$N,"nee")-SUMIFS('J2 Journaal'!$L:$L,'J2 Journaal'!$G:$G,$A2,'J2 Journaal'!$B:$B,"&lt;="&amp;DATE(2027,6,30),'J2 Journaal'!$N:$N,"nee")</f>
        <v/>
      </c>
      <c r="G2" s="14">
        <f>$D2+SUMIFS('J2 Journaal'!$K:$K,'J2 Journaal'!$G:$G,$A2,'J2 Journaal'!$B:$B,"&lt;="&amp;DATE(2027,9,30),'J2 Journaal'!$N:$N,"nee")-SUMIFS('J2 Journaal'!$L:$L,'J2 Journaal'!$G:$G,$A2,'J2 Journaal'!$B:$B,"&lt;="&amp;DATE(2027,9,30),'J2 Journaal'!$N:$N,"nee")</f>
        <v/>
      </c>
      <c r="H2" s="14">
        <f>$D2+SUMIFS('J2 Journaal'!$K:$K,'J2 Journaal'!$G:$G,$A2,'J2 Journaal'!$B:$B,"&lt;="&amp;DATE(2027,12,31),'J2 Journaal'!$N:$N,"nee")-SUMIFS('J2 Journaal'!$L:$L,'J2 Journaal'!$G:$G,$A2,'J2 Journaal'!$B:$B,"&lt;="&amp;DATE(2027,12,31),'J2 Journaal'!$N:$N,"nee")</f>
        <v/>
      </c>
      <c r="I2" s="14">
        <f>$D2+SUMIFS('J2 Journaal'!$K:$K,'J2 Journaal'!$G:$G,$A2)-SUMIFS('J2 Journaal'!$L:$L,'J2 Journaal'!$G:$G,$A2)</f>
        <v/>
      </c>
    </row>
    <row r="3">
      <c r="A3" s="13" t="n">
        <v>140000</v>
      </c>
      <c r="B3" s="13" t="inlineStr">
        <is>
          <t>Overgedragen winst</t>
        </is>
      </c>
      <c r="C3" s="13" t="inlineStr">
        <is>
          <t>P</t>
        </is>
      </c>
      <c r="D3" s="14" t="n">
        <v>-21570</v>
      </c>
      <c r="E3" s="14">
        <f>$D3+SUMIFS('J2 Journaal'!$K:$K,'J2 Journaal'!$G:$G,$A3,'J2 Journaal'!$B:$B,"&lt;="&amp;DATE(2027,3,31),'J2 Journaal'!$N:$N,"nee")-SUMIFS('J2 Journaal'!$L:$L,'J2 Journaal'!$G:$G,$A3,'J2 Journaal'!$B:$B,"&lt;="&amp;DATE(2027,3,31),'J2 Journaal'!$N:$N,"nee")</f>
        <v/>
      </c>
      <c r="F3" s="14">
        <f>$D3+SUMIFS('J2 Journaal'!$K:$K,'J2 Journaal'!$G:$G,$A3,'J2 Journaal'!$B:$B,"&lt;="&amp;DATE(2027,6,30),'J2 Journaal'!$N:$N,"nee")-SUMIFS('J2 Journaal'!$L:$L,'J2 Journaal'!$G:$G,$A3,'J2 Journaal'!$B:$B,"&lt;="&amp;DATE(2027,6,30),'J2 Journaal'!$N:$N,"nee")</f>
        <v/>
      </c>
      <c r="G3" s="14">
        <f>$D3+SUMIFS('J2 Journaal'!$K:$K,'J2 Journaal'!$G:$G,$A3,'J2 Journaal'!$B:$B,"&lt;="&amp;DATE(2027,9,30),'J2 Journaal'!$N:$N,"nee")-SUMIFS('J2 Journaal'!$L:$L,'J2 Journaal'!$G:$G,$A3,'J2 Journaal'!$B:$B,"&lt;="&amp;DATE(2027,9,30),'J2 Journaal'!$N:$N,"nee")</f>
        <v/>
      </c>
      <c r="H3" s="14">
        <f>$D3+SUMIFS('J2 Journaal'!$K:$K,'J2 Journaal'!$G:$G,$A3,'J2 Journaal'!$B:$B,"&lt;="&amp;DATE(2027,12,31),'J2 Journaal'!$N:$N,"nee")-SUMIFS('J2 Journaal'!$L:$L,'J2 Journaal'!$G:$G,$A3,'J2 Journaal'!$B:$B,"&lt;="&amp;DATE(2027,12,31),'J2 Journaal'!$N:$N,"nee")</f>
        <v/>
      </c>
      <c r="I3" s="14">
        <f>$D3+SUMIFS('J2 Journaal'!$K:$K,'J2 Journaal'!$G:$G,$A3)-SUMIFS('J2 Journaal'!$L:$L,'J2 Journaal'!$G:$G,$A3)</f>
        <v/>
      </c>
    </row>
    <row r="4" hidden="1">
      <c r="A4" s="13" t="n">
        <v>141000</v>
      </c>
      <c r="B4" s="13" t="inlineStr">
        <is>
          <t>Overgedragen verlies (-)</t>
        </is>
      </c>
      <c r="C4" s="13" t="inlineStr">
        <is>
          <t>P</t>
        </is>
      </c>
      <c r="D4" s="14" t="n">
        <v>0</v>
      </c>
      <c r="E4" s="14">
        <f>$D4+SUMIFS('J2 Journaal'!$K:$K,'J2 Journaal'!$G:$G,$A4,'J2 Journaal'!$B:$B,"&lt;="&amp;DATE(2027,3,31),'J2 Journaal'!$N:$N,"nee")-SUMIFS('J2 Journaal'!$L:$L,'J2 Journaal'!$G:$G,$A4,'J2 Journaal'!$B:$B,"&lt;="&amp;DATE(2027,3,31),'J2 Journaal'!$N:$N,"nee")</f>
        <v/>
      </c>
      <c r="F4" s="14">
        <f>$D4+SUMIFS('J2 Journaal'!$K:$K,'J2 Journaal'!$G:$G,$A4,'J2 Journaal'!$B:$B,"&lt;="&amp;DATE(2027,6,30),'J2 Journaal'!$N:$N,"nee")-SUMIFS('J2 Journaal'!$L:$L,'J2 Journaal'!$G:$G,$A4,'J2 Journaal'!$B:$B,"&lt;="&amp;DATE(2027,6,30),'J2 Journaal'!$N:$N,"nee")</f>
        <v/>
      </c>
      <c r="G4" s="14">
        <f>$D4+SUMIFS('J2 Journaal'!$K:$K,'J2 Journaal'!$G:$G,$A4,'J2 Journaal'!$B:$B,"&lt;="&amp;DATE(2027,9,30),'J2 Journaal'!$N:$N,"nee")-SUMIFS('J2 Journaal'!$L:$L,'J2 Journaal'!$G:$G,$A4,'J2 Journaal'!$B:$B,"&lt;="&amp;DATE(2027,9,30),'J2 Journaal'!$N:$N,"nee")</f>
        <v/>
      </c>
      <c r="H4" s="14">
        <f>$D4+SUMIFS('J2 Journaal'!$K:$K,'J2 Journaal'!$G:$G,$A4,'J2 Journaal'!$B:$B,"&lt;="&amp;DATE(2027,12,31),'J2 Journaal'!$N:$N,"nee")-SUMIFS('J2 Journaal'!$L:$L,'J2 Journaal'!$G:$G,$A4,'J2 Journaal'!$B:$B,"&lt;="&amp;DATE(2027,12,31),'J2 Journaal'!$N:$N,"nee")</f>
        <v/>
      </c>
      <c r="I4" s="14">
        <f>$D4+SUMIFS('J2 Journaal'!$K:$K,'J2 Journaal'!$G:$G,$A4)-SUMIFS('J2 Journaal'!$L:$L,'J2 Journaal'!$G:$G,$A4)</f>
        <v/>
      </c>
    </row>
    <row r="5">
      <c r="A5" s="13" t="n">
        <v>173000</v>
      </c>
      <c r="B5" s="13" t="inlineStr">
        <is>
          <t>Schulden aan kredietinstellingen</t>
        </is>
      </c>
      <c r="C5" s="13" t="inlineStr">
        <is>
          <t>P</t>
        </is>
      </c>
      <c r="D5" s="14" t="n">
        <v>0</v>
      </c>
      <c r="E5" s="14">
        <f>$D5+SUMIFS('J2 Journaal'!$K:$K,'J2 Journaal'!$G:$G,$A5,'J2 Journaal'!$B:$B,"&lt;="&amp;DATE(2027,3,31),'J2 Journaal'!$N:$N,"nee")-SUMIFS('J2 Journaal'!$L:$L,'J2 Journaal'!$G:$G,$A5,'J2 Journaal'!$B:$B,"&lt;="&amp;DATE(2027,3,31),'J2 Journaal'!$N:$N,"nee")</f>
        <v/>
      </c>
      <c r="F5" s="14">
        <f>$D5+SUMIFS('J2 Journaal'!$K:$K,'J2 Journaal'!$G:$G,$A5,'J2 Journaal'!$B:$B,"&lt;="&amp;DATE(2027,6,30),'J2 Journaal'!$N:$N,"nee")-SUMIFS('J2 Journaal'!$L:$L,'J2 Journaal'!$G:$G,$A5,'J2 Journaal'!$B:$B,"&lt;="&amp;DATE(2027,6,30),'J2 Journaal'!$N:$N,"nee")</f>
        <v/>
      </c>
      <c r="G5" s="14">
        <f>$D5+SUMIFS('J2 Journaal'!$K:$K,'J2 Journaal'!$G:$G,$A5,'J2 Journaal'!$B:$B,"&lt;="&amp;DATE(2027,9,30),'J2 Journaal'!$N:$N,"nee")-SUMIFS('J2 Journaal'!$L:$L,'J2 Journaal'!$G:$G,$A5,'J2 Journaal'!$B:$B,"&lt;="&amp;DATE(2027,9,30),'J2 Journaal'!$N:$N,"nee")</f>
        <v/>
      </c>
      <c r="H5" s="14">
        <f>$D5+SUMIFS('J2 Journaal'!$K:$K,'J2 Journaal'!$G:$G,$A5,'J2 Journaal'!$B:$B,"&lt;="&amp;DATE(2027,12,31),'J2 Journaal'!$N:$N,"nee")-SUMIFS('J2 Journaal'!$L:$L,'J2 Journaal'!$G:$G,$A5,'J2 Journaal'!$B:$B,"&lt;="&amp;DATE(2027,12,31),'J2 Journaal'!$N:$N,"nee")</f>
        <v/>
      </c>
      <c r="I5" s="14">
        <f>$D5+SUMIFS('J2 Journaal'!$K:$K,'J2 Journaal'!$G:$G,$A5)-SUMIFS('J2 Journaal'!$L:$L,'J2 Journaal'!$G:$G,$A5)</f>
        <v/>
      </c>
    </row>
    <row r="6" hidden="1">
      <c r="A6" s="13" t="n">
        <v>221000</v>
      </c>
      <c r="B6" s="13" t="inlineStr">
        <is>
          <t>Gebouwen</t>
        </is>
      </c>
      <c r="C6" s="13" t="inlineStr">
        <is>
          <t>A</t>
        </is>
      </c>
      <c r="D6" s="14" t="n">
        <v>0</v>
      </c>
      <c r="E6" s="14">
        <f>$D6+SUMIFS('J2 Journaal'!$K:$K,'J2 Journaal'!$G:$G,$A6,'J2 Journaal'!$B:$B,"&lt;="&amp;DATE(2027,3,31),'J2 Journaal'!$N:$N,"nee")-SUMIFS('J2 Journaal'!$L:$L,'J2 Journaal'!$G:$G,$A6,'J2 Journaal'!$B:$B,"&lt;="&amp;DATE(2027,3,31),'J2 Journaal'!$N:$N,"nee")</f>
        <v/>
      </c>
      <c r="F6" s="14">
        <f>$D6+SUMIFS('J2 Journaal'!$K:$K,'J2 Journaal'!$G:$G,$A6,'J2 Journaal'!$B:$B,"&lt;="&amp;DATE(2027,6,30),'J2 Journaal'!$N:$N,"nee")-SUMIFS('J2 Journaal'!$L:$L,'J2 Journaal'!$G:$G,$A6,'J2 Journaal'!$B:$B,"&lt;="&amp;DATE(2027,6,30),'J2 Journaal'!$N:$N,"nee")</f>
        <v/>
      </c>
      <c r="G6" s="14">
        <f>$D6+SUMIFS('J2 Journaal'!$K:$K,'J2 Journaal'!$G:$G,$A6,'J2 Journaal'!$B:$B,"&lt;="&amp;DATE(2027,9,30),'J2 Journaal'!$N:$N,"nee")-SUMIFS('J2 Journaal'!$L:$L,'J2 Journaal'!$G:$G,$A6,'J2 Journaal'!$B:$B,"&lt;="&amp;DATE(2027,9,30),'J2 Journaal'!$N:$N,"nee")</f>
        <v/>
      </c>
      <c r="H6" s="14">
        <f>$D6+SUMIFS('J2 Journaal'!$K:$K,'J2 Journaal'!$G:$G,$A6,'J2 Journaal'!$B:$B,"&lt;="&amp;DATE(2027,12,31),'J2 Journaal'!$N:$N,"nee")-SUMIFS('J2 Journaal'!$L:$L,'J2 Journaal'!$G:$G,$A6,'J2 Journaal'!$B:$B,"&lt;="&amp;DATE(2027,12,31),'J2 Journaal'!$N:$N,"nee")</f>
        <v/>
      </c>
      <c r="I6" s="14">
        <f>$D6+SUMIFS('J2 Journaal'!$K:$K,'J2 Journaal'!$G:$G,$A6)-SUMIFS('J2 Journaal'!$L:$L,'J2 Journaal'!$G:$G,$A6)</f>
        <v/>
      </c>
    </row>
    <row r="7" hidden="1">
      <c r="A7" s="13" t="n">
        <v>221009</v>
      </c>
      <c r="B7" s="13" t="inlineStr">
        <is>
          <t>Afschrijvingen op gebouwen (-)</t>
        </is>
      </c>
      <c r="C7" s="13" t="inlineStr">
        <is>
          <t>A</t>
        </is>
      </c>
      <c r="D7" s="14" t="n">
        <v>0</v>
      </c>
      <c r="E7" s="14">
        <f>$D7+SUMIFS('J2 Journaal'!$K:$K,'J2 Journaal'!$G:$G,$A7,'J2 Journaal'!$B:$B,"&lt;="&amp;DATE(2027,3,31),'J2 Journaal'!$N:$N,"nee")-SUMIFS('J2 Journaal'!$L:$L,'J2 Journaal'!$G:$G,$A7,'J2 Journaal'!$B:$B,"&lt;="&amp;DATE(2027,3,31),'J2 Journaal'!$N:$N,"nee")</f>
        <v/>
      </c>
      <c r="F7" s="14">
        <f>$D7+SUMIFS('J2 Journaal'!$K:$K,'J2 Journaal'!$G:$G,$A7,'J2 Journaal'!$B:$B,"&lt;="&amp;DATE(2027,6,30),'J2 Journaal'!$N:$N,"nee")-SUMIFS('J2 Journaal'!$L:$L,'J2 Journaal'!$G:$G,$A7,'J2 Journaal'!$B:$B,"&lt;="&amp;DATE(2027,6,30),'J2 Journaal'!$N:$N,"nee")</f>
        <v/>
      </c>
      <c r="G7" s="14">
        <f>$D7+SUMIFS('J2 Journaal'!$K:$K,'J2 Journaal'!$G:$G,$A7,'J2 Journaal'!$B:$B,"&lt;="&amp;DATE(2027,9,30),'J2 Journaal'!$N:$N,"nee")-SUMIFS('J2 Journaal'!$L:$L,'J2 Journaal'!$G:$G,$A7,'J2 Journaal'!$B:$B,"&lt;="&amp;DATE(2027,9,30),'J2 Journaal'!$N:$N,"nee")</f>
        <v/>
      </c>
      <c r="H7" s="14">
        <f>$D7+SUMIFS('J2 Journaal'!$K:$K,'J2 Journaal'!$G:$G,$A7,'J2 Journaal'!$B:$B,"&lt;="&amp;DATE(2027,12,31),'J2 Journaal'!$N:$N,"nee")-SUMIFS('J2 Journaal'!$L:$L,'J2 Journaal'!$G:$G,$A7,'J2 Journaal'!$B:$B,"&lt;="&amp;DATE(2027,12,31),'J2 Journaal'!$N:$N,"nee")</f>
        <v/>
      </c>
      <c r="I7" s="14">
        <f>$D7+SUMIFS('J2 Journaal'!$K:$K,'J2 Journaal'!$G:$G,$A7)-SUMIFS('J2 Journaal'!$L:$L,'J2 Journaal'!$G:$G,$A7)</f>
        <v/>
      </c>
    </row>
    <row r="8">
      <c r="A8" s="13" t="n">
        <v>230000</v>
      </c>
      <c r="B8" s="13" t="inlineStr">
        <is>
          <t>Installaties</t>
        </is>
      </c>
      <c r="C8" s="13" t="inlineStr">
        <is>
          <t>A</t>
        </is>
      </c>
      <c r="D8" s="14" t="n">
        <v>1500</v>
      </c>
      <c r="E8" s="14">
        <f>$D8+SUMIFS('J2 Journaal'!$K:$K,'J2 Journaal'!$G:$G,$A8,'J2 Journaal'!$B:$B,"&lt;="&amp;DATE(2027,3,31),'J2 Journaal'!$N:$N,"nee")-SUMIFS('J2 Journaal'!$L:$L,'J2 Journaal'!$G:$G,$A8,'J2 Journaal'!$B:$B,"&lt;="&amp;DATE(2027,3,31),'J2 Journaal'!$N:$N,"nee")</f>
        <v/>
      </c>
      <c r="F8" s="14">
        <f>$D8+SUMIFS('J2 Journaal'!$K:$K,'J2 Journaal'!$G:$G,$A8,'J2 Journaal'!$B:$B,"&lt;="&amp;DATE(2027,6,30),'J2 Journaal'!$N:$N,"nee")-SUMIFS('J2 Journaal'!$L:$L,'J2 Journaal'!$G:$G,$A8,'J2 Journaal'!$B:$B,"&lt;="&amp;DATE(2027,6,30),'J2 Journaal'!$N:$N,"nee")</f>
        <v/>
      </c>
      <c r="G8" s="14">
        <f>$D8+SUMIFS('J2 Journaal'!$K:$K,'J2 Journaal'!$G:$G,$A8,'J2 Journaal'!$B:$B,"&lt;="&amp;DATE(2027,9,30),'J2 Journaal'!$N:$N,"nee")-SUMIFS('J2 Journaal'!$L:$L,'J2 Journaal'!$G:$G,$A8,'J2 Journaal'!$B:$B,"&lt;="&amp;DATE(2027,9,30),'J2 Journaal'!$N:$N,"nee")</f>
        <v/>
      </c>
      <c r="H8" s="14">
        <f>$D8+SUMIFS('J2 Journaal'!$K:$K,'J2 Journaal'!$G:$G,$A8,'J2 Journaal'!$B:$B,"&lt;="&amp;DATE(2027,12,31),'J2 Journaal'!$N:$N,"nee")-SUMIFS('J2 Journaal'!$L:$L,'J2 Journaal'!$G:$G,$A8,'J2 Journaal'!$B:$B,"&lt;="&amp;DATE(2027,12,31),'J2 Journaal'!$N:$N,"nee")</f>
        <v/>
      </c>
      <c r="I8" s="14">
        <f>$D8+SUMIFS('J2 Journaal'!$K:$K,'J2 Journaal'!$G:$G,$A8)-SUMIFS('J2 Journaal'!$L:$L,'J2 Journaal'!$G:$G,$A8)</f>
        <v/>
      </c>
    </row>
    <row r="9">
      <c r="A9" s="13" t="n">
        <v>230009</v>
      </c>
      <c r="B9" s="13" t="inlineStr">
        <is>
          <t>Afschrijvingen op installaties (-)</t>
        </is>
      </c>
      <c r="C9" s="13" t="inlineStr">
        <is>
          <t>A</t>
        </is>
      </c>
      <c r="D9" s="14" t="n">
        <v>-300</v>
      </c>
      <c r="E9" s="14">
        <f>$D9+SUMIFS('J2 Journaal'!$K:$K,'J2 Journaal'!$G:$G,$A9,'J2 Journaal'!$B:$B,"&lt;="&amp;DATE(2027,3,31),'J2 Journaal'!$N:$N,"nee")-SUMIFS('J2 Journaal'!$L:$L,'J2 Journaal'!$G:$G,$A9,'J2 Journaal'!$B:$B,"&lt;="&amp;DATE(2027,3,31),'J2 Journaal'!$N:$N,"nee")</f>
        <v/>
      </c>
      <c r="F9" s="14">
        <f>$D9+SUMIFS('J2 Journaal'!$K:$K,'J2 Journaal'!$G:$G,$A9,'J2 Journaal'!$B:$B,"&lt;="&amp;DATE(2027,6,30),'J2 Journaal'!$N:$N,"nee")-SUMIFS('J2 Journaal'!$L:$L,'J2 Journaal'!$G:$G,$A9,'J2 Journaal'!$B:$B,"&lt;="&amp;DATE(2027,6,30),'J2 Journaal'!$N:$N,"nee")</f>
        <v/>
      </c>
      <c r="G9" s="14">
        <f>$D9+SUMIFS('J2 Journaal'!$K:$K,'J2 Journaal'!$G:$G,$A9,'J2 Journaal'!$B:$B,"&lt;="&amp;DATE(2027,9,30),'J2 Journaal'!$N:$N,"nee")-SUMIFS('J2 Journaal'!$L:$L,'J2 Journaal'!$G:$G,$A9,'J2 Journaal'!$B:$B,"&lt;="&amp;DATE(2027,9,30),'J2 Journaal'!$N:$N,"nee")</f>
        <v/>
      </c>
      <c r="H9" s="14">
        <f>$D9+SUMIFS('J2 Journaal'!$K:$K,'J2 Journaal'!$G:$G,$A9,'J2 Journaal'!$B:$B,"&lt;="&amp;DATE(2027,12,31),'J2 Journaal'!$N:$N,"nee")-SUMIFS('J2 Journaal'!$L:$L,'J2 Journaal'!$G:$G,$A9,'J2 Journaal'!$B:$B,"&lt;="&amp;DATE(2027,12,31),'J2 Journaal'!$N:$N,"nee")</f>
        <v/>
      </c>
      <c r="I9" s="14">
        <f>$D9+SUMIFS('J2 Journaal'!$K:$K,'J2 Journaal'!$G:$G,$A9)-SUMIFS('J2 Journaal'!$L:$L,'J2 Journaal'!$G:$G,$A9)</f>
        <v/>
      </c>
    </row>
    <row r="10">
      <c r="A10" s="13" t="n">
        <v>232000</v>
      </c>
      <c r="B10" s="13" t="inlineStr">
        <is>
          <t>Uitrusting</t>
        </is>
      </c>
      <c r="C10" s="13" t="inlineStr">
        <is>
          <t>A</t>
        </is>
      </c>
      <c r="D10" s="14" t="n">
        <v>500</v>
      </c>
      <c r="E10" s="14">
        <f>$D10+SUMIFS('J2 Journaal'!$K:$K,'J2 Journaal'!$G:$G,$A10,'J2 Journaal'!$B:$B,"&lt;="&amp;DATE(2027,3,31),'J2 Journaal'!$N:$N,"nee")-SUMIFS('J2 Journaal'!$L:$L,'J2 Journaal'!$G:$G,$A10,'J2 Journaal'!$B:$B,"&lt;="&amp;DATE(2027,3,31),'J2 Journaal'!$N:$N,"nee")</f>
        <v/>
      </c>
      <c r="F10" s="14">
        <f>$D10+SUMIFS('J2 Journaal'!$K:$K,'J2 Journaal'!$G:$G,$A10,'J2 Journaal'!$B:$B,"&lt;="&amp;DATE(2027,6,30),'J2 Journaal'!$N:$N,"nee")-SUMIFS('J2 Journaal'!$L:$L,'J2 Journaal'!$G:$G,$A10,'J2 Journaal'!$B:$B,"&lt;="&amp;DATE(2027,6,30),'J2 Journaal'!$N:$N,"nee")</f>
        <v/>
      </c>
      <c r="G10" s="14">
        <f>$D10+SUMIFS('J2 Journaal'!$K:$K,'J2 Journaal'!$G:$G,$A10,'J2 Journaal'!$B:$B,"&lt;="&amp;DATE(2027,9,30),'J2 Journaal'!$N:$N,"nee")-SUMIFS('J2 Journaal'!$L:$L,'J2 Journaal'!$G:$G,$A10,'J2 Journaal'!$B:$B,"&lt;="&amp;DATE(2027,9,30),'J2 Journaal'!$N:$N,"nee")</f>
        <v/>
      </c>
      <c r="H10" s="14">
        <f>$D10+SUMIFS('J2 Journaal'!$K:$K,'J2 Journaal'!$G:$G,$A10,'J2 Journaal'!$B:$B,"&lt;="&amp;DATE(2027,12,31),'J2 Journaal'!$N:$N,"nee")-SUMIFS('J2 Journaal'!$L:$L,'J2 Journaal'!$G:$G,$A10,'J2 Journaal'!$B:$B,"&lt;="&amp;DATE(2027,12,31),'J2 Journaal'!$N:$N,"nee")</f>
        <v/>
      </c>
      <c r="I10" s="14">
        <f>$D10+SUMIFS('J2 Journaal'!$K:$K,'J2 Journaal'!$G:$G,$A10)-SUMIFS('J2 Journaal'!$L:$L,'J2 Journaal'!$G:$G,$A10)</f>
        <v/>
      </c>
    </row>
    <row r="11">
      <c r="A11" s="13" t="n">
        <v>232009</v>
      </c>
      <c r="B11" s="13" t="inlineStr">
        <is>
          <t>Afschrijvingen op uitrusting (-)</t>
        </is>
      </c>
      <c r="C11" s="13" t="inlineStr">
        <is>
          <t>A</t>
        </is>
      </c>
      <c r="D11" s="14" t="n">
        <v>-100</v>
      </c>
      <c r="E11" s="14">
        <f>$D11+SUMIFS('J2 Journaal'!$K:$K,'J2 Journaal'!$G:$G,$A11,'J2 Journaal'!$B:$B,"&lt;="&amp;DATE(2027,3,31),'J2 Journaal'!$N:$N,"nee")-SUMIFS('J2 Journaal'!$L:$L,'J2 Journaal'!$G:$G,$A11,'J2 Journaal'!$B:$B,"&lt;="&amp;DATE(2027,3,31),'J2 Journaal'!$N:$N,"nee")</f>
        <v/>
      </c>
      <c r="F11" s="14">
        <f>$D11+SUMIFS('J2 Journaal'!$K:$K,'J2 Journaal'!$G:$G,$A11,'J2 Journaal'!$B:$B,"&lt;="&amp;DATE(2027,6,30),'J2 Journaal'!$N:$N,"nee")-SUMIFS('J2 Journaal'!$L:$L,'J2 Journaal'!$G:$G,$A11,'J2 Journaal'!$B:$B,"&lt;="&amp;DATE(2027,6,30),'J2 Journaal'!$N:$N,"nee")</f>
        <v/>
      </c>
      <c r="G11" s="14">
        <f>$D11+SUMIFS('J2 Journaal'!$K:$K,'J2 Journaal'!$G:$G,$A11,'J2 Journaal'!$B:$B,"&lt;="&amp;DATE(2027,9,30),'J2 Journaal'!$N:$N,"nee")-SUMIFS('J2 Journaal'!$L:$L,'J2 Journaal'!$G:$G,$A11,'J2 Journaal'!$B:$B,"&lt;="&amp;DATE(2027,9,30),'J2 Journaal'!$N:$N,"nee")</f>
        <v/>
      </c>
      <c r="H11" s="14">
        <f>$D11+SUMIFS('J2 Journaal'!$K:$K,'J2 Journaal'!$G:$G,$A11,'J2 Journaal'!$B:$B,"&lt;="&amp;DATE(2027,12,31),'J2 Journaal'!$N:$N,"nee")-SUMIFS('J2 Journaal'!$L:$L,'J2 Journaal'!$G:$G,$A11,'J2 Journaal'!$B:$B,"&lt;="&amp;DATE(2027,12,31),'J2 Journaal'!$N:$N,"nee")</f>
        <v/>
      </c>
      <c r="I11" s="14">
        <f>$D11+SUMIFS('J2 Journaal'!$K:$K,'J2 Journaal'!$G:$G,$A11)-SUMIFS('J2 Journaal'!$L:$L,'J2 Journaal'!$G:$G,$A11)</f>
        <v/>
      </c>
    </row>
    <row r="12" hidden="1">
      <c r="A12" s="13" t="n">
        <v>240000</v>
      </c>
      <c r="B12" s="13" t="inlineStr">
        <is>
          <t>Meubilair</t>
        </is>
      </c>
      <c r="C12" s="13" t="inlineStr">
        <is>
          <t>A</t>
        </is>
      </c>
      <c r="D12" s="14" t="n">
        <v>0</v>
      </c>
      <c r="E12" s="14">
        <f>$D12+SUMIFS('J2 Journaal'!$K:$K,'J2 Journaal'!$G:$G,$A12,'J2 Journaal'!$B:$B,"&lt;="&amp;DATE(2027,3,31),'J2 Journaal'!$N:$N,"nee")-SUMIFS('J2 Journaal'!$L:$L,'J2 Journaal'!$G:$G,$A12,'J2 Journaal'!$B:$B,"&lt;="&amp;DATE(2027,3,31),'J2 Journaal'!$N:$N,"nee")</f>
        <v/>
      </c>
      <c r="F12" s="14">
        <f>$D12+SUMIFS('J2 Journaal'!$K:$K,'J2 Journaal'!$G:$G,$A12,'J2 Journaal'!$B:$B,"&lt;="&amp;DATE(2027,6,30),'J2 Journaal'!$N:$N,"nee")-SUMIFS('J2 Journaal'!$L:$L,'J2 Journaal'!$G:$G,$A12,'J2 Journaal'!$B:$B,"&lt;="&amp;DATE(2027,6,30),'J2 Journaal'!$N:$N,"nee")</f>
        <v/>
      </c>
      <c r="G12" s="14">
        <f>$D12+SUMIFS('J2 Journaal'!$K:$K,'J2 Journaal'!$G:$G,$A12,'J2 Journaal'!$B:$B,"&lt;="&amp;DATE(2027,9,30),'J2 Journaal'!$N:$N,"nee")-SUMIFS('J2 Journaal'!$L:$L,'J2 Journaal'!$G:$G,$A12,'J2 Journaal'!$B:$B,"&lt;="&amp;DATE(2027,9,30),'J2 Journaal'!$N:$N,"nee")</f>
        <v/>
      </c>
      <c r="H12" s="14">
        <f>$D12+SUMIFS('J2 Journaal'!$K:$K,'J2 Journaal'!$G:$G,$A12,'J2 Journaal'!$B:$B,"&lt;="&amp;DATE(2027,12,31),'J2 Journaal'!$N:$N,"nee")-SUMIFS('J2 Journaal'!$L:$L,'J2 Journaal'!$G:$G,$A12,'J2 Journaal'!$B:$B,"&lt;="&amp;DATE(2027,12,31),'J2 Journaal'!$N:$N,"nee")</f>
        <v/>
      </c>
      <c r="I12" s="14">
        <f>$D12+SUMIFS('J2 Journaal'!$K:$K,'J2 Journaal'!$G:$G,$A12)-SUMIFS('J2 Journaal'!$L:$L,'J2 Journaal'!$G:$G,$A12)</f>
        <v/>
      </c>
    </row>
    <row r="13" hidden="1">
      <c r="A13" s="13" t="n">
        <v>240009</v>
      </c>
      <c r="B13" s="13" t="inlineStr">
        <is>
          <t>Afschrijvingen op meubilair (-)</t>
        </is>
      </c>
      <c r="C13" s="13" t="inlineStr">
        <is>
          <t>A</t>
        </is>
      </c>
      <c r="D13" s="14" t="n">
        <v>0</v>
      </c>
      <c r="E13" s="14">
        <f>$D13+SUMIFS('J2 Journaal'!$K:$K,'J2 Journaal'!$G:$G,$A13,'J2 Journaal'!$B:$B,"&lt;="&amp;DATE(2027,3,31),'J2 Journaal'!$N:$N,"nee")-SUMIFS('J2 Journaal'!$L:$L,'J2 Journaal'!$G:$G,$A13,'J2 Journaal'!$B:$B,"&lt;="&amp;DATE(2027,3,31),'J2 Journaal'!$N:$N,"nee")</f>
        <v/>
      </c>
      <c r="F13" s="14">
        <f>$D13+SUMIFS('J2 Journaal'!$K:$K,'J2 Journaal'!$G:$G,$A13,'J2 Journaal'!$B:$B,"&lt;="&amp;DATE(2027,6,30),'J2 Journaal'!$N:$N,"nee")-SUMIFS('J2 Journaal'!$L:$L,'J2 Journaal'!$G:$G,$A13,'J2 Journaal'!$B:$B,"&lt;="&amp;DATE(2027,6,30),'J2 Journaal'!$N:$N,"nee")</f>
        <v/>
      </c>
      <c r="G13" s="14">
        <f>$D13+SUMIFS('J2 Journaal'!$K:$K,'J2 Journaal'!$G:$G,$A13,'J2 Journaal'!$B:$B,"&lt;="&amp;DATE(2027,9,30),'J2 Journaal'!$N:$N,"nee")-SUMIFS('J2 Journaal'!$L:$L,'J2 Journaal'!$G:$G,$A13,'J2 Journaal'!$B:$B,"&lt;="&amp;DATE(2027,9,30),'J2 Journaal'!$N:$N,"nee")</f>
        <v/>
      </c>
      <c r="H13" s="14">
        <f>$D13+SUMIFS('J2 Journaal'!$K:$K,'J2 Journaal'!$G:$G,$A13,'J2 Journaal'!$B:$B,"&lt;="&amp;DATE(2027,12,31),'J2 Journaal'!$N:$N,"nee")-SUMIFS('J2 Journaal'!$L:$L,'J2 Journaal'!$G:$G,$A13,'J2 Journaal'!$B:$B,"&lt;="&amp;DATE(2027,12,31),'J2 Journaal'!$N:$N,"nee")</f>
        <v/>
      </c>
      <c r="I13" s="14">
        <f>$D13+SUMIFS('J2 Journaal'!$K:$K,'J2 Journaal'!$G:$G,$A13)-SUMIFS('J2 Journaal'!$L:$L,'J2 Journaal'!$G:$G,$A13)</f>
        <v/>
      </c>
    </row>
    <row r="14">
      <c r="A14" s="13" t="n">
        <v>240200</v>
      </c>
      <c r="B14" s="13" t="inlineStr">
        <is>
          <t>Computers</t>
        </is>
      </c>
      <c r="C14" s="13" t="inlineStr">
        <is>
          <t>A</t>
        </is>
      </c>
      <c r="D14" s="14" t="n">
        <v>2100</v>
      </c>
      <c r="E14" s="14">
        <f>$D14+SUMIFS('J2 Journaal'!$K:$K,'J2 Journaal'!$G:$G,$A14,'J2 Journaal'!$B:$B,"&lt;="&amp;DATE(2027,3,31),'J2 Journaal'!$N:$N,"nee")-SUMIFS('J2 Journaal'!$L:$L,'J2 Journaal'!$G:$G,$A14,'J2 Journaal'!$B:$B,"&lt;="&amp;DATE(2027,3,31),'J2 Journaal'!$N:$N,"nee")</f>
        <v/>
      </c>
      <c r="F14" s="14">
        <f>$D14+SUMIFS('J2 Journaal'!$K:$K,'J2 Journaal'!$G:$G,$A14,'J2 Journaal'!$B:$B,"&lt;="&amp;DATE(2027,6,30),'J2 Journaal'!$N:$N,"nee")-SUMIFS('J2 Journaal'!$L:$L,'J2 Journaal'!$G:$G,$A14,'J2 Journaal'!$B:$B,"&lt;="&amp;DATE(2027,6,30),'J2 Journaal'!$N:$N,"nee")</f>
        <v/>
      </c>
      <c r="G14" s="14">
        <f>$D14+SUMIFS('J2 Journaal'!$K:$K,'J2 Journaal'!$G:$G,$A14,'J2 Journaal'!$B:$B,"&lt;="&amp;DATE(2027,9,30),'J2 Journaal'!$N:$N,"nee")-SUMIFS('J2 Journaal'!$L:$L,'J2 Journaal'!$G:$G,$A14,'J2 Journaal'!$B:$B,"&lt;="&amp;DATE(2027,9,30),'J2 Journaal'!$N:$N,"nee")</f>
        <v/>
      </c>
      <c r="H14" s="14">
        <f>$D14+SUMIFS('J2 Journaal'!$K:$K,'J2 Journaal'!$G:$G,$A14,'J2 Journaal'!$B:$B,"&lt;="&amp;DATE(2027,12,31),'J2 Journaal'!$N:$N,"nee")-SUMIFS('J2 Journaal'!$L:$L,'J2 Journaal'!$G:$G,$A14,'J2 Journaal'!$B:$B,"&lt;="&amp;DATE(2027,12,31),'J2 Journaal'!$N:$N,"nee")</f>
        <v/>
      </c>
      <c r="I14" s="14">
        <f>$D14+SUMIFS('J2 Journaal'!$K:$K,'J2 Journaal'!$G:$G,$A14)-SUMIFS('J2 Journaal'!$L:$L,'J2 Journaal'!$G:$G,$A14)</f>
        <v/>
      </c>
    </row>
    <row r="15">
      <c r="A15" s="13" t="n">
        <v>240209</v>
      </c>
      <c r="B15" s="13" t="inlineStr">
        <is>
          <t>Afschrijvingen op computers (-)</t>
        </is>
      </c>
      <c r="C15" s="13" t="inlineStr">
        <is>
          <t>A</t>
        </is>
      </c>
      <c r="D15" s="14" t="n">
        <v>-700</v>
      </c>
      <c r="E15" s="14">
        <f>$D15+SUMIFS('J2 Journaal'!$K:$K,'J2 Journaal'!$G:$G,$A15,'J2 Journaal'!$B:$B,"&lt;="&amp;DATE(2027,3,31),'J2 Journaal'!$N:$N,"nee")-SUMIFS('J2 Journaal'!$L:$L,'J2 Journaal'!$G:$G,$A15,'J2 Journaal'!$B:$B,"&lt;="&amp;DATE(2027,3,31),'J2 Journaal'!$N:$N,"nee")</f>
        <v/>
      </c>
      <c r="F15" s="14">
        <f>$D15+SUMIFS('J2 Journaal'!$K:$K,'J2 Journaal'!$G:$G,$A15,'J2 Journaal'!$B:$B,"&lt;="&amp;DATE(2027,6,30),'J2 Journaal'!$N:$N,"nee")-SUMIFS('J2 Journaal'!$L:$L,'J2 Journaal'!$G:$G,$A15,'J2 Journaal'!$B:$B,"&lt;="&amp;DATE(2027,6,30),'J2 Journaal'!$N:$N,"nee")</f>
        <v/>
      </c>
      <c r="G15" s="14">
        <f>$D15+SUMIFS('J2 Journaal'!$K:$K,'J2 Journaal'!$G:$G,$A15,'J2 Journaal'!$B:$B,"&lt;="&amp;DATE(2027,9,30),'J2 Journaal'!$N:$N,"nee")-SUMIFS('J2 Journaal'!$L:$L,'J2 Journaal'!$G:$G,$A15,'J2 Journaal'!$B:$B,"&lt;="&amp;DATE(2027,9,30),'J2 Journaal'!$N:$N,"nee")</f>
        <v/>
      </c>
      <c r="H15" s="14">
        <f>$D15+SUMIFS('J2 Journaal'!$K:$K,'J2 Journaal'!$G:$G,$A15,'J2 Journaal'!$B:$B,"&lt;="&amp;DATE(2027,12,31),'J2 Journaal'!$N:$N,"nee")-SUMIFS('J2 Journaal'!$L:$L,'J2 Journaal'!$G:$G,$A15,'J2 Journaal'!$B:$B,"&lt;="&amp;DATE(2027,12,31),'J2 Journaal'!$N:$N,"nee")</f>
        <v/>
      </c>
      <c r="I15" s="14">
        <f>$D15+SUMIFS('J2 Journaal'!$K:$K,'J2 Journaal'!$G:$G,$A15)-SUMIFS('J2 Journaal'!$L:$L,'J2 Journaal'!$G:$G,$A15)</f>
        <v/>
      </c>
    </row>
    <row r="16">
      <c r="A16" s="13" t="n">
        <v>241000</v>
      </c>
      <c r="B16" s="13" t="inlineStr">
        <is>
          <t>Rollend materieel</t>
        </is>
      </c>
      <c r="C16" s="13" t="inlineStr">
        <is>
          <t>A</t>
        </is>
      </c>
      <c r="D16" s="14" t="n">
        <v>6000</v>
      </c>
      <c r="E16" s="14">
        <f>$D16+SUMIFS('J2 Journaal'!$K:$K,'J2 Journaal'!$G:$G,$A16,'J2 Journaal'!$B:$B,"&lt;="&amp;DATE(2027,3,31),'J2 Journaal'!$N:$N,"nee")-SUMIFS('J2 Journaal'!$L:$L,'J2 Journaal'!$G:$G,$A16,'J2 Journaal'!$B:$B,"&lt;="&amp;DATE(2027,3,31),'J2 Journaal'!$N:$N,"nee")</f>
        <v/>
      </c>
      <c r="F16" s="14">
        <f>$D16+SUMIFS('J2 Journaal'!$K:$K,'J2 Journaal'!$G:$G,$A16,'J2 Journaal'!$B:$B,"&lt;="&amp;DATE(2027,6,30),'J2 Journaal'!$N:$N,"nee")-SUMIFS('J2 Journaal'!$L:$L,'J2 Journaal'!$G:$G,$A16,'J2 Journaal'!$B:$B,"&lt;="&amp;DATE(2027,6,30),'J2 Journaal'!$N:$N,"nee")</f>
        <v/>
      </c>
      <c r="G16" s="14">
        <f>$D16+SUMIFS('J2 Journaal'!$K:$K,'J2 Journaal'!$G:$G,$A16,'J2 Journaal'!$B:$B,"&lt;="&amp;DATE(2027,9,30),'J2 Journaal'!$N:$N,"nee")-SUMIFS('J2 Journaal'!$L:$L,'J2 Journaal'!$G:$G,$A16,'J2 Journaal'!$B:$B,"&lt;="&amp;DATE(2027,9,30),'J2 Journaal'!$N:$N,"nee")</f>
        <v/>
      </c>
      <c r="H16" s="14">
        <f>$D16+SUMIFS('J2 Journaal'!$K:$K,'J2 Journaal'!$G:$G,$A16,'J2 Journaal'!$B:$B,"&lt;="&amp;DATE(2027,12,31),'J2 Journaal'!$N:$N,"nee")-SUMIFS('J2 Journaal'!$L:$L,'J2 Journaal'!$G:$G,$A16,'J2 Journaal'!$B:$B,"&lt;="&amp;DATE(2027,12,31),'J2 Journaal'!$N:$N,"nee")</f>
        <v/>
      </c>
      <c r="I16" s="14">
        <f>$D16+SUMIFS('J2 Journaal'!$K:$K,'J2 Journaal'!$G:$G,$A16)-SUMIFS('J2 Journaal'!$L:$L,'J2 Journaal'!$G:$G,$A16)</f>
        <v/>
      </c>
    </row>
    <row r="17">
      <c r="A17" s="13" t="n">
        <v>241009</v>
      </c>
      <c r="B17" s="13" t="inlineStr">
        <is>
          <t>Afschrijvingen op rollend materieel (-)</t>
        </is>
      </c>
      <c r="C17" s="13" t="inlineStr">
        <is>
          <t>A</t>
        </is>
      </c>
      <c r="D17" s="14" t="n">
        <v>-1200</v>
      </c>
      <c r="E17" s="14">
        <f>$D17+SUMIFS('J2 Journaal'!$K:$K,'J2 Journaal'!$G:$G,$A17,'J2 Journaal'!$B:$B,"&lt;="&amp;DATE(2027,3,31),'J2 Journaal'!$N:$N,"nee")-SUMIFS('J2 Journaal'!$L:$L,'J2 Journaal'!$G:$G,$A17,'J2 Journaal'!$B:$B,"&lt;="&amp;DATE(2027,3,31),'J2 Journaal'!$N:$N,"nee")</f>
        <v/>
      </c>
      <c r="F17" s="14">
        <f>$D17+SUMIFS('J2 Journaal'!$K:$K,'J2 Journaal'!$G:$G,$A17,'J2 Journaal'!$B:$B,"&lt;="&amp;DATE(2027,6,30),'J2 Journaal'!$N:$N,"nee")-SUMIFS('J2 Journaal'!$L:$L,'J2 Journaal'!$G:$G,$A17,'J2 Journaal'!$B:$B,"&lt;="&amp;DATE(2027,6,30),'J2 Journaal'!$N:$N,"nee")</f>
        <v/>
      </c>
      <c r="G17" s="14">
        <f>$D17+SUMIFS('J2 Journaal'!$K:$K,'J2 Journaal'!$G:$G,$A17,'J2 Journaal'!$B:$B,"&lt;="&amp;DATE(2027,9,30),'J2 Journaal'!$N:$N,"nee")-SUMIFS('J2 Journaal'!$L:$L,'J2 Journaal'!$G:$G,$A17,'J2 Journaal'!$B:$B,"&lt;="&amp;DATE(2027,9,30),'J2 Journaal'!$N:$N,"nee")</f>
        <v/>
      </c>
      <c r="H17" s="14">
        <f>$D17+SUMIFS('J2 Journaal'!$K:$K,'J2 Journaal'!$G:$G,$A17,'J2 Journaal'!$B:$B,"&lt;="&amp;DATE(2027,12,31),'J2 Journaal'!$N:$N,"nee")-SUMIFS('J2 Journaal'!$L:$L,'J2 Journaal'!$G:$G,$A17,'J2 Journaal'!$B:$B,"&lt;="&amp;DATE(2027,12,31),'J2 Journaal'!$N:$N,"nee")</f>
        <v/>
      </c>
      <c r="I17" s="14">
        <f>$D17+SUMIFS('J2 Journaal'!$K:$K,'J2 Journaal'!$G:$G,$A17)-SUMIFS('J2 Journaal'!$L:$L,'J2 Journaal'!$G:$G,$A17)</f>
        <v/>
      </c>
    </row>
    <row r="18">
      <c r="A18" s="13" t="n">
        <v>340000</v>
      </c>
      <c r="B18" s="13" t="inlineStr">
        <is>
          <t>Voorraad handelsgoederen</t>
        </is>
      </c>
      <c r="C18" s="13" t="inlineStr">
        <is>
          <t>A</t>
        </is>
      </c>
      <c r="D18" s="14" t="n">
        <v>11720</v>
      </c>
      <c r="E18" s="14">
        <f>$D18+SUMIFS('J2 Journaal'!$K:$K,'J2 Journaal'!$G:$G,$A18,'J2 Journaal'!$B:$B,"&lt;="&amp;DATE(2027,3,31),'J2 Journaal'!$N:$N,"nee")-SUMIFS('J2 Journaal'!$L:$L,'J2 Journaal'!$G:$G,$A18,'J2 Journaal'!$B:$B,"&lt;="&amp;DATE(2027,3,31),'J2 Journaal'!$N:$N,"nee")</f>
        <v/>
      </c>
      <c r="F18" s="14">
        <f>$D18+SUMIFS('J2 Journaal'!$K:$K,'J2 Journaal'!$G:$G,$A18,'J2 Journaal'!$B:$B,"&lt;="&amp;DATE(2027,6,30),'J2 Journaal'!$N:$N,"nee")-SUMIFS('J2 Journaal'!$L:$L,'J2 Journaal'!$G:$G,$A18,'J2 Journaal'!$B:$B,"&lt;="&amp;DATE(2027,6,30),'J2 Journaal'!$N:$N,"nee")</f>
        <v/>
      </c>
      <c r="G18" s="14">
        <f>$D18+SUMIFS('J2 Journaal'!$K:$K,'J2 Journaal'!$G:$G,$A18,'J2 Journaal'!$B:$B,"&lt;="&amp;DATE(2027,9,30),'J2 Journaal'!$N:$N,"nee")-SUMIFS('J2 Journaal'!$L:$L,'J2 Journaal'!$G:$G,$A18,'J2 Journaal'!$B:$B,"&lt;="&amp;DATE(2027,9,30),'J2 Journaal'!$N:$N,"nee")</f>
        <v/>
      </c>
      <c r="H18" s="14">
        <f>$D18+SUMIFS('J2 Journaal'!$K:$K,'J2 Journaal'!$G:$G,$A18,'J2 Journaal'!$B:$B,"&lt;="&amp;DATE(2027,12,31),'J2 Journaal'!$N:$N,"nee")-SUMIFS('J2 Journaal'!$L:$L,'J2 Journaal'!$G:$G,$A18,'J2 Journaal'!$B:$B,"&lt;="&amp;DATE(2027,12,31),'J2 Journaal'!$N:$N,"nee")</f>
        <v/>
      </c>
      <c r="I18" s="14">
        <f>$D18+SUMIFS('J2 Journaal'!$K:$K,'J2 Journaal'!$G:$G,$A18)-SUMIFS('J2 Journaal'!$L:$L,'J2 Journaal'!$G:$G,$A18)</f>
        <v/>
      </c>
    </row>
    <row r="19" hidden="1">
      <c r="A19" s="13" t="n">
        <v>400000</v>
      </c>
      <c r="B19" s="13" t="inlineStr">
        <is>
          <t>Handelsdebiteuren</t>
        </is>
      </c>
      <c r="C19" s="13" t="inlineStr">
        <is>
          <t>A</t>
        </is>
      </c>
      <c r="D19" s="14" t="n">
        <v>9196</v>
      </c>
      <c r="E19" s="14">
        <f>$D19+SUMIFS('J2 Journaal'!$K:$K,'J2 Journaal'!$G:$G,$A19,'J2 Journaal'!$B:$B,"&lt;="&amp;DATE(2027,3,31),'J2 Journaal'!$N:$N,"nee")-SUMIFS('J2 Journaal'!$L:$L,'J2 Journaal'!$G:$G,$A19,'J2 Journaal'!$B:$B,"&lt;="&amp;DATE(2027,3,31),'J2 Journaal'!$N:$N,"nee")</f>
        <v/>
      </c>
      <c r="F19" s="14">
        <f>$D19+SUMIFS('J2 Journaal'!$K:$K,'J2 Journaal'!$G:$G,$A19,'J2 Journaal'!$B:$B,"&lt;="&amp;DATE(2027,6,30),'J2 Journaal'!$N:$N,"nee")-SUMIFS('J2 Journaal'!$L:$L,'J2 Journaal'!$G:$G,$A19,'J2 Journaal'!$B:$B,"&lt;="&amp;DATE(2027,6,30),'J2 Journaal'!$N:$N,"nee")</f>
        <v/>
      </c>
      <c r="G19" s="14">
        <f>$D19+SUMIFS('J2 Journaal'!$K:$K,'J2 Journaal'!$G:$G,$A19,'J2 Journaal'!$B:$B,"&lt;="&amp;DATE(2027,9,30),'J2 Journaal'!$N:$N,"nee")-SUMIFS('J2 Journaal'!$L:$L,'J2 Journaal'!$G:$G,$A19,'J2 Journaal'!$B:$B,"&lt;="&amp;DATE(2027,9,30),'J2 Journaal'!$N:$N,"nee")</f>
        <v/>
      </c>
      <c r="H19" s="14">
        <f>$D19+SUMIFS('J2 Journaal'!$K:$K,'J2 Journaal'!$G:$G,$A19,'J2 Journaal'!$B:$B,"&lt;="&amp;DATE(2027,12,31),'J2 Journaal'!$N:$N,"nee")-SUMIFS('J2 Journaal'!$L:$L,'J2 Journaal'!$G:$G,$A19,'J2 Journaal'!$B:$B,"&lt;="&amp;DATE(2027,12,31),'J2 Journaal'!$N:$N,"nee")</f>
        <v/>
      </c>
      <c r="I19" s="14">
        <f>$D19+SUMIFS('J2 Journaal'!$K:$K,'J2 Journaal'!$G:$G,$A19)-SUMIFS('J2 Journaal'!$L:$L,'J2 Journaal'!$G:$G,$A19)</f>
        <v/>
      </c>
    </row>
    <row r="20">
      <c r="A20" s="13" t="n">
        <v>411000</v>
      </c>
      <c r="B20" s="13" t="inlineStr">
        <is>
          <t>Terug te vorderen btw-saldo</t>
        </is>
      </c>
      <c r="C20" s="13" t="inlineStr">
        <is>
          <t>A</t>
        </is>
      </c>
      <c r="D20" s="14" t="n">
        <v>0</v>
      </c>
      <c r="E20" s="14">
        <f>$D20+SUMIFS('J2 Journaal'!$K:$K,'J2 Journaal'!$G:$G,$A20,'J2 Journaal'!$B:$B,"&lt;="&amp;DATE(2027,3,31),'J2 Journaal'!$N:$N,"nee")-SUMIFS('J2 Journaal'!$L:$L,'J2 Journaal'!$G:$G,$A20,'J2 Journaal'!$B:$B,"&lt;="&amp;DATE(2027,3,31),'J2 Journaal'!$N:$N,"nee")</f>
        <v/>
      </c>
      <c r="F20" s="14">
        <f>$D20+SUMIFS('J2 Journaal'!$K:$K,'J2 Journaal'!$G:$G,$A20,'J2 Journaal'!$B:$B,"&lt;="&amp;DATE(2027,6,30),'J2 Journaal'!$N:$N,"nee")-SUMIFS('J2 Journaal'!$L:$L,'J2 Journaal'!$G:$G,$A20,'J2 Journaal'!$B:$B,"&lt;="&amp;DATE(2027,6,30),'J2 Journaal'!$N:$N,"nee")</f>
        <v/>
      </c>
      <c r="G20" s="14">
        <f>$D20+SUMIFS('J2 Journaal'!$K:$K,'J2 Journaal'!$G:$G,$A20,'J2 Journaal'!$B:$B,"&lt;="&amp;DATE(2027,9,30),'J2 Journaal'!$N:$N,"nee")-SUMIFS('J2 Journaal'!$L:$L,'J2 Journaal'!$G:$G,$A20,'J2 Journaal'!$B:$B,"&lt;="&amp;DATE(2027,9,30),'J2 Journaal'!$N:$N,"nee")</f>
        <v/>
      </c>
      <c r="H20" s="14">
        <f>$D20+SUMIFS('J2 Journaal'!$K:$K,'J2 Journaal'!$G:$G,$A20,'J2 Journaal'!$B:$B,"&lt;="&amp;DATE(2027,12,31),'J2 Journaal'!$N:$N,"nee")-SUMIFS('J2 Journaal'!$L:$L,'J2 Journaal'!$G:$G,$A20,'J2 Journaal'!$B:$B,"&lt;="&amp;DATE(2027,12,31),'J2 Journaal'!$N:$N,"nee")</f>
        <v/>
      </c>
      <c r="I20" s="14">
        <f>$D20+SUMIFS('J2 Journaal'!$K:$K,'J2 Journaal'!$G:$G,$A20)-SUMIFS('J2 Journaal'!$L:$L,'J2 Journaal'!$G:$G,$A20)</f>
        <v/>
      </c>
    </row>
    <row r="21">
      <c r="A21" s="13" t="n">
        <v>411100</v>
      </c>
      <c r="B21" s="13" t="inlineStr">
        <is>
          <t>Aftrekbare btw</t>
        </is>
      </c>
      <c r="C21" s="13" t="inlineStr">
        <is>
          <t>A</t>
        </is>
      </c>
      <c r="D21" s="14" t="n">
        <v>0</v>
      </c>
      <c r="E21" s="14">
        <f>$D21+SUMIFS('J2 Journaal'!$K:$K,'J2 Journaal'!$G:$G,$A21,'J2 Journaal'!$B:$B,"&lt;="&amp;DATE(2027,3,31),'J2 Journaal'!$N:$N,"nee")-SUMIFS('J2 Journaal'!$L:$L,'J2 Journaal'!$G:$G,$A21,'J2 Journaal'!$B:$B,"&lt;="&amp;DATE(2027,3,31),'J2 Journaal'!$N:$N,"nee")</f>
        <v/>
      </c>
      <c r="F21" s="14">
        <f>$D21+SUMIFS('J2 Journaal'!$K:$K,'J2 Journaal'!$G:$G,$A21,'J2 Journaal'!$B:$B,"&lt;="&amp;DATE(2027,6,30),'J2 Journaal'!$N:$N,"nee")-SUMIFS('J2 Journaal'!$L:$L,'J2 Journaal'!$G:$G,$A21,'J2 Journaal'!$B:$B,"&lt;="&amp;DATE(2027,6,30),'J2 Journaal'!$N:$N,"nee")</f>
        <v/>
      </c>
      <c r="G21" s="14">
        <f>$D21+SUMIFS('J2 Journaal'!$K:$K,'J2 Journaal'!$G:$G,$A21,'J2 Journaal'!$B:$B,"&lt;="&amp;DATE(2027,9,30),'J2 Journaal'!$N:$N,"nee")-SUMIFS('J2 Journaal'!$L:$L,'J2 Journaal'!$G:$G,$A21,'J2 Journaal'!$B:$B,"&lt;="&amp;DATE(2027,9,30),'J2 Journaal'!$N:$N,"nee")</f>
        <v/>
      </c>
      <c r="H21" s="14">
        <f>$D21+SUMIFS('J2 Journaal'!$K:$K,'J2 Journaal'!$G:$G,$A21,'J2 Journaal'!$B:$B,"&lt;="&amp;DATE(2027,12,31),'J2 Journaal'!$N:$N,"nee")-SUMIFS('J2 Journaal'!$L:$L,'J2 Journaal'!$G:$G,$A21,'J2 Journaal'!$B:$B,"&lt;="&amp;DATE(2027,12,31),'J2 Journaal'!$N:$N,"nee")</f>
        <v/>
      </c>
      <c r="I21" s="14">
        <f>$D21+SUMIFS('J2 Journaal'!$K:$K,'J2 Journaal'!$G:$G,$A21)-SUMIFS('J2 Journaal'!$L:$L,'J2 Journaal'!$G:$G,$A21)</f>
        <v/>
      </c>
    </row>
    <row r="22">
      <c r="A22" s="13" t="n">
        <v>411200</v>
      </c>
      <c r="B22" s="13" t="inlineStr">
        <is>
          <t>Aftrekbare btw op uitgaande creditnota’s</t>
        </is>
      </c>
      <c r="C22" s="13" t="inlineStr">
        <is>
          <t>A</t>
        </is>
      </c>
      <c r="D22" s="14" t="n">
        <v>0</v>
      </c>
      <c r="E22" s="14">
        <f>$D22+SUMIFS('J2 Journaal'!$K:$K,'J2 Journaal'!$G:$G,$A22,'J2 Journaal'!$B:$B,"&lt;="&amp;DATE(2027,3,31),'J2 Journaal'!$N:$N,"nee")-SUMIFS('J2 Journaal'!$L:$L,'J2 Journaal'!$G:$G,$A22,'J2 Journaal'!$B:$B,"&lt;="&amp;DATE(2027,3,31),'J2 Journaal'!$N:$N,"nee")</f>
        <v/>
      </c>
      <c r="F22" s="14">
        <f>$D22+SUMIFS('J2 Journaal'!$K:$K,'J2 Journaal'!$G:$G,$A22,'J2 Journaal'!$B:$B,"&lt;="&amp;DATE(2027,6,30),'J2 Journaal'!$N:$N,"nee")-SUMIFS('J2 Journaal'!$L:$L,'J2 Journaal'!$G:$G,$A22,'J2 Journaal'!$B:$B,"&lt;="&amp;DATE(2027,6,30),'J2 Journaal'!$N:$N,"nee")</f>
        <v/>
      </c>
      <c r="G22" s="14">
        <f>$D22+SUMIFS('J2 Journaal'!$K:$K,'J2 Journaal'!$G:$G,$A22,'J2 Journaal'!$B:$B,"&lt;="&amp;DATE(2027,9,30),'J2 Journaal'!$N:$N,"nee")-SUMIFS('J2 Journaal'!$L:$L,'J2 Journaal'!$G:$G,$A22,'J2 Journaal'!$B:$B,"&lt;="&amp;DATE(2027,9,30),'J2 Journaal'!$N:$N,"nee")</f>
        <v/>
      </c>
      <c r="H22" s="14">
        <f>$D22+SUMIFS('J2 Journaal'!$K:$K,'J2 Journaal'!$G:$G,$A22,'J2 Journaal'!$B:$B,"&lt;="&amp;DATE(2027,12,31),'J2 Journaal'!$N:$N,"nee")-SUMIFS('J2 Journaal'!$L:$L,'J2 Journaal'!$G:$G,$A22,'J2 Journaal'!$B:$B,"&lt;="&amp;DATE(2027,12,31),'J2 Journaal'!$N:$N,"nee")</f>
        <v/>
      </c>
      <c r="I22" s="14">
        <f>$D22+SUMIFS('J2 Journaal'!$K:$K,'J2 Journaal'!$G:$G,$A22)-SUMIFS('J2 Journaal'!$L:$L,'J2 Journaal'!$G:$G,$A22)</f>
        <v/>
      </c>
    </row>
    <row r="23">
      <c r="A23" s="13" t="n">
        <v>418000</v>
      </c>
      <c r="B23" s="13" t="inlineStr">
        <is>
          <t>Terug te vorderen verpakking</t>
        </is>
      </c>
      <c r="C23" s="13" t="inlineStr">
        <is>
          <t>A</t>
        </is>
      </c>
      <c r="D23" s="14" t="n">
        <v>0</v>
      </c>
      <c r="E23" s="14">
        <f>$D23+SUMIFS('J2 Journaal'!$K:$K,'J2 Journaal'!$G:$G,$A23,'J2 Journaal'!$B:$B,"&lt;="&amp;DATE(2027,3,31),'J2 Journaal'!$N:$N,"nee")-SUMIFS('J2 Journaal'!$L:$L,'J2 Journaal'!$G:$G,$A23,'J2 Journaal'!$B:$B,"&lt;="&amp;DATE(2027,3,31),'J2 Journaal'!$N:$N,"nee")</f>
        <v/>
      </c>
      <c r="F23" s="14">
        <f>$D23+SUMIFS('J2 Journaal'!$K:$K,'J2 Journaal'!$G:$G,$A23,'J2 Journaal'!$B:$B,"&lt;="&amp;DATE(2027,6,30),'J2 Journaal'!$N:$N,"nee")-SUMIFS('J2 Journaal'!$L:$L,'J2 Journaal'!$G:$G,$A23,'J2 Journaal'!$B:$B,"&lt;="&amp;DATE(2027,6,30),'J2 Journaal'!$N:$N,"nee")</f>
        <v/>
      </c>
      <c r="G23" s="14">
        <f>$D23+SUMIFS('J2 Journaal'!$K:$K,'J2 Journaal'!$G:$G,$A23,'J2 Journaal'!$B:$B,"&lt;="&amp;DATE(2027,9,30),'J2 Journaal'!$N:$N,"nee")-SUMIFS('J2 Journaal'!$L:$L,'J2 Journaal'!$G:$G,$A23,'J2 Journaal'!$B:$B,"&lt;="&amp;DATE(2027,9,30),'J2 Journaal'!$N:$N,"nee")</f>
        <v/>
      </c>
      <c r="H23" s="14">
        <f>$D23+SUMIFS('J2 Journaal'!$K:$K,'J2 Journaal'!$G:$G,$A23,'J2 Journaal'!$B:$B,"&lt;="&amp;DATE(2027,12,31),'J2 Journaal'!$N:$N,"nee")-SUMIFS('J2 Journaal'!$L:$L,'J2 Journaal'!$G:$G,$A23,'J2 Journaal'!$B:$B,"&lt;="&amp;DATE(2027,12,31),'J2 Journaal'!$N:$N,"nee")</f>
        <v/>
      </c>
      <c r="I23" s="14">
        <f>$D23+SUMIFS('J2 Journaal'!$K:$K,'J2 Journaal'!$G:$G,$A23)-SUMIFS('J2 Journaal'!$L:$L,'J2 Journaal'!$G:$G,$A23)</f>
        <v/>
      </c>
    </row>
    <row r="24" hidden="1">
      <c r="A24" s="13" t="n">
        <v>423000</v>
      </c>
      <c r="B24" s="13" t="inlineStr">
        <is>
          <t>Binnen het jaar vervallende schulden aan kredietinstellingen</t>
        </is>
      </c>
      <c r="C24" s="13" t="inlineStr">
        <is>
          <t>P</t>
        </is>
      </c>
      <c r="D24" s="14" t="n">
        <v>0</v>
      </c>
      <c r="E24" s="14">
        <f>$D24+SUMIFS('J2 Journaal'!$K:$K,'J2 Journaal'!$G:$G,$A24,'J2 Journaal'!$B:$B,"&lt;="&amp;DATE(2027,3,31),'J2 Journaal'!$N:$N,"nee")-SUMIFS('J2 Journaal'!$L:$L,'J2 Journaal'!$G:$G,$A24,'J2 Journaal'!$B:$B,"&lt;="&amp;DATE(2027,3,31),'J2 Journaal'!$N:$N,"nee")</f>
        <v/>
      </c>
      <c r="F24" s="14">
        <f>$D24+SUMIFS('J2 Journaal'!$K:$K,'J2 Journaal'!$G:$G,$A24,'J2 Journaal'!$B:$B,"&lt;="&amp;DATE(2027,6,30),'J2 Journaal'!$N:$N,"nee")-SUMIFS('J2 Journaal'!$L:$L,'J2 Journaal'!$G:$G,$A24,'J2 Journaal'!$B:$B,"&lt;="&amp;DATE(2027,6,30),'J2 Journaal'!$N:$N,"nee")</f>
        <v/>
      </c>
      <c r="G24" s="14">
        <f>$D24+SUMIFS('J2 Journaal'!$K:$K,'J2 Journaal'!$G:$G,$A24,'J2 Journaal'!$B:$B,"&lt;="&amp;DATE(2027,9,30),'J2 Journaal'!$N:$N,"nee")-SUMIFS('J2 Journaal'!$L:$L,'J2 Journaal'!$G:$G,$A24,'J2 Journaal'!$B:$B,"&lt;="&amp;DATE(2027,9,30),'J2 Journaal'!$N:$N,"nee")</f>
        <v/>
      </c>
      <c r="H24" s="14">
        <f>$D24+SUMIFS('J2 Journaal'!$K:$K,'J2 Journaal'!$G:$G,$A24,'J2 Journaal'!$B:$B,"&lt;="&amp;DATE(2027,12,31),'J2 Journaal'!$N:$N,"nee")-SUMIFS('J2 Journaal'!$L:$L,'J2 Journaal'!$G:$G,$A24,'J2 Journaal'!$B:$B,"&lt;="&amp;DATE(2027,12,31),'J2 Journaal'!$N:$N,"nee")</f>
        <v/>
      </c>
      <c r="I24" s="14">
        <f>$D24+SUMIFS('J2 Journaal'!$K:$K,'J2 Journaal'!$G:$G,$A24)-SUMIFS('J2 Journaal'!$L:$L,'J2 Journaal'!$G:$G,$A24)</f>
        <v/>
      </c>
    </row>
    <row r="25" hidden="1">
      <c r="A25" s="13" t="n">
        <v>440000</v>
      </c>
      <c r="B25" s="13" t="inlineStr">
        <is>
          <t>Leveranciers</t>
        </is>
      </c>
      <c r="C25" s="13" t="inlineStr">
        <is>
          <t>P</t>
        </is>
      </c>
      <c r="D25" s="14" t="n">
        <v>-7260</v>
      </c>
      <c r="E25" s="14">
        <f>$D25+SUMIFS('J2 Journaal'!$K:$K,'J2 Journaal'!$G:$G,$A25,'J2 Journaal'!$B:$B,"&lt;="&amp;DATE(2027,3,31),'J2 Journaal'!$N:$N,"nee")-SUMIFS('J2 Journaal'!$L:$L,'J2 Journaal'!$G:$G,$A25,'J2 Journaal'!$B:$B,"&lt;="&amp;DATE(2027,3,31),'J2 Journaal'!$N:$N,"nee")</f>
        <v/>
      </c>
      <c r="F25" s="14">
        <f>$D25+SUMIFS('J2 Journaal'!$K:$K,'J2 Journaal'!$G:$G,$A25,'J2 Journaal'!$B:$B,"&lt;="&amp;DATE(2027,6,30),'J2 Journaal'!$N:$N,"nee")-SUMIFS('J2 Journaal'!$L:$L,'J2 Journaal'!$G:$G,$A25,'J2 Journaal'!$B:$B,"&lt;="&amp;DATE(2027,6,30),'J2 Journaal'!$N:$N,"nee")</f>
        <v/>
      </c>
      <c r="G25" s="14">
        <f>$D25+SUMIFS('J2 Journaal'!$K:$K,'J2 Journaal'!$G:$G,$A25,'J2 Journaal'!$B:$B,"&lt;="&amp;DATE(2027,9,30),'J2 Journaal'!$N:$N,"nee")-SUMIFS('J2 Journaal'!$L:$L,'J2 Journaal'!$G:$G,$A25,'J2 Journaal'!$B:$B,"&lt;="&amp;DATE(2027,9,30),'J2 Journaal'!$N:$N,"nee")</f>
        <v/>
      </c>
      <c r="H25" s="14">
        <f>$D25+SUMIFS('J2 Journaal'!$K:$K,'J2 Journaal'!$G:$G,$A25,'J2 Journaal'!$B:$B,"&lt;="&amp;DATE(2027,12,31),'J2 Journaal'!$N:$N,"nee")-SUMIFS('J2 Journaal'!$L:$L,'J2 Journaal'!$G:$G,$A25,'J2 Journaal'!$B:$B,"&lt;="&amp;DATE(2027,12,31),'J2 Journaal'!$N:$N,"nee")</f>
        <v/>
      </c>
      <c r="I25" s="14">
        <f>$D25+SUMIFS('J2 Journaal'!$K:$K,'J2 Journaal'!$G:$G,$A25)-SUMIFS('J2 Journaal'!$L:$L,'J2 Journaal'!$G:$G,$A25)</f>
        <v/>
      </c>
    </row>
    <row r="26" hidden="1">
      <c r="A26" s="13" t="n">
        <v>451000</v>
      </c>
      <c r="B26" s="13" t="inlineStr">
        <is>
          <t>Te betalen btw-saldo</t>
        </is>
      </c>
      <c r="C26" s="13" t="inlineStr">
        <is>
          <t>P</t>
        </is>
      </c>
      <c r="D26" s="14" t="n">
        <v>-1428</v>
      </c>
      <c r="E26" s="14">
        <f>$D26+SUMIFS('J2 Journaal'!$K:$K,'J2 Journaal'!$G:$G,$A26,'J2 Journaal'!$B:$B,"&lt;="&amp;DATE(2027,3,31),'J2 Journaal'!$N:$N,"nee")-SUMIFS('J2 Journaal'!$L:$L,'J2 Journaal'!$G:$G,$A26,'J2 Journaal'!$B:$B,"&lt;="&amp;DATE(2027,3,31),'J2 Journaal'!$N:$N,"nee")</f>
        <v/>
      </c>
      <c r="F26" s="14">
        <f>$D26+SUMIFS('J2 Journaal'!$K:$K,'J2 Journaal'!$G:$G,$A26,'J2 Journaal'!$B:$B,"&lt;="&amp;DATE(2027,6,30),'J2 Journaal'!$N:$N,"nee")-SUMIFS('J2 Journaal'!$L:$L,'J2 Journaal'!$G:$G,$A26,'J2 Journaal'!$B:$B,"&lt;="&amp;DATE(2027,6,30),'J2 Journaal'!$N:$N,"nee")</f>
        <v/>
      </c>
      <c r="G26" s="14">
        <f>$D26+SUMIFS('J2 Journaal'!$K:$K,'J2 Journaal'!$G:$G,$A26,'J2 Journaal'!$B:$B,"&lt;="&amp;DATE(2027,9,30),'J2 Journaal'!$N:$N,"nee")-SUMIFS('J2 Journaal'!$L:$L,'J2 Journaal'!$G:$G,$A26,'J2 Journaal'!$B:$B,"&lt;="&amp;DATE(2027,9,30),'J2 Journaal'!$N:$N,"nee")</f>
        <v/>
      </c>
      <c r="H26" s="14">
        <f>$D26+SUMIFS('J2 Journaal'!$K:$K,'J2 Journaal'!$G:$G,$A26,'J2 Journaal'!$B:$B,"&lt;="&amp;DATE(2027,12,31),'J2 Journaal'!$N:$N,"nee")-SUMIFS('J2 Journaal'!$L:$L,'J2 Journaal'!$G:$G,$A26,'J2 Journaal'!$B:$B,"&lt;="&amp;DATE(2027,12,31),'J2 Journaal'!$N:$N,"nee")</f>
        <v/>
      </c>
      <c r="I26" s="14">
        <f>$D26+SUMIFS('J2 Journaal'!$K:$K,'J2 Journaal'!$G:$G,$A26)-SUMIFS('J2 Journaal'!$L:$L,'J2 Journaal'!$G:$G,$A26)</f>
        <v/>
      </c>
    </row>
    <row r="27">
      <c r="A27" s="13" t="n">
        <v>451100</v>
      </c>
      <c r="B27" s="13" t="inlineStr">
        <is>
          <t>Verschuldigde btw</t>
        </is>
      </c>
      <c r="C27" s="13" t="inlineStr">
        <is>
          <t>P</t>
        </is>
      </c>
      <c r="D27" s="14" t="n">
        <v>0</v>
      </c>
      <c r="E27" s="14">
        <f>$D27+SUMIFS('J2 Journaal'!$K:$K,'J2 Journaal'!$G:$G,$A27,'J2 Journaal'!$B:$B,"&lt;="&amp;DATE(2027,3,31),'J2 Journaal'!$N:$N,"nee")-SUMIFS('J2 Journaal'!$L:$L,'J2 Journaal'!$G:$G,$A27,'J2 Journaal'!$B:$B,"&lt;="&amp;DATE(2027,3,31),'J2 Journaal'!$N:$N,"nee")</f>
        <v/>
      </c>
      <c r="F27" s="14">
        <f>$D27+SUMIFS('J2 Journaal'!$K:$K,'J2 Journaal'!$G:$G,$A27,'J2 Journaal'!$B:$B,"&lt;="&amp;DATE(2027,6,30),'J2 Journaal'!$N:$N,"nee")-SUMIFS('J2 Journaal'!$L:$L,'J2 Journaal'!$G:$G,$A27,'J2 Journaal'!$B:$B,"&lt;="&amp;DATE(2027,6,30),'J2 Journaal'!$N:$N,"nee")</f>
        <v/>
      </c>
      <c r="G27" s="14">
        <f>$D27+SUMIFS('J2 Journaal'!$K:$K,'J2 Journaal'!$G:$G,$A27,'J2 Journaal'!$B:$B,"&lt;="&amp;DATE(2027,9,30),'J2 Journaal'!$N:$N,"nee")-SUMIFS('J2 Journaal'!$L:$L,'J2 Journaal'!$G:$G,$A27,'J2 Journaal'!$B:$B,"&lt;="&amp;DATE(2027,9,30),'J2 Journaal'!$N:$N,"nee")</f>
        <v/>
      </c>
      <c r="H27" s="14">
        <f>$D27+SUMIFS('J2 Journaal'!$K:$K,'J2 Journaal'!$G:$G,$A27,'J2 Journaal'!$B:$B,"&lt;="&amp;DATE(2027,12,31),'J2 Journaal'!$N:$N,"nee")-SUMIFS('J2 Journaal'!$L:$L,'J2 Journaal'!$G:$G,$A27,'J2 Journaal'!$B:$B,"&lt;="&amp;DATE(2027,12,31),'J2 Journaal'!$N:$N,"nee")</f>
        <v/>
      </c>
      <c r="I27" s="14">
        <f>$D27+SUMIFS('J2 Journaal'!$K:$K,'J2 Journaal'!$G:$G,$A27)-SUMIFS('J2 Journaal'!$L:$L,'J2 Journaal'!$G:$G,$A27)</f>
        <v/>
      </c>
    </row>
    <row r="28">
      <c r="A28" s="13" t="n">
        <v>451200</v>
      </c>
      <c r="B28" s="13" t="inlineStr">
        <is>
          <t>Verschuldigde btw op inkomende creditnota’s</t>
        </is>
      </c>
      <c r="C28" s="13" t="inlineStr">
        <is>
          <t>P</t>
        </is>
      </c>
      <c r="D28" s="14" t="n">
        <v>0</v>
      </c>
      <c r="E28" s="14">
        <f>$D28+SUMIFS('J2 Journaal'!$K:$K,'J2 Journaal'!$G:$G,$A28,'J2 Journaal'!$B:$B,"&lt;="&amp;DATE(2027,3,31),'J2 Journaal'!$N:$N,"nee")-SUMIFS('J2 Journaal'!$L:$L,'J2 Journaal'!$G:$G,$A28,'J2 Journaal'!$B:$B,"&lt;="&amp;DATE(2027,3,31),'J2 Journaal'!$N:$N,"nee")</f>
        <v/>
      </c>
      <c r="F28" s="14">
        <f>$D28+SUMIFS('J2 Journaal'!$K:$K,'J2 Journaal'!$G:$G,$A28,'J2 Journaal'!$B:$B,"&lt;="&amp;DATE(2027,6,30),'J2 Journaal'!$N:$N,"nee")-SUMIFS('J2 Journaal'!$L:$L,'J2 Journaal'!$G:$G,$A28,'J2 Journaal'!$B:$B,"&lt;="&amp;DATE(2027,6,30),'J2 Journaal'!$N:$N,"nee")</f>
        <v/>
      </c>
      <c r="G28" s="14">
        <f>$D28+SUMIFS('J2 Journaal'!$K:$K,'J2 Journaal'!$G:$G,$A28,'J2 Journaal'!$B:$B,"&lt;="&amp;DATE(2027,9,30),'J2 Journaal'!$N:$N,"nee")-SUMIFS('J2 Journaal'!$L:$L,'J2 Journaal'!$G:$G,$A28,'J2 Journaal'!$B:$B,"&lt;="&amp;DATE(2027,9,30),'J2 Journaal'!$N:$N,"nee")</f>
        <v/>
      </c>
      <c r="H28" s="14">
        <f>$D28+SUMIFS('J2 Journaal'!$K:$K,'J2 Journaal'!$G:$G,$A28,'J2 Journaal'!$B:$B,"&lt;="&amp;DATE(2027,12,31),'J2 Journaal'!$N:$N,"nee")-SUMIFS('J2 Journaal'!$L:$L,'J2 Journaal'!$G:$G,$A28,'J2 Journaal'!$B:$B,"&lt;="&amp;DATE(2027,12,31),'J2 Journaal'!$N:$N,"nee")</f>
        <v/>
      </c>
      <c r="I28" s="14">
        <f>$D28+SUMIFS('J2 Journaal'!$K:$K,'J2 Journaal'!$G:$G,$A28)-SUMIFS('J2 Journaal'!$L:$L,'J2 Journaal'!$G:$G,$A28)</f>
        <v/>
      </c>
    </row>
    <row r="29" hidden="1">
      <c r="A29" s="13" t="n">
        <v>488000</v>
      </c>
      <c r="B29" s="13" t="inlineStr">
        <is>
          <t>Terug te betalen verpakking</t>
        </is>
      </c>
      <c r="C29" s="13" t="inlineStr">
        <is>
          <t>P</t>
        </is>
      </c>
      <c r="D29" s="14" t="n">
        <v>0</v>
      </c>
      <c r="E29" s="14">
        <f>$D29+SUMIFS('J2 Journaal'!$K:$K,'J2 Journaal'!$G:$G,$A29,'J2 Journaal'!$B:$B,"&lt;="&amp;DATE(2027,3,31),'J2 Journaal'!$N:$N,"nee")-SUMIFS('J2 Journaal'!$L:$L,'J2 Journaal'!$G:$G,$A29,'J2 Journaal'!$B:$B,"&lt;="&amp;DATE(2027,3,31),'J2 Journaal'!$N:$N,"nee")</f>
        <v/>
      </c>
      <c r="F29" s="14">
        <f>$D29+SUMIFS('J2 Journaal'!$K:$K,'J2 Journaal'!$G:$G,$A29,'J2 Journaal'!$B:$B,"&lt;="&amp;DATE(2027,6,30),'J2 Journaal'!$N:$N,"nee")-SUMIFS('J2 Journaal'!$L:$L,'J2 Journaal'!$G:$G,$A29,'J2 Journaal'!$B:$B,"&lt;="&amp;DATE(2027,6,30),'J2 Journaal'!$N:$N,"nee")</f>
        <v/>
      </c>
      <c r="G29" s="14">
        <f>$D29+SUMIFS('J2 Journaal'!$K:$K,'J2 Journaal'!$G:$G,$A29,'J2 Journaal'!$B:$B,"&lt;="&amp;DATE(2027,9,30),'J2 Journaal'!$N:$N,"nee")-SUMIFS('J2 Journaal'!$L:$L,'J2 Journaal'!$G:$G,$A29,'J2 Journaal'!$B:$B,"&lt;="&amp;DATE(2027,9,30),'J2 Journaal'!$N:$N,"nee")</f>
        <v/>
      </c>
      <c r="H29" s="14">
        <f>$D29+SUMIFS('J2 Journaal'!$K:$K,'J2 Journaal'!$G:$G,$A29,'J2 Journaal'!$B:$B,"&lt;="&amp;DATE(2027,12,31),'J2 Journaal'!$N:$N,"nee")-SUMIFS('J2 Journaal'!$L:$L,'J2 Journaal'!$G:$G,$A29,'J2 Journaal'!$B:$B,"&lt;="&amp;DATE(2027,12,31),'J2 Journaal'!$N:$N,"nee")</f>
        <v/>
      </c>
      <c r="I29" s="14">
        <f>$D29+SUMIFS('J2 Journaal'!$K:$K,'J2 Journaal'!$G:$G,$A29)-SUMIFS('J2 Journaal'!$L:$L,'J2 Journaal'!$G:$G,$A29)</f>
        <v/>
      </c>
    </row>
    <row r="30">
      <c r="A30" s="13" t="n">
        <v>550000</v>
      </c>
      <c r="B30" s="13" t="inlineStr">
        <is>
          <t>Bankrekening</t>
        </is>
      </c>
      <c r="C30" s="13" t="inlineStr">
        <is>
          <t>A</t>
        </is>
      </c>
      <c r="D30" s="14" t="n">
        <v>18162</v>
      </c>
      <c r="E30" s="14">
        <f>$D30+SUMIFS('J2 Journaal'!$K:$K,'J2 Journaal'!$G:$G,$A30,'J2 Journaal'!$B:$B,"&lt;="&amp;DATE(2027,3,31),'J2 Journaal'!$N:$N,"nee")-SUMIFS('J2 Journaal'!$L:$L,'J2 Journaal'!$G:$G,$A30,'J2 Journaal'!$B:$B,"&lt;="&amp;DATE(2027,3,31),'J2 Journaal'!$N:$N,"nee")</f>
        <v/>
      </c>
      <c r="F30" s="14">
        <f>$D30+SUMIFS('J2 Journaal'!$K:$K,'J2 Journaal'!$G:$G,$A30,'J2 Journaal'!$B:$B,"&lt;="&amp;DATE(2027,6,30),'J2 Journaal'!$N:$N,"nee")-SUMIFS('J2 Journaal'!$L:$L,'J2 Journaal'!$G:$G,$A30,'J2 Journaal'!$B:$B,"&lt;="&amp;DATE(2027,6,30),'J2 Journaal'!$N:$N,"nee")</f>
        <v/>
      </c>
      <c r="G30" s="14">
        <f>$D30+SUMIFS('J2 Journaal'!$K:$K,'J2 Journaal'!$G:$G,$A30,'J2 Journaal'!$B:$B,"&lt;="&amp;DATE(2027,9,30),'J2 Journaal'!$N:$N,"nee")-SUMIFS('J2 Journaal'!$L:$L,'J2 Journaal'!$G:$G,$A30,'J2 Journaal'!$B:$B,"&lt;="&amp;DATE(2027,9,30),'J2 Journaal'!$N:$N,"nee")</f>
        <v/>
      </c>
      <c r="H30" s="14">
        <f>$D30+SUMIFS('J2 Journaal'!$K:$K,'J2 Journaal'!$G:$G,$A30,'J2 Journaal'!$B:$B,"&lt;="&amp;DATE(2027,12,31),'J2 Journaal'!$N:$N,"nee")-SUMIFS('J2 Journaal'!$L:$L,'J2 Journaal'!$G:$G,$A30,'J2 Journaal'!$B:$B,"&lt;="&amp;DATE(2027,12,31),'J2 Journaal'!$N:$N,"nee")</f>
        <v/>
      </c>
      <c r="I30" s="14">
        <f>$D30+SUMIFS('J2 Journaal'!$K:$K,'J2 Journaal'!$G:$G,$A30)-SUMIFS('J2 Journaal'!$L:$L,'J2 Journaal'!$G:$G,$A30)</f>
        <v/>
      </c>
    </row>
    <row r="31">
      <c r="A31" s="13" t="n">
        <v>570000</v>
      </c>
      <c r="B31" s="13" t="inlineStr">
        <is>
          <t>Kas</t>
        </is>
      </c>
      <c r="C31" s="13" t="inlineStr">
        <is>
          <t>A</t>
        </is>
      </c>
      <c r="D31" s="14" t="n">
        <v>3380</v>
      </c>
      <c r="E31" s="14">
        <f>$D31+SUMIFS('J2 Journaal'!$K:$K,'J2 Journaal'!$G:$G,$A31,'J2 Journaal'!$B:$B,"&lt;="&amp;DATE(2027,3,31),'J2 Journaal'!$N:$N,"nee")-SUMIFS('J2 Journaal'!$L:$L,'J2 Journaal'!$G:$G,$A31,'J2 Journaal'!$B:$B,"&lt;="&amp;DATE(2027,3,31),'J2 Journaal'!$N:$N,"nee")</f>
        <v/>
      </c>
      <c r="F31" s="14">
        <f>$D31+SUMIFS('J2 Journaal'!$K:$K,'J2 Journaal'!$G:$G,$A31,'J2 Journaal'!$B:$B,"&lt;="&amp;DATE(2027,6,30),'J2 Journaal'!$N:$N,"nee")-SUMIFS('J2 Journaal'!$L:$L,'J2 Journaal'!$G:$G,$A31,'J2 Journaal'!$B:$B,"&lt;="&amp;DATE(2027,6,30),'J2 Journaal'!$N:$N,"nee")</f>
        <v/>
      </c>
      <c r="G31" s="14">
        <f>$D31+SUMIFS('J2 Journaal'!$K:$K,'J2 Journaal'!$G:$G,$A31,'J2 Journaal'!$B:$B,"&lt;="&amp;DATE(2027,9,30),'J2 Journaal'!$N:$N,"nee")-SUMIFS('J2 Journaal'!$L:$L,'J2 Journaal'!$G:$G,$A31,'J2 Journaal'!$B:$B,"&lt;="&amp;DATE(2027,9,30),'J2 Journaal'!$N:$N,"nee")</f>
        <v/>
      </c>
      <c r="H31" s="14">
        <f>$D31+SUMIFS('J2 Journaal'!$K:$K,'J2 Journaal'!$G:$G,$A31,'J2 Journaal'!$B:$B,"&lt;="&amp;DATE(2027,12,31),'J2 Journaal'!$N:$N,"nee")-SUMIFS('J2 Journaal'!$L:$L,'J2 Journaal'!$G:$G,$A31,'J2 Journaal'!$B:$B,"&lt;="&amp;DATE(2027,12,31),'J2 Journaal'!$N:$N,"nee")</f>
        <v/>
      </c>
      <c r="I31" s="14">
        <f>$D31+SUMIFS('J2 Journaal'!$K:$K,'J2 Journaal'!$G:$G,$A31)-SUMIFS('J2 Journaal'!$L:$L,'J2 Journaal'!$G:$G,$A31)</f>
        <v/>
      </c>
    </row>
    <row r="32" hidden="1">
      <c r="A32" s="13" t="n">
        <v>580000</v>
      </c>
      <c r="B32" s="13" t="inlineStr">
        <is>
          <t>Interne overboekingen</t>
        </is>
      </c>
      <c r="C32" s="13" t="inlineStr">
        <is>
          <t>A</t>
        </is>
      </c>
      <c r="D32" s="14" t="n">
        <v>0</v>
      </c>
      <c r="E32" s="14">
        <f>$D32+SUMIFS('J2 Journaal'!$K:$K,'J2 Journaal'!$G:$G,$A32,'J2 Journaal'!$B:$B,"&lt;="&amp;DATE(2027,3,31),'J2 Journaal'!$N:$N,"nee")-SUMIFS('J2 Journaal'!$L:$L,'J2 Journaal'!$G:$G,$A32,'J2 Journaal'!$B:$B,"&lt;="&amp;DATE(2027,3,31),'J2 Journaal'!$N:$N,"nee")</f>
        <v/>
      </c>
      <c r="F32" s="14">
        <f>$D32+SUMIFS('J2 Journaal'!$K:$K,'J2 Journaal'!$G:$G,$A32,'J2 Journaal'!$B:$B,"&lt;="&amp;DATE(2027,6,30),'J2 Journaal'!$N:$N,"nee")-SUMIFS('J2 Journaal'!$L:$L,'J2 Journaal'!$G:$G,$A32,'J2 Journaal'!$B:$B,"&lt;="&amp;DATE(2027,6,30),'J2 Journaal'!$N:$N,"nee")</f>
        <v/>
      </c>
      <c r="G32" s="14">
        <f>$D32+SUMIFS('J2 Journaal'!$K:$K,'J2 Journaal'!$G:$G,$A32,'J2 Journaal'!$B:$B,"&lt;="&amp;DATE(2027,9,30),'J2 Journaal'!$N:$N,"nee")-SUMIFS('J2 Journaal'!$L:$L,'J2 Journaal'!$G:$G,$A32,'J2 Journaal'!$B:$B,"&lt;="&amp;DATE(2027,9,30),'J2 Journaal'!$N:$N,"nee")</f>
        <v/>
      </c>
      <c r="H32" s="14">
        <f>$D32+SUMIFS('J2 Journaal'!$K:$K,'J2 Journaal'!$G:$G,$A32,'J2 Journaal'!$B:$B,"&lt;="&amp;DATE(2027,12,31),'J2 Journaal'!$N:$N,"nee")-SUMIFS('J2 Journaal'!$L:$L,'J2 Journaal'!$G:$G,$A32,'J2 Journaal'!$B:$B,"&lt;="&amp;DATE(2027,12,31),'J2 Journaal'!$N:$N,"nee")</f>
        <v/>
      </c>
      <c r="I32" s="14">
        <f>$D32+SUMIFS('J2 Journaal'!$K:$K,'J2 Journaal'!$G:$G,$A32)-SUMIFS('J2 Journaal'!$L:$L,'J2 Journaal'!$G:$G,$A32)</f>
        <v/>
      </c>
    </row>
    <row r="33" hidden="1">
      <c r="A33" s="13" t="n">
        <v>600000</v>
      </c>
      <c r="B33" s="13" t="inlineStr">
        <is>
          <t>Aankopen grondstoffen</t>
        </is>
      </c>
      <c r="C33" s="13" t="inlineStr">
        <is>
          <t>K</t>
        </is>
      </c>
      <c r="D33" s="14" t="n">
        <v>0</v>
      </c>
      <c r="E33" s="14">
        <f>$D33+SUMIFS('J2 Journaal'!$K:$K,'J2 Journaal'!$G:$G,$A33,'J2 Journaal'!$B:$B,"&lt;="&amp;DATE(2027,3,31),'J2 Journaal'!$N:$N,"nee")-SUMIFS('J2 Journaal'!$L:$L,'J2 Journaal'!$G:$G,$A33,'J2 Journaal'!$B:$B,"&lt;="&amp;DATE(2027,3,31),'J2 Journaal'!$N:$N,"nee")</f>
        <v/>
      </c>
      <c r="F33" s="14">
        <f>$D33+SUMIFS('J2 Journaal'!$K:$K,'J2 Journaal'!$G:$G,$A33,'J2 Journaal'!$B:$B,"&lt;="&amp;DATE(2027,6,30),'J2 Journaal'!$N:$N,"nee")-SUMIFS('J2 Journaal'!$L:$L,'J2 Journaal'!$G:$G,$A33,'J2 Journaal'!$B:$B,"&lt;="&amp;DATE(2027,6,30),'J2 Journaal'!$N:$N,"nee")</f>
        <v/>
      </c>
      <c r="G33" s="14">
        <f>$D33+SUMIFS('J2 Journaal'!$K:$K,'J2 Journaal'!$G:$G,$A33,'J2 Journaal'!$B:$B,"&lt;="&amp;DATE(2027,9,30),'J2 Journaal'!$N:$N,"nee")-SUMIFS('J2 Journaal'!$L:$L,'J2 Journaal'!$G:$G,$A33,'J2 Journaal'!$B:$B,"&lt;="&amp;DATE(2027,9,30),'J2 Journaal'!$N:$N,"nee")</f>
        <v/>
      </c>
      <c r="H33" s="14">
        <f>$D33+SUMIFS('J2 Journaal'!$K:$K,'J2 Journaal'!$G:$G,$A33,'J2 Journaal'!$B:$B,"&lt;="&amp;DATE(2027,12,31),'J2 Journaal'!$N:$N,"nee")-SUMIFS('J2 Journaal'!$L:$L,'J2 Journaal'!$G:$G,$A33,'J2 Journaal'!$B:$B,"&lt;="&amp;DATE(2027,12,31),'J2 Journaal'!$N:$N,"nee")</f>
        <v/>
      </c>
      <c r="I33" s="14">
        <f>$D33+SUMIFS('J2 Journaal'!$K:$K,'J2 Journaal'!$G:$G,$A33)-SUMIFS('J2 Journaal'!$L:$L,'J2 Journaal'!$G:$G,$A33)</f>
        <v/>
      </c>
    </row>
    <row r="34">
      <c r="A34" s="13" t="n">
        <v>604000</v>
      </c>
      <c r="B34" s="13" t="inlineStr">
        <is>
          <t>Aankopen handelsgoederen</t>
        </is>
      </c>
      <c r="C34" s="13" t="inlineStr">
        <is>
          <t>K</t>
        </is>
      </c>
      <c r="D34" s="14" t="n">
        <v>0</v>
      </c>
      <c r="E34" s="14">
        <f>$D34+SUMIFS('J2 Journaal'!$K:$K,'J2 Journaal'!$G:$G,$A34,'J2 Journaal'!$B:$B,"&lt;="&amp;DATE(2027,3,31),'J2 Journaal'!$N:$N,"nee")-SUMIFS('J2 Journaal'!$L:$L,'J2 Journaal'!$G:$G,$A34,'J2 Journaal'!$B:$B,"&lt;="&amp;DATE(2027,3,31),'J2 Journaal'!$N:$N,"nee")</f>
        <v/>
      </c>
      <c r="F34" s="14">
        <f>$D34+SUMIFS('J2 Journaal'!$K:$K,'J2 Journaal'!$G:$G,$A34,'J2 Journaal'!$B:$B,"&lt;="&amp;DATE(2027,6,30),'J2 Journaal'!$N:$N,"nee")-SUMIFS('J2 Journaal'!$L:$L,'J2 Journaal'!$G:$G,$A34,'J2 Journaal'!$B:$B,"&lt;="&amp;DATE(2027,6,30),'J2 Journaal'!$N:$N,"nee")</f>
        <v/>
      </c>
      <c r="G34" s="14">
        <f>$D34+SUMIFS('J2 Journaal'!$K:$K,'J2 Journaal'!$G:$G,$A34,'J2 Journaal'!$B:$B,"&lt;="&amp;DATE(2027,9,30),'J2 Journaal'!$N:$N,"nee")-SUMIFS('J2 Journaal'!$L:$L,'J2 Journaal'!$G:$G,$A34,'J2 Journaal'!$B:$B,"&lt;="&amp;DATE(2027,9,30),'J2 Journaal'!$N:$N,"nee")</f>
        <v/>
      </c>
      <c r="H34" s="14">
        <f>$D34+SUMIFS('J2 Journaal'!$K:$K,'J2 Journaal'!$G:$G,$A34,'J2 Journaal'!$B:$B,"&lt;="&amp;DATE(2027,12,31),'J2 Journaal'!$N:$N,"nee")-SUMIFS('J2 Journaal'!$L:$L,'J2 Journaal'!$G:$G,$A34,'J2 Journaal'!$B:$B,"&lt;="&amp;DATE(2027,12,31),'J2 Journaal'!$N:$N,"nee")</f>
        <v/>
      </c>
      <c r="I34" s="14">
        <f>$D34+SUMIFS('J2 Journaal'!$K:$K,'J2 Journaal'!$G:$G,$A34)-SUMIFS('J2 Journaal'!$L:$L,'J2 Journaal'!$G:$G,$A34)</f>
        <v/>
      </c>
    </row>
    <row r="35">
      <c r="A35" s="13" t="n">
        <v>604010</v>
      </c>
      <c r="B35" s="13" t="inlineStr">
        <is>
          <t>Retours op aankopen (-)</t>
        </is>
      </c>
      <c r="C35" s="13" t="inlineStr">
        <is>
          <t>K</t>
        </is>
      </c>
      <c r="D35" s="14" t="n">
        <v>0</v>
      </c>
      <c r="E35" s="14">
        <f>$D35+SUMIFS('J2 Journaal'!$K:$K,'J2 Journaal'!$G:$G,$A35,'J2 Journaal'!$B:$B,"&lt;="&amp;DATE(2027,3,31),'J2 Journaal'!$N:$N,"nee")-SUMIFS('J2 Journaal'!$L:$L,'J2 Journaal'!$G:$G,$A35,'J2 Journaal'!$B:$B,"&lt;="&amp;DATE(2027,3,31),'J2 Journaal'!$N:$N,"nee")</f>
        <v/>
      </c>
      <c r="F35" s="14">
        <f>$D35+SUMIFS('J2 Journaal'!$K:$K,'J2 Journaal'!$G:$G,$A35,'J2 Journaal'!$B:$B,"&lt;="&amp;DATE(2027,6,30),'J2 Journaal'!$N:$N,"nee")-SUMIFS('J2 Journaal'!$L:$L,'J2 Journaal'!$G:$G,$A35,'J2 Journaal'!$B:$B,"&lt;="&amp;DATE(2027,6,30),'J2 Journaal'!$N:$N,"nee")</f>
        <v/>
      </c>
      <c r="G35" s="14">
        <f>$D35+SUMIFS('J2 Journaal'!$K:$K,'J2 Journaal'!$G:$G,$A35,'J2 Journaal'!$B:$B,"&lt;="&amp;DATE(2027,9,30),'J2 Journaal'!$N:$N,"nee")-SUMIFS('J2 Journaal'!$L:$L,'J2 Journaal'!$G:$G,$A35,'J2 Journaal'!$B:$B,"&lt;="&amp;DATE(2027,9,30),'J2 Journaal'!$N:$N,"nee")</f>
        <v/>
      </c>
      <c r="H35" s="14">
        <f>$D35+SUMIFS('J2 Journaal'!$K:$K,'J2 Journaal'!$G:$G,$A35,'J2 Journaal'!$B:$B,"&lt;="&amp;DATE(2027,12,31),'J2 Journaal'!$N:$N,"nee")-SUMIFS('J2 Journaal'!$L:$L,'J2 Journaal'!$G:$G,$A35,'J2 Journaal'!$B:$B,"&lt;="&amp;DATE(2027,12,31),'J2 Journaal'!$N:$N,"nee")</f>
        <v/>
      </c>
      <c r="I35" s="14">
        <f>$D35+SUMIFS('J2 Journaal'!$K:$K,'J2 Journaal'!$G:$G,$A35)-SUMIFS('J2 Journaal'!$L:$L,'J2 Journaal'!$G:$G,$A35)</f>
        <v/>
      </c>
    </row>
    <row r="36">
      <c r="A36" s="13" t="n">
        <v>604020</v>
      </c>
      <c r="B36" s="13" t="inlineStr">
        <is>
          <t>Handelskorting op aankopen (-)</t>
        </is>
      </c>
      <c r="C36" s="13" t="inlineStr">
        <is>
          <t>K</t>
        </is>
      </c>
      <c r="D36" s="14" t="n">
        <v>0</v>
      </c>
      <c r="E36" s="14">
        <f>$D36+SUMIFS('J2 Journaal'!$K:$K,'J2 Journaal'!$G:$G,$A36,'J2 Journaal'!$B:$B,"&lt;="&amp;DATE(2027,3,31),'J2 Journaal'!$N:$N,"nee")-SUMIFS('J2 Journaal'!$L:$L,'J2 Journaal'!$G:$G,$A36,'J2 Journaal'!$B:$B,"&lt;="&amp;DATE(2027,3,31),'J2 Journaal'!$N:$N,"nee")</f>
        <v/>
      </c>
      <c r="F36" s="14">
        <f>$D36+SUMIFS('J2 Journaal'!$K:$K,'J2 Journaal'!$G:$G,$A36,'J2 Journaal'!$B:$B,"&lt;="&amp;DATE(2027,6,30),'J2 Journaal'!$N:$N,"nee")-SUMIFS('J2 Journaal'!$L:$L,'J2 Journaal'!$G:$G,$A36,'J2 Journaal'!$B:$B,"&lt;="&amp;DATE(2027,6,30),'J2 Journaal'!$N:$N,"nee")</f>
        <v/>
      </c>
      <c r="G36" s="14">
        <f>$D36+SUMIFS('J2 Journaal'!$K:$K,'J2 Journaal'!$G:$G,$A36,'J2 Journaal'!$B:$B,"&lt;="&amp;DATE(2027,9,30),'J2 Journaal'!$N:$N,"nee")-SUMIFS('J2 Journaal'!$L:$L,'J2 Journaal'!$G:$G,$A36,'J2 Journaal'!$B:$B,"&lt;="&amp;DATE(2027,9,30),'J2 Journaal'!$N:$N,"nee")</f>
        <v/>
      </c>
      <c r="H36" s="14">
        <f>$D36+SUMIFS('J2 Journaal'!$K:$K,'J2 Journaal'!$G:$G,$A36,'J2 Journaal'!$B:$B,"&lt;="&amp;DATE(2027,12,31),'J2 Journaal'!$N:$N,"nee")-SUMIFS('J2 Journaal'!$L:$L,'J2 Journaal'!$G:$G,$A36,'J2 Journaal'!$B:$B,"&lt;="&amp;DATE(2027,12,31),'J2 Journaal'!$N:$N,"nee")</f>
        <v/>
      </c>
      <c r="I36" s="14">
        <f>$D36+SUMIFS('J2 Journaal'!$K:$K,'J2 Journaal'!$G:$G,$A36)-SUMIFS('J2 Journaal'!$L:$L,'J2 Journaal'!$G:$G,$A36)</f>
        <v/>
      </c>
    </row>
    <row r="37">
      <c r="A37" s="13" t="n">
        <v>604030</v>
      </c>
      <c r="B37" s="13" t="inlineStr">
        <is>
          <t>Aankoopkosten</t>
        </is>
      </c>
      <c r="C37" s="13" t="inlineStr">
        <is>
          <t>K</t>
        </is>
      </c>
      <c r="D37" s="14" t="n">
        <v>0</v>
      </c>
      <c r="E37" s="14">
        <f>$D37+SUMIFS('J2 Journaal'!$K:$K,'J2 Journaal'!$G:$G,$A37,'J2 Journaal'!$B:$B,"&lt;="&amp;DATE(2027,3,31),'J2 Journaal'!$N:$N,"nee")-SUMIFS('J2 Journaal'!$L:$L,'J2 Journaal'!$G:$G,$A37,'J2 Journaal'!$B:$B,"&lt;="&amp;DATE(2027,3,31),'J2 Journaal'!$N:$N,"nee")</f>
        <v/>
      </c>
      <c r="F37" s="14">
        <f>$D37+SUMIFS('J2 Journaal'!$K:$K,'J2 Journaal'!$G:$G,$A37,'J2 Journaal'!$B:$B,"&lt;="&amp;DATE(2027,6,30),'J2 Journaal'!$N:$N,"nee")-SUMIFS('J2 Journaal'!$L:$L,'J2 Journaal'!$G:$G,$A37,'J2 Journaal'!$B:$B,"&lt;="&amp;DATE(2027,6,30),'J2 Journaal'!$N:$N,"nee")</f>
        <v/>
      </c>
      <c r="G37" s="14">
        <f>$D37+SUMIFS('J2 Journaal'!$K:$K,'J2 Journaal'!$G:$G,$A37,'J2 Journaal'!$B:$B,"&lt;="&amp;DATE(2027,9,30),'J2 Journaal'!$N:$N,"nee")-SUMIFS('J2 Journaal'!$L:$L,'J2 Journaal'!$G:$G,$A37,'J2 Journaal'!$B:$B,"&lt;="&amp;DATE(2027,9,30),'J2 Journaal'!$N:$N,"nee")</f>
        <v/>
      </c>
      <c r="H37" s="14">
        <f>$D37+SUMIFS('J2 Journaal'!$K:$K,'J2 Journaal'!$G:$G,$A37,'J2 Journaal'!$B:$B,"&lt;="&amp;DATE(2027,12,31),'J2 Journaal'!$N:$N,"nee")-SUMIFS('J2 Journaal'!$L:$L,'J2 Journaal'!$G:$G,$A37,'J2 Journaal'!$B:$B,"&lt;="&amp;DATE(2027,12,31),'J2 Journaal'!$N:$N,"nee")</f>
        <v/>
      </c>
      <c r="I37" s="14">
        <f>$D37+SUMIFS('J2 Journaal'!$K:$K,'J2 Journaal'!$G:$G,$A37)-SUMIFS('J2 Journaal'!$L:$L,'J2 Journaal'!$G:$G,$A37)</f>
        <v/>
      </c>
    </row>
    <row r="38" hidden="1">
      <c r="A38" s="13" t="n">
        <v>609400</v>
      </c>
      <c r="B38" s="13" t="inlineStr">
        <is>
          <t>Voorraadwijzigingen handelsgoederen</t>
        </is>
      </c>
      <c r="C38" s="13" t="inlineStr">
        <is>
          <t>K</t>
        </is>
      </c>
      <c r="D38" s="14" t="n">
        <v>0</v>
      </c>
      <c r="E38" s="14">
        <f>$D38+SUMIFS('J2 Journaal'!$K:$K,'J2 Journaal'!$G:$G,$A38,'J2 Journaal'!$B:$B,"&lt;="&amp;DATE(2027,3,31),'J2 Journaal'!$N:$N,"nee")-SUMIFS('J2 Journaal'!$L:$L,'J2 Journaal'!$G:$G,$A38,'J2 Journaal'!$B:$B,"&lt;="&amp;DATE(2027,3,31),'J2 Journaal'!$N:$N,"nee")</f>
        <v/>
      </c>
      <c r="F38" s="14">
        <f>$D38+SUMIFS('J2 Journaal'!$K:$K,'J2 Journaal'!$G:$G,$A38,'J2 Journaal'!$B:$B,"&lt;="&amp;DATE(2027,6,30),'J2 Journaal'!$N:$N,"nee")-SUMIFS('J2 Journaal'!$L:$L,'J2 Journaal'!$G:$G,$A38,'J2 Journaal'!$B:$B,"&lt;="&amp;DATE(2027,6,30),'J2 Journaal'!$N:$N,"nee")</f>
        <v/>
      </c>
      <c r="G38" s="14">
        <f>$D38+SUMIFS('J2 Journaal'!$K:$K,'J2 Journaal'!$G:$G,$A38,'J2 Journaal'!$B:$B,"&lt;="&amp;DATE(2027,9,30),'J2 Journaal'!$N:$N,"nee")-SUMIFS('J2 Journaal'!$L:$L,'J2 Journaal'!$G:$G,$A38,'J2 Journaal'!$B:$B,"&lt;="&amp;DATE(2027,9,30),'J2 Journaal'!$N:$N,"nee")</f>
        <v/>
      </c>
      <c r="H38" s="14">
        <f>$D38+SUMIFS('J2 Journaal'!$K:$K,'J2 Journaal'!$G:$G,$A38,'J2 Journaal'!$B:$B,"&lt;="&amp;DATE(2027,12,31),'J2 Journaal'!$N:$N,"nee")-SUMIFS('J2 Journaal'!$L:$L,'J2 Journaal'!$G:$G,$A38,'J2 Journaal'!$B:$B,"&lt;="&amp;DATE(2027,12,31),'J2 Journaal'!$N:$N,"nee")</f>
        <v/>
      </c>
      <c r="I38" s="14">
        <f>$D38+SUMIFS('J2 Journaal'!$K:$K,'J2 Journaal'!$G:$G,$A38)-SUMIFS('J2 Journaal'!$L:$L,'J2 Journaal'!$G:$G,$A38)</f>
        <v/>
      </c>
    </row>
    <row r="39" hidden="1">
      <c r="A39" s="13" t="n">
        <v>611000</v>
      </c>
      <c r="B39" s="13" t="inlineStr">
        <is>
          <t>Huur en huurlasten</t>
        </is>
      </c>
      <c r="C39" s="13" t="inlineStr">
        <is>
          <t>K</t>
        </is>
      </c>
      <c r="D39" s="14" t="n">
        <v>0</v>
      </c>
      <c r="E39" s="14">
        <f>$D39+SUMIFS('J2 Journaal'!$K:$K,'J2 Journaal'!$G:$G,$A39,'J2 Journaal'!$B:$B,"&lt;="&amp;DATE(2027,3,31),'J2 Journaal'!$N:$N,"nee")-SUMIFS('J2 Journaal'!$L:$L,'J2 Journaal'!$G:$G,$A39,'J2 Journaal'!$B:$B,"&lt;="&amp;DATE(2027,3,31),'J2 Journaal'!$N:$N,"nee")</f>
        <v/>
      </c>
      <c r="F39" s="14">
        <f>$D39+SUMIFS('J2 Journaal'!$K:$K,'J2 Journaal'!$G:$G,$A39,'J2 Journaal'!$B:$B,"&lt;="&amp;DATE(2027,6,30),'J2 Journaal'!$N:$N,"nee")-SUMIFS('J2 Journaal'!$L:$L,'J2 Journaal'!$G:$G,$A39,'J2 Journaal'!$B:$B,"&lt;="&amp;DATE(2027,6,30),'J2 Journaal'!$N:$N,"nee")</f>
        <v/>
      </c>
      <c r="G39" s="14">
        <f>$D39+SUMIFS('J2 Journaal'!$K:$K,'J2 Journaal'!$G:$G,$A39,'J2 Journaal'!$B:$B,"&lt;="&amp;DATE(2027,9,30),'J2 Journaal'!$N:$N,"nee")-SUMIFS('J2 Journaal'!$L:$L,'J2 Journaal'!$G:$G,$A39,'J2 Journaal'!$B:$B,"&lt;="&amp;DATE(2027,9,30),'J2 Journaal'!$N:$N,"nee")</f>
        <v/>
      </c>
      <c r="H39" s="14">
        <f>$D39+SUMIFS('J2 Journaal'!$K:$K,'J2 Journaal'!$G:$G,$A39,'J2 Journaal'!$B:$B,"&lt;="&amp;DATE(2027,12,31),'J2 Journaal'!$N:$N,"nee")-SUMIFS('J2 Journaal'!$L:$L,'J2 Journaal'!$G:$G,$A39,'J2 Journaal'!$B:$B,"&lt;="&amp;DATE(2027,12,31),'J2 Journaal'!$N:$N,"nee")</f>
        <v/>
      </c>
      <c r="I39" s="14">
        <f>$D39+SUMIFS('J2 Journaal'!$K:$K,'J2 Journaal'!$G:$G,$A39)-SUMIFS('J2 Journaal'!$L:$L,'J2 Journaal'!$G:$G,$A39)</f>
        <v/>
      </c>
    </row>
    <row r="40" hidden="1">
      <c r="A40" s="13" t="n">
        <v>611800</v>
      </c>
      <c r="B40" s="13" t="inlineStr">
        <is>
          <t>Onderhoud en herstellingen rollend materieel</t>
        </is>
      </c>
      <c r="C40" s="13" t="inlineStr">
        <is>
          <t>K</t>
        </is>
      </c>
      <c r="D40" s="14" t="n">
        <v>0</v>
      </c>
      <c r="E40" s="14">
        <f>$D40+SUMIFS('J2 Journaal'!$K:$K,'J2 Journaal'!$G:$G,$A40,'J2 Journaal'!$B:$B,"&lt;="&amp;DATE(2027,3,31),'J2 Journaal'!$N:$N,"nee")-SUMIFS('J2 Journaal'!$L:$L,'J2 Journaal'!$G:$G,$A40,'J2 Journaal'!$B:$B,"&lt;="&amp;DATE(2027,3,31),'J2 Journaal'!$N:$N,"nee")</f>
        <v/>
      </c>
      <c r="F40" s="14">
        <f>$D40+SUMIFS('J2 Journaal'!$K:$K,'J2 Journaal'!$G:$G,$A40,'J2 Journaal'!$B:$B,"&lt;="&amp;DATE(2027,6,30),'J2 Journaal'!$N:$N,"nee")-SUMIFS('J2 Journaal'!$L:$L,'J2 Journaal'!$G:$G,$A40,'J2 Journaal'!$B:$B,"&lt;="&amp;DATE(2027,6,30),'J2 Journaal'!$N:$N,"nee")</f>
        <v/>
      </c>
      <c r="G40" s="14">
        <f>$D40+SUMIFS('J2 Journaal'!$K:$K,'J2 Journaal'!$G:$G,$A40,'J2 Journaal'!$B:$B,"&lt;="&amp;DATE(2027,9,30),'J2 Journaal'!$N:$N,"nee")-SUMIFS('J2 Journaal'!$L:$L,'J2 Journaal'!$G:$G,$A40,'J2 Journaal'!$B:$B,"&lt;="&amp;DATE(2027,9,30),'J2 Journaal'!$N:$N,"nee")</f>
        <v/>
      </c>
      <c r="H40" s="14">
        <f>$D40+SUMIFS('J2 Journaal'!$K:$K,'J2 Journaal'!$G:$G,$A40,'J2 Journaal'!$B:$B,"&lt;="&amp;DATE(2027,12,31),'J2 Journaal'!$N:$N,"nee")-SUMIFS('J2 Journaal'!$L:$L,'J2 Journaal'!$G:$G,$A40,'J2 Journaal'!$B:$B,"&lt;="&amp;DATE(2027,12,31),'J2 Journaal'!$N:$N,"nee")</f>
        <v/>
      </c>
      <c r="I40" s="14">
        <f>$D40+SUMIFS('J2 Journaal'!$K:$K,'J2 Journaal'!$G:$G,$A40)-SUMIFS('J2 Journaal'!$L:$L,'J2 Journaal'!$G:$G,$A40)</f>
        <v/>
      </c>
    </row>
    <row r="41" hidden="1">
      <c r="A41" s="13" t="n">
        <v>612000</v>
      </c>
      <c r="B41" s="13" t="inlineStr">
        <is>
          <t>Kantoorbenodigdheden en drukwerk</t>
        </is>
      </c>
      <c r="C41" s="13" t="inlineStr">
        <is>
          <t>K</t>
        </is>
      </c>
      <c r="D41" s="14" t="n">
        <v>0</v>
      </c>
      <c r="E41" s="14">
        <f>$D41+SUMIFS('J2 Journaal'!$K:$K,'J2 Journaal'!$G:$G,$A41,'J2 Journaal'!$B:$B,"&lt;="&amp;DATE(2027,3,31),'J2 Journaal'!$N:$N,"nee")-SUMIFS('J2 Journaal'!$L:$L,'J2 Journaal'!$G:$G,$A41,'J2 Journaal'!$B:$B,"&lt;="&amp;DATE(2027,3,31),'J2 Journaal'!$N:$N,"nee")</f>
        <v/>
      </c>
      <c r="F41" s="14">
        <f>$D41+SUMIFS('J2 Journaal'!$K:$K,'J2 Journaal'!$G:$G,$A41,'J2 Journaal'!$B:$B,"&lt;="&amp;DATE(2027,6,30),'J2 Journaal'!$N:$N,"nee")-SUMIFS('J2 Journaal'!$L:$L,'J2 Journaal'!$G:$G,$A41,'J2 Journaal'!$B:$B,"&lt;="&amp;DATE(2027,6,30),'J2 Journaal'!$N:$N,"nee")</f>
        <v/>
      </c>
      <c r="G41" s="14">
        <f>$D41+SUMIFS('J2 Journaal'!$K:$K,'J2 Journaal'!$G:$G,$A41,'J2 Journaal'!$B:$B,"&lt;="&amp;DATE(2027,9,30),'J2 Journaal'!$N:$N,"nee")-SUMIFS('J2 Journaal'!$L:$L,'J2 Journaal'!$G:$G,$A41,'J2 Journaal'!$B:$B,"&lt;="&amp;DATE(2027,9,30),'J2 Journaal'!$N:$N,"nee")</f>
        <v/>
      </c>
      <c r="H41" s="14">
        <f>$D41+SUMIFS('J2 Journaal'!$K:$K,'J2 Journaal'!$G:$G,$A41,'J2 Journaal'!$B:$B,"&lt;="&amp;DATE(2027,12,31),'J2 Journaal'!$N:$N,"nee")-SUMIFS('J2 Journaal'!$L:$L,'J2 Journaal'!$G:$G,$A41,'J2 Journaal'!$B:$B,"&lt;="&amp;DATE(2027,12,31),'J2 Journaal'!$N:$N,"nee")</f>
        <v/>
      </c>
      <c r="I41" s="14">
        <f>$D41+SUMIFS('J2 Journaal'!$K:$K,'J2 Journaal'!$G:$G,$A41)-SUMIFS('J2 Journaal'!$L:$L,'J2 Journaal'!$G:$G,$A41)</f>
        <v/>
      </c>
    </row>
    <row r="42">
      <c r="A42" s="13" t="n">
        <v>612700</v>
      </c>
      <c r="B42" s="13" t="inlineStr">
        <is>
          <t>Verbruik elektriciteit</t>
        </is>
      </c>
      <c r="C42" s="13" t="inlineStr">
        <is>
          <t>K</t>
        </is>
      </c>
      <c r="D42" s="14" t="n">
        <v>0</v>
      </c>
      <c r="E42" s="14">
        <f>$D42+SUMIFS('J2 Journaal'!$K:$K,'J2 Journaal'!$G:$G,$A42,'J2 Journaal'!$B:$B,"&lt;="&amp;DATE(2027,3,31),'J2 Journaal'!$N:$N,"nee")-SUMIFS('J2 Journaal'!$L:$L,'J2 Journaal'!$G:$G,$A42,'J2 Journaal'!$B:$B,"&lt;="&amp;DATE(2027,3,31),'J2 Journaal'!$N:$N,"nee")</f>
        <v/>
      </c>
      <c r="F42" s="14">
        <f>$D42+SUMIFS('J2 Journaal'!$K:$K,'J2 Journaal'!$G:$G,$A42,'J2 Journaal'!$B:$B,"&lt;="&amp;DATE(2027,6,30),'J2 Journaal'!$N:$N,"nee")-SUMIFS('J2 Journaal'!$L:$L,'J2 Journaal'!$G:$G,$A42,'J2 Journaal'!$B:$B,"&lt;="&amp;DATE(2027,6,30),'J2 Journaal'!$N:$N,"nee")</f>
        <v/>
      </c>
      <c r="G42" s="14">
        <f>$D42+SUMIFS('J2 Journaal'!$K:$K,'J2 Journaal'!$G:$G,$A42,'J2 Journaal'!$B:$B,"&lt;="&amp;DATE(2027,9,30),'J2 Journaal'!$N:$N,"nee")-SUMIFS('J2 Journaal'!$L:$L,'J2 Journaal'!$G:$G,$A42,'J2 Journaal'!$B:$B,"&lt;="&amp;DATE(2027,9,30),'J2 Journaal'!$N:$N,"nee")</f>
        <v/>
      </c>
      <c r="H42" s="14">
        <f>$D42+SUMIFS('J2 Journaal'!$K:$K,'J2 Journaal'!$G:$G,$A42,'J2 Journaal'!$B:$B,"&lt;="&amp;DATE(2027,12,31),'J2 Journaal'!$N:$N,"nee")-SUMIFS('J2 Journaal'!$L:$L,'J2 Journaal'!$G:$G,$A42,'J2 Journaal'!$B:$B,"&lt;="&amp;DATE(2027,12,31),'J2 Journaal'!$N:$N,"nee")</f>
        <v/>
      </c>
      <c r="I42" s="14">
        <f>$D42+SUMIFS('J2 Journaal'!$K:$K,'J2 Journaal'!$G:$G,$A42)-SUMIFS('J2 Journaal'!$L:$L,'J2 Journaal'!$G:$G,$A42)</f>
        <v/>
      </c>
    </row>
    <row r="43" hidden="1">
      <c r="A43" s="13" t="n">
        <v>613200</v>
      </c>
      <c r="B43" s="13" t="inlineStr">
        <is>
          <t>Erelonen boekhouders</t>
        </is>
      </c>
      <c r="C43" s="13" t="inlineStr">
        <is>
          <t>K</t>
        </is>
      </c>
      <c r="D43" s="14" t="n">
        <v>0</v>
      </c>
      <c r="E43" s="14">
        <f>$D43+SUMIFS('J2 Journaal'!$K:$K,'J2 Journaal'!$G:$G,$A43,'J2 Journaal'!$B:$B,"&lt;="&amp;DATE(2027,3,31),'J2 Journaal'!$N:$N,"nee")-SUMIFS('J2 Journaal'!$L:$L,'J2 Journaal'!$G:$G,$A43,'J2 Journaal'!$B:$B,"&lt;="&amp;DATE(2027,3,31),'J2 Journaal'!$N:$N,"nee")</f>
        <v/>
      </c>
      <c r="F43" s="14">
        <f>$D43+SUMIFS('J2 Journaal'!$K:$K,'J2 Journaal'!$G:$G,$A43,'J2 Journaal'!$B:$B,"&lt;="&amp;DATE(2027,6,30),'J2 Journaal'!$N:$N,"nee")-SUMIFS('J2 Journaal'!$L:$L,'J2 Journaal'!$G:$G,$A43,'J2 Journaal'!$B:$B,"&lt;="&amp;DATE(2027,6,30),'J2 Journaal'!$N:$N,"nee")</f>
        <v/>
      </c>
      <c r="G43" s="14">
        <f>$D43+SUMIFS('J2 Journaal'!$K:$K,'J2 Journaal'!$G:$G,$A43,'J2 Journaal'!$B:$B,"&lt;="&amp;DATE(2027,9,30),'J2 Journaal'!$N:$N,"nee")-SUMIFS('J2 Journaal'!$L:$L,'J2 Journaal'!$G:$G,$A43,'J2 Journaal'!$B:$B,"&lt;="&amp;DATE(2027,9,30),'J2 Journaal'!$N:$N,"nee")</f>
        <v/>
      </c>
      <c r="H43" s="14">
        <f>$D43+SUMIFS('J2 Journaal'!$K:$K,'J2 Journaal'!$G:$G,$A43,'J2 Journaal'!$B:$B,"&lt;="&amp;DATE(2027,12,31),'J2 Journaal'!$N:$N,"nee")-SUMIFS('J2 Journaal'!$L:$L,'J2 Journaal'!$G:$G,$A43,'J2 Journaal'!$B:$B,"&lt;="&amp;DATE(2027,12,31),'J2 Journaal'!$N:$N,"nee")</f>
        <v/>
      </c>
      <c r="I43" s="14">
        <f>$D43+SUMIFS('J2 Journaal'!$K:$K,'J2 Journaal'!$G:$G,$A43)-SUMIFS('J2 Journaal'!$L:$L,'J2 Journaal'!$G:$G,$A43)</f>
        <v/>
      </c>
    </row>
    <row r="44" hidden="1">
      <c r="A44" s="13" t="n">
        <v>616200</v>
      </c>
      <c r="B44" s="13" t="inlineStr">
        <is>
          <t>Telefoon, gsm</t>
        </is>
      </c>
      <c r="C44" s="13" t="inlineStr">
        <is>
          <t>K</t>
        </is>
      </c>
      <c r="D44" s="14" t="n">
        <v>0</v>
      </c>
      <c r="E44" s="14">
        <f>$D44+SUMIFS('J2 Journaal'!$K:$K,'J2 Journaal'!$G:$G,$A44,'J2 Journaal'!$B:$B,"&lt;="&amp;DATE(2027,3,31),'J2 Journaal'!$N:$N,"nee")-SUMIFS('J2 Journaal'!$L:$L,'J2 Journaal'!$G:$G,$A44,'J2 Journaal'!$B:$B,"&lt;="&amp;DATE(2027,3,31),'J2 Journaal'!$N:$N,"nee")</f>
        <v/>
      </c>
      <c r="F44" s="14">
        <f>$D44+SUMIFS('J2 Journaal'!$K:$K,'J2 Journaal'!$G:$G,$A44,'J2 Journaal'!$B:$B,"&lt;="&amp;DATE(2027,6,30),'J2 Journaal'!$N:$N,"nee")-SUMIFS('J2 Journaal'!$L:$L,'J2 Journaal'!$G:$G,$A44,'J2 Journaal'!$B:$B,"&lt;="&amp;DATE(2027,6,30),'J2 Journaal'!$N:$N,"nee")</f>
        <v/>
      </c>
      <c r="G44" s="14">
        <f>$D44+SUMIFS('J2 Journaal'!$K:$K,'J2 Journaal'!$G:$G,$A44,'J2 Journaal'!$B:$B,"&lt;="&amp;DATE(2027,9,30),'J2 Journaal'!$N:$N,"nee")-SUMIFS('J2 Journaal'!$L:$L,'J2 Journaal'!$G:$G,$A44,'J2 Journaal'!$B:$B,"&lt;="&amp;DATE(2027,9,30),'J2 Journaal'!$N:$N,"nee")</f>
        <v/>
      </c>
      <c r="H44" s="14">
        <f>$D44+SUMIFS('J2 Journaal'!$K:$K,'J2 Journaal'!$G:$G,$A44,'J2 Journaal'!$B:$B,"&lt;="&amp;DATE(2027,12,31),'J2 Journaal'!$N:$N,"nee")-SUMIFS('J2 Journaal'!$L:$L,'J2 Journaal'!$G:$G,$A44,'J2 Journaal'!$B:$B,"&lt;="&amp;DATE(2027,12,31),'J2 Journaal'!$N:$N,"nee")</f>
        <v/>
      </c>
      <c r="I44" s="14">
        <f>$D44+SUMIFS('J2 Journaal'!$K:$K,'J2 Journaal'!$G:$G,$A44)-SUMIFS('J2 Journaal'!$L:$L,'J2 Journaal'!$G:$G,$A44)</f>
        <v/>
      </c>
    </row>
    <row r="45">
      <c r="A45" s="13" t="n">
        <v>616300</v>
      </c>
      <c r="B45" s="13" t="inlineStr">
        <is>
          <t>Internetkosten</t>
        </is>
      </c>
      <c r="C45" s="13" t="inlineStr">
        <is>
          <t>K</t>
        </is>
      </c>
      <c r="D45" s="14" t="n">
        <v>0</v>
      </c>
      <c r="E45" s="14">
        <f>$D45+SUMIFS('J2 Journaal'!$K:$K,'J2 Journaal'!$G:$G,$A45,'J2 Journaal'!$B:$B,"&lt;="&amp;DATE(2027,3,31),'J2 Journaal'!$N:$N,"nee")-SUMIFS('J2 Journaal'!$L:$L,'J2 Journaal'!$G:$G,$A45,'J2 Journaal'!$B:$B,"&lt;="&amp;DATE(2027,3,31),'J2 Journaal'!$N:$N,"nee")</f>
        <v/>
      </c>
      <c r="F45" s="14">
        <f>$D45+SUMIFS('J2 Journaal'!$K:$K,'J2 Journaal'!$G:$G,$A45,'J2 Journaal'!$B:$B,"&lt;="&amp;DATE(2027,6,30),'J2 Journaal'!$N:$N,"nee")-SUMIFS('J2 Journaal'!$L:$L,'J2 Journaal'!$G:$G,$A45,'J2 Journaal'!$B:$B,"&lt;="&amp;DATE(2027,6,30),'J2 Journaal'!$N:$N,"nee")</f>
        <v/>
      </c>
      <c r="G45" s="14">
        <f>$D45+SUMIFS('J2 Journaal'!$K:$K,'J2 Journaal'!$G:$G,$A45,'J2 Journaal'!$B:$B,"&lt;="&amp;DATE(2027,9,30),'J2 Journaal'!$N:$N,"nee")-SUMIFS('J2 Journaal'!$L:$L,'J2 Journaal'!$G:$G,$A45,'J2 Journaal'!$B:$B,"&lt;="&amp;DATE(2027,9,30),'J2 Journaal'!$N:$N,"nee")</f>
        <v/>
      </c>
      <c r="H45" s="14">
        <f>$D45+SUMIFS('J2 Journaal'!$K:$K,'J2 Journaal'!$G:$G,$A45,'J2 Journaal'!$B:$B,"&lt;="&amp;DATE(2027,12,31),'J2 Journaal'!$N:$N,"nee")-SUMIFS('J2 Journaal'!$L:$L,'J2 Journaal'!$G:$G,$A45,'J2 Journaal'!$B:$B,"&lt;="&amp;DATE(2027,12,31),'J2 Journaal'!$N:$N,"nee")</f>
        <v/>
      </c>
      <c r="I45" s="14">
        <f>$D45+SUMIFS('J2 Journaal'!$K:$K,'J2 Journaal'!$G:$G,$A45)-SUMIFS('J2 Journaal'!$L:$L,'J2 Journaal'!$G:$G,$A45)</f>
        <v/>
      </c>
    </row>
    <row r="46" hidden="1">
      <c r="A46" s="13" t="n">
        <v>616520</v>
      </c>
      <c r="B46" s="13" t="inlineStr">
        <is>
          <t>Publiciteitskosten</t>
        </is>
      </c>
      <c r="C46" s="13" t="inlineStr">
        <is>
          <t>K</t>
        </is>
      </c>
      <c r="D46" s="14" t="n">
        <v>0</v>
      </c>
      <c r="E46" s="14">
        <f>$D46+SUMIFS('J2 Journaal'!$K:$K,'J2 Journaal'!$G:$G,$A46,'J2 Journaal'!$B:$B,"&lt;="&amp;DATE(2027,3,31),'J2 Journaal'!$N:$N,"nee")-SUMIFS('J2 Journaal'!$L:$L,'J2 Journaal'!$G:$G,$A46,'J2 Journaal'!$B:$B,"&lt;="&amp;DATE(2027,3,31),'J2 Journaal'!$N:$N,"nee")</f>
        <v/>
      </c>
      <c r="F46" s="14">
        <f>$D46+SUMIFS('J2 Journaal'!$K:$K,'J2 Journaal'!$G:$G,$A46,'J2 Journaal'!$B:$B,"&lt;="&amp;DATE(2027,6,30),'J2 Journaal'!$N:$N,"nee")-SUMIFS('J2 Journaal'!$L:$L,'J2 Journaal'!$G:$G,$A46,'J2 Journaal'!$B:$B,"&lt;="&amp;DATE(2027,6,30),'J2 Journaal'!$N:$N,"nee")</f>
        <v/>
      </c>
      <c r="G46" s="14">
        <f>$D46+SUMIFS('J2 Journaal'!$K:$K,'J2 Journaal'!$G:$G,$A46,'J2 Journaal'!$B:$B,"&lt;="&amp;DATE(2027,9,30),'J2 Journaal'!$N:$N,"nee")-SUMIFS('J2 Journaal'!$L:$L,'J2 Journaal'!$G:$G,$A46,'J2 Journaal'!$B:$B,"&lt;="&amp;DATE(2027,9,30),'J2 Journaal'!$N:$N,"nee")</f>
        <v/>
      </c>
      <c r="H46" s="14">
        <f>$D46+SUMIFS('J2 Journaal'!$K:$K,'J2 Journaal'!$G:$G,$A46,'J2 Journaal'!$B:$B,"&lt;="&amp;DATE(2027,12,31),'J2 Journaal'!$N:$N,"nee")-SUMIFS('J2 Journaal'!$L:$L,'J2 Journaal'!$G:$G,$A46,'J2 Journaal'!$B:$B,"&lt;="&amp;DATE(2027,12,31),'J2 Journaal'!$N:$N,"nee")</f>
        <v/>
      </c>
      <c r="I46" s="14">
        <f>$D46+SUMIFS('J2 Journaal'!$K:$K,'J2 Journaal'!$G:$G,$A46)-SUMIFS('J2 Journaal'!$L:$L,'J2 Journaal'!$G:$G,$A46)</f>
        <v/>
      </c>
    </row>
    <row r="47" hidden="1">
      <c r="A47" s="13" t="n">
        <v>630200</v>
      </c>
      <c r="B47" s="13" t="inlineStr">
        <is>
          <t>Afschrijvingen op materiële vaste activa</t>
        </is>
      </c>
      <c r="C47" s="13" t="inlineStr">
        <is>
          <t>K</t>
        </is>
      </c>
      <c r="D47" s="14" t="n">
        <v>0</v>
      </c>
      <c r="E47" s="14">
        <f>$D47+SUMIFS('J2 Journaal'!$K:$K,'J2 Journaal'!$G:$G,$A47,'J2 Journaal'!$B:$B,"&lt;="&amp;DATE(2027,3,31),'J2 Journaal'!$N:$N,"nee")-SUMIFS('J2 Journaal'!$L:$L,'J2 Journaal'!$G:$G,$A47,'J2 Journaal'!$B:$B,"&lt;="&amp;DATE(2027,3,31),'J2 Journaal'!$N:$N,"nee")</f>
        <v/>
      </c>
      <c r="F47" s="14">
        <f>$D47+SUMIFS('J2 Journaal'!$K:$K,'J2 Journaal'!$G:$G,$A47,'J2 Journaal'!$B:$B,"&lt;="&amp;DATE(2027,6,30),'J2 Journaal'!$N:$N,"nee")-SUMIFS('J2 Journaal'!$L:$L,'J2 Journaal'!$G:$G,$A47,'J2 Journaal'!$B:$B,"&lt;="&amp;DATE(2027,6,30),'J2 Journaal'!$N:$N,"nee")</f>
        <v/>
      </c>
      <c r="G47" s="14">
        <f>$D47+SUMIFS('J2 Journaal'!$K:$K,'J2 Journaal'!$G:$G,$A47,'J2 Journaal'!$B:$B,"&lt;="&amp;DATE(2027,9,30),'J2 Journaal'!$N:$N,"nee")-SUMIFS('J2 Journaal'!$L:$L,'J2 Journaal'!$G:$G,$A47,'J2 Journaal'!$B:$B,"&lt;="&amp;DATE(2027,9,30),'J2 Journaal'!$N:$N,"nee")</f>
        <v/>
      </c>
      <c r="H47" s="14">
        <f>$D47+SUMIFS('J2 Journaal'!$K:$K,'J2 Journaal'!$G:$G,$A47,'J2 Journaal'!$B:$B,"&lt;="&amp;DATE(2027,12,31),'J2 Journaal'!$N:$N,"nee")-SUMIFS('J2 Journaal'!$L:$L,'J2 Journaal'!$G:$G,$A47,'J2 Journaal'!$B:$B,"&lt;="&amp;DATE(2027,12,31),'J2 Journaal'!$N:$N,"nee")</f>
        <v/>
      </c>
      <c r="I47" s="14">
        <f>$D47+SUMIFS('J2 Journaal'!$K:$K,'J2 Journaal'!$G:$G,$A47)-SUMIFS('J2 Journaal'!$L:$L,'J2 Journaal'!$G:$G,$A47)</f>
        <v/>
      </c>
    </row>
    <row r="48" hidden="1">
      <c r="A48" s="13" t="n">
        <v>630300</v>
      </c>
      <c r="B48" s="13" t="inlineStr">
        <is>
          <t>Afschrijvingen op meubilair en rollend materieel</t>
        </is>
      </c>
      <c r="C48" s="13" t="inlineStr">
        <is>
          <t>K</t>
        </is>
      </c>
      <c r="D48" s="14" t="n">
        <v>0</v>
      </c>
      <c r="E48" s="14">
        <f>$D48+SUMIFS('J2 Journaal'!$K:$K,'J2 Journaal'!$G:$G,$A48,'J2 Journaal'!$B:$B,"&lt;="&amp;DATE(2027,3,31),'J2 Journaal'!$N:$N,"nee")-SUMIFS('J2 Journaal'!$L:$L,'J2 Journaal'!$G:$G,$A48,'J2 Journaal'!$B:$B,"&lt;="&amp;DATE(2027,3,31),'J2 Journaal'!$N:$N,"nee")</f>
        <v/>
      </c>
      <c r="F48" s="14">
        <f>$D48+SUMIFS('J2 Journaal'!$K:$K,'J2 Journaal'!$G:$G,$A48,'J2 Journaal'!$B:$B,"&lt;="&amp;DATE(2027,6,30),'J2 Journaal'!$N:$N,"nee")-SUMIFS('J2 Journaal'!$L:$L,'J2 Journaal'!$G:$G,$A48,'J2 Journaal'!$B:$B,"&lt;="&amp;DATE(2027,6,30),'J2 Journaal'!$N:$N,"nee")</f>
        <v/>
      </c>
      <c r="G48" s="14">
        <f>$D48+SUMIFS('J2 Journaal'!$K:$K,'J2 Journaal'!$G:$G,$A48,'J2 Journaal'!$B:$B,"&lt;="&amp;DATE(2027,9,30),'J2 Journaal'!$N:$N,"nee")-SUMIFS('J2 Journaal'!$L:$L,'J2 Journaal'!$G:$G,$A48,'J2 Journaal'!$B:$B,"&lt;="&amp;DATE(2027,9,30),'J2 Journaal'!$N:$N,"nee")</f>
        <v/>
      </c>
      <c r="H48" s="14">
        <f>$D48+SUMIFS('J2 Journaal'!$K:$K,'J2 Journaal'!$G:$G,$A48,'J2 Journaal'!$B:$B,"&lt;="&amp;DATE(2027,12,31),'J2 Journaal'!$N:$N,"nee")-SUMIFS('J2 Journaal'!$L:$L,'J2 Journaal'!$G:$G,$A48,'J2 Journaal'!$B:$B,"&lt;="&amp;DATE(2027,12,31),'J2 Journaal'!$N:$N,"nee")</f>
        <v/>
      </c>
      <c r="I48" s="14">
        <f>$D48+SUMIFS('J2 Journaal'!$K:$K,'J2 Journaal'!$G:$G,$A48)-SUMIFS('J2 Journaal'!$L:$L,'J2 Journaal'!$G:$G,$A48)</f>
        <v/>
      </c>
    </row>
    <row r="49">
      <c r="A49" s="13" t="n">
        <v>650000</v>
      </c>
      <c r="B49" s="13" t="inlineStr">
        <is>
          <t>Rente, commissies en kosten verbonden aan schulden</t>
        </is>
      </c>
      <c r="C49" s="13" t="inlineStr">
        <is>
          <t>K</t>
        </is>
      </c>
      <c r="D49" s="14" t="n">
        <v>0</v>
      </c>
      <c r="E49" s="14">
        <f>$D49+SUMIFS('J2 Journaal'!$K:$K,'J2 Journaal'!$G:$G,$A49,'J2 Journaal'!$B:$B,"&lt;="&amp;DATE(2027,3,31),'J2 Journaal'!$N:$N,"nee")-SUMIFS('J2 Journaal'!$L:$L,'J2 Journaal'!$G:$G,$A49,'J2 Journaal'!$B:$B,"&lt;="&amp;DATE(2027,3,31),'J2 Journaal'!$N:$N,"nee")</f>
        <v/>
      </c>
      <c r="F49" s="14">
        <f>$D49+SUMIFS('J2 Journaal'!$K:$K,'J2 Journaal'!$G:$G,$A49,'J2 Journaal'!$B:$B,"&lt;="&amp;DATE(2027,6,30),'J2 Journaal'!$N:$N,"nee")-SUMIFS('J2 Journaal'!$L:$L,'J2 Journaal'!$G:$G,$A49,'J2 Journaal'!$B:$B,"&lt;="&amp;DATE(2027,6,30),'J2 Journaal'!$N:$N,"nee")</f>
        <v/>
      </c>
      <c r="G49" s="14">
        <f>$D49+SUMIFS('J2 Journaal'!$K:$K,'J2 Journaal'!$G:$G,$A49,'J2 Journaal'!$B:$B,"&lt;="&amp;DATE(2027,9,30),'J2 Journaal'!$N:$N,"nee")-SUMIFS('J2 Journaal'!$L:$L,'J2 Journaal'!$G:$G,$A49,'J2 Journaal'!$B:$B,"&lt;="&amp;DATE(2027,9,30),'J2 Journaal'!$N:$N,"nee")</f>
        <v/>
      </c>
      <c r="H49" s="14">
        <f>$D49+SUMIFS('J2 Journaal'!$K:$K,'J2 Journaal'!$G:$G,$A49,'J2 Journaal'!$B:$B,"&lt;="&amp;DATE(2027,12,31),'J2 Journaal'!$N:$N,"nee")-SUMIFS('J2 Journaal'!$L:$L,'J2 Journaal'!$G:$G,$A49,'J2 Journaal'!$B:$B,"&lt;="&amp;DATE(2027,12,31),'J2 Journaal'!$N:$N,"nee")</f>
        <v/>
      </c>
      <c r="I49" s="14">
        <f>$D49+SUMIFS('J2 Journaal'!$K:$K,'J2 Journaal'!$G:$G,$A49)-SUMIFS('J2 Journaal'!$L:$L,'J2 Journaal'!$G:$G,$A49)</f>
        <v/>
      </c>
    </row>
    <row r="50">
      <c r="A50" s="13" t="n">
        <v>657000</v>
      </c>
      <c r="B50" s="13" t="inlineStr">
        <is>
          <t>Betalingskortingen aan klanten</t>
        </is>
      </c>
      <c r="C50" s="13" t="inlineStr">
        <is>
          <t>K</t>
        </is>
      </c>
      <c r="D50" s="14" t="n">
        <v>0</v>
      </c>
      <c r="E50" s="14">
        <f>$D50+SUMIFS('J2 Journaal'!$K:$K,'J2 Journaal'!$G:$G,$A50,'J2 Journaal'!$B:$B,"&lt;="&amp;DATE(2027,3,31),'J2 Journaal'!$N:$N,"nee")-SUMIFS('J2 Journaal'!$L:$L,'J2 Journaal'!$G:$G,$A50,'J2 Journaal'!$B:$B,"&lt;="&amp;DATE(2027,3,31),'J2 Journaal'!$N:$N,"nee")</f>
        <v/>
      </c>
      <c r="F50" s="14">
        <f>$D50+SUMIFS('J2 Journaal'!$K:$K,'J2 Journaal'!$G:$G,$A50,'J2 Journaal'!$B:$B,"&lt;="&amp;DATE(2027,6,30),'J2 Journaal'!$N:$N,"nee")-SUMIFS('J2 Journaal'!$L:$L,'J2 Journaal'!$G:$G,$A50,'J2 Journaal'!$B:$B,"&lt;="&amp;DATE(2027,6,30),'J2 Journaal'!$N:$N,"nee")</f>
        <v/>
      </c>
      <c r="G50" s="14">
        <f>$D50+SUMIFS('J2 Journaal'!$K:$K,'J2 Journaal'!$G:$G,$A50,'J2 Journaal'!$B:$B,"&lt;="&amp;DATE(2027,9,30),'J2 Journaal'!$N:$N,"nee")-SUMIFS('J2 Journaal'!$L:$L,'J2 Journaal'!$G:$G,$A50,'J2 Journaal'!$B:$B,"&lt;="&amp;DATE(2027,9,30),'J2 Journaal'!$N:$N,"nee")</f>
        <v/>
      </c>
      <c r="H50" s="14">
        <f>$D50+SUMIFS('J2 Journaal'!$K:$K,'J2 Journaal'!$G:$G,$A50,'J2 Journaal'!$B:$B,"&lt;="&amp;DATE(2027,12,31),'J2 Journaal'!$N:$N,"nee")-SUMIFS('J2 Journaal'!$L:$L,'J2 Journaal'!$G:$G,$A50,'J2 Journaal'!$B:$B,"&lt;="&amp;DATE(2027,12,31),'J2 Journaal'!$N:$N,"nee")</f>
        <v/>
      </c>
      <c r="I50" s="14">
        <f>$D50+SUMIFS('J2 Journaal'!$K:$K,'J2 Journaal'!$G:$G,$A50)-SUMIFS('J2 Journaal'!$L:$L,'J2 Journaal'!$G:$G,$A50)</f>
        <v/>
      </c>
    </row>
    <row r="51" hidden="1">
      <c r="A51" s="13" t="n">
        <v>693000</v>
      </c>
      <c r="B51" s="13" t="inlineStr">
        <is>
          <t>Over te dragen winst</t>
        </is>
      </c>
      <c r="C51" s="13" t="inlineStr">
        <is>
          <t>K</t>
        </is>
      </c>
      <c r="D51" s="14" t="n">
        <v>0</v>
      </c>
      <c r="E51" s="14">
        <f>$D51+SUMIFS('J2 Journaal'!$K:$K,'J2 Journaal'!$G:$G,$A51,'J2 Journaal'!$B:$B,"&lt;="&amp;DATE(2027,3,31),'J2 Journaal'!$N:$N,"nee")-SUMIFS('J2 Journaal'!$L:$L,'J2 Journaal'!$G:$G,$A51,'J2 Journaal'!$B:$B,"&lt;="&amp;DATE(2027,3,31),'J2 Journaal'!$N:$N,"nee")</f>
        <v/>
      </c>
      <c r="F51" s="14">
        <f>$D51+SUMIFS('J2 Journaal'!$K:$K,'J2 Journaal'!$G:$G,$A51,'J2 Journaal'!$B:$B,"&lt;="&amp;DATE(2027,6,30),'J2 Journaal'!$N:$N,"nee")-SUMIFS('J2 Journaal'!$L:$L,'J2 Journaal'!$G:$G,$A51,'J2 Journaal'!$B:$B,"&lt;="&amp;DATE(2027,6,30),'J2 Journaal'!$N:$N,"nee")</f>
        <v/>
      </c>
      <c r="G51" s="14">
        <f>$D51+SUMIFS('J2 Journaal'!$K:$K,'J2 Journaal'!$G:$G,$A51,'J2 Journaal'!$B:$B,"&lt;="&amp;DATE(2027,9,30),'J2 Journaal'!$N:$N,"nee")-SUMIFS('J2 Journaal'!$L:$L,'J2 Journaal'!$G:$G,$A51,'J2 Journaal'!$B:$B,"&lt;="&amp;DATE(2027,9,30),'J2 Journaal'!$N:$N,"nee")</f>
        <v/>
      </c>
      <c r="H51" s="14">
        <f>$D51+SUMIFS('J2 Journaal'!$K:$K,'J2 Journaal'!$G:$G,$A51,'J2 Journaal'!$B:$B,"&lt;="&amp;DATE(2027,12,31),'J2 Journaal'!$N:$N,"nee")-SUMIFS('J2 Journaal'!$L:$L,'J2 Journaal'!$G:$G,$A51,'J2 Journaal'!$B:$B,"&lt;="&amp;DATE(2027,12,31),'J2 Journaal'!$N:$N,"nee")</f>
        <v/>
      </c>
      <c r="I51" s="14">
        <f>$D51+SUMIFS('J2 Journaal'!$K:$K,'J2 Journaal'!$G:$G,$A51)-SUMIFS('J2 Journaal'!$L:$L,'J2 Journaal'!$G:$G,$A51)</f>
        <v/>
      </c>
    </row>
    <row r="52">
      <c r="A52" s="13" t="n">
        <v>700000</v>
      </c>
      <c r="B52" s="13" t="inlineStr">
        <is>
          <t>Verkopen en dienstprestaties</t>
        </is>
      </c>
      <c r="C52" s="13" t="inlineStr">
        <is>
          <t>O</t>
        </is>
      </c>
      <c r="D52" s="14" t="n">
        <v>0</v>
      </c>
      <c r="E52" s="14">
        <f>$D52+SUMIFS('J2 Journaal'!$K:$K,'J2 Journaal'!$G:$G,$A52,'J2 Journaal'!$B:$B,"&lt;="&amp;DATE(2027,3,31),'J2 Journaal'!$N:$N,"nee")-SUMIFS('J2 Journaal'!$L:$L,'J2 Journaal'!$G:$G,$A52,'J2 Journaal'!$B:$B,"&lt;="&amp;DATE(2027,3,31),'J2 Journaal'!$N:$N,"nee")</f>
        <v/>
      </c>
      <c r="F52" s="14">
        <f>$D52+SUMIFS('J2 Journaal'!$K:$K,'J2 Journaal'!$G:$G,$A52,'J2 Journaal'!$B:$B,"&lt;="&amp;DATE(2027,6,30),'J2 Journaal'!$N:$N,"nee")-SUMIFS('J2 Journaal'!$L:$L,'J2 Journaal'!$G:$G,$A52,'J2 Journaal'!$B:$B,"&lt;="&amp;DATE(2027,6,30),'J2 Journaal'!$N:$N,"nee")</f>
        <v/>
      </c>
      <c r="G52" s="14">
        <f>$D52+SUMIFS('J2 Journaal'!$K:$K,'J2 Journaal'!$G:$G,$A52,'J2 Journaal'!$B:$B,"&lt;="&amp;DATE(2027,9,30),'J2 Journaal'!$N:$N,"nee")-SUMIFS('J2 Journaal'!$L:$L,'J2 Journaal'!$G:$G,$A52,'J2 Journaal'!$B:$B,"&lt;="&amp;DATE(2027,9,30),'J2 Journaal'!$N:$N,"nee")</f>
        <v/>
      </c>
      <c r="H52" s="14">
        <f>$D52+SUMIFS('J2 Journaal'!$K:$K,'J2 Journaal'!$G:$G,$A52,'J2 Journaal'!$B:$B,"&lt;="&amp;DATE(2027,12,31),'J2 Journaal'!$N:$N,"nee")-SUMIFS('J2 Journaal'!$L:$L,'J2 Journaal'!$G:$G,$A52,'J2 Journaal'!$B:$B,"&lt;="&amp;DATE(2027,12,31),'J2 Journaal'!$N:$N,"nee")</f>
        <v/>
      </c>
      <c r="I52" s="14">
        <f>$D52+SUMIFS('J2 Journaal'!$K:$K,'J2 Journaal'!$G:$G,$A52)-SUMIFS('J2 Journaal'!$L:$L,'J2 Journaal'!$G:$G,$A52)</f>
        <v/>
      </c>
    </row>
    <row r="53">
      <c r="A53" s="13" t="n">
        <v>704000</v>
      </c>
      <c r="B53" s="13" t="inlineStr">
        <is>
          <t>Verkopen handelsgoederen</t>
        </is>
      </c>
      <c r="C53" s="13" t="inlineStr">
        <is>
          <t>O</t>
        </is>
      </c>
      <c r="D53" s="14" t="n">
        <v>0</v>
      </c>
      <c r="E53" s="14">
        <f>$D53+SUMIFS('J2 Journaal'!$K:$K,'J2 Journaal'!$G:$G,$A53,'J2 Journaal'!$B:$B,"&lt;="&amp;DATE(2027,3,31),'J2 Journaal'!$N:$N,"nee")-SUMIFS('J2 Journaal'!$L:$L,'J2 Journaal'!$G:$G,$A53,'J2 Journaal'!$B:$B,"&lt;="&amp;DATE(2027,3,31),'J2 Journaal'!$N:$N,"nee")</f>
        <v/>
      </c>
      <c r="F53" s="14">
        <f>$D53+SUMIFS('J2 Journaal'!$K:$K,'J2 Journaal'!$G:$G,$A53,'J2 Journaal'!$B:$B,"&lt;="&amp;DATE(2027,6,30),'J2 Journaal'!$N:$N,"nee")-SUMIFS('J2 Journaal'!$L:$L,'J2 Journaal'!$G:$G,$A53,'J2 Journaal'!$B:$B,"&lt;="&amp;DATE(2027,6,30),'J2 Journaal'!$N:$N,"nee")</f>
        <v/>
      </c>
      <c r="G53" s="14">
        <f>$D53+SUMIFS('J2 Journaal'!$K:$K,'J2 Journaal'!$G:$G,$A53,'J2 Journaal'!$B:$B,"&lt;="&amp;DATE(2027,9,30),'J2 Journaal'!$N:$N,"nee")-SUMIFS('J2 Journaal'!$L:$L,'J2 Journaal'!$G:$G,$A53,'J2 Journaal'!$B:$B,"&lt;="&amp;DATE(2027,9,30),'J2 Journaal'!$N:$N,"nee")</f>
        <v/>
      </c>
      <c r="H53" s="14">
        <f>$D53+SUMIFS('J2 Journaal'!$K:$K,'J2 Journaal'!$G:$G,$A53,'J2 Journaal'!$B:$B,"&lt;="&amp;DATE(2027,12,31),'J2 Journaal'!$N:$N,"nee")-SUMIFS('J2 Journaal'!$L:$L,'J2 Journaal'!$G:$G,$A53,'J2 Journaal'!$B:$B,"&lt;="&amp;DATE(2027,12,31),'J2 Journaal'!$N:$N,"nee")</f>
        <v/>
      </c>
      <c r="I53" s="14">
        <f>$D53+SUMIFS('J2 Journaal'!$K:$K,'J2 Journaal'!$G:$G,$A53)-SUMIFS('J2 Journaal'!$L:$L,'J2 Journaal'!$G:$G,$A53)</f>
        <v/>
      </c>
    </row>
    <row r="54">
      <c r="A54" s="13" t="n">
        <v>704010</v>
      </c>
      <c r="B54" s="13" t="inlineStr">
        <is>
          <t>Retours op verkopen (-)</t>
        </is>
      </c>
      <c r="C54" s="13" t="inlineStr">
        <is>
          <t>O</t>
        </is>
      </c>
      <c r="D54" s="14" t="n">
        <v>0</v>
      </c>
      <c r="E54" s="14">
        <f>$D54+SUMIFS('J2 Journaal'!$K:$K,'J2 Journaal'!$G:$G,$A54,'J2 Journaal'!$B:$B,"&lt;="&amp;DATE(2027,3,31),'J2 Journaal'!$N:$N,"nee")-SUMIFS('J2 Journaal'!$L:$L,'J2 Journaal'!$G:$G,$A54,'J2 Journaal'!$B:$B,"&lt;="&amp;DATE(2027,3,31),'J2 Journaal'!$N:$N,"nee")</f>
        <v/>
      </c>
      <c r="F54" s="14">
        <f>$D54+SUMIFS('J2 Journaal'!$K:$K,'J2 Journaal'!$G:$G,$A54,'J2 Journaal'!$B:$B,"&lt;="&amp;DATE(2027,6,30),'J2 Journaal'!$N:$N,"nee")-SUMIFS('J2 Journaal'!$L:$L,'J2 Journaal'!$G:$G,$A54,'J2 Journaal'!$B:$B,"&lt;="&amp;DATE(2027,6,30),'J2 Journaal'!$N:$N,"nee")</f>
        <v/>
      </c>
      <c r="G54" s="14">
        <f>$D54+SUMIFS('J2 Journaal'!$K:$K,'J2 Journaal'!$G:$G,$A54,'J2 Journaal'!$B:$B,"&lt;="&amp;DATE(2027,9,30),'J2 Journaal'!$N:$N,"nee")-SUMIFS('J2 Journaal'!$L:$L,'J2 Journaal'!$G:$G,$A54,'J2 Journaal'!$B:$B,"&lt;="&amp;DATE(2027,9,30),'J2 Journaal'!$N:$N,"nee")</f>
        <v/>
      </c>
      <c r="H54" s="14">
        <f>$D54+SUMIFS('J2 Journaal'!$K:$K,'J2 Journaal'!$G:$G,$A54,'J2 Journaal'!$B:$B,"&lt;="&amp;DATE(2027,12,31),'J2 Journaal'!$N:$N,"nee")-SUMIFS('J2 Journaal'!$L:$L,'J2 Journaal'!$G:$G,$A54,'J2 Journaal'!$B:$B,"&lt;="&amp;DATE(2027,12,31),'J2 Journaal'!$N:$N,"nee")</f>
        <v/>
      </c>
      <c r="I54" s="14">
        <f>$D54+SUMIFS('J2 Journaal'!$K:$K,'J2 Journaal'!$G:$G,$A54)-SUMIFS('J2 Journaal'!$L:$L,'J2 Journaal'!$G:$G,$A54)</f>
        <v/>
      </c>
    </row>
    <row r="55">
      <c r="A55" s="13" t="n">
        <v>704020</v>
      </c>
      <c r="B55" s="13" t="inlineStr">
        <is>
          <t>Handelskorting op verkopen (-)</t>
        </is>
      </c>
      <c r="C55" s="13" t="inlineStr">
        <is>
          <t>O</t>
        </is>
      </c>
      <c r="D55" s="14" t="n">
        <v>0</v>
      </c>
      <c r="E55" s="14">
        <f>$D55+SUMIFS('J2 Journaal'!$K:$K,'J2 Journaal'!$G:$G,$A55,'J2 Journaal'!$B:$B,"&lt;="&amp;DATE(2027,3,31),'J2 Journaal'!$N:$N,"nee")-SUMIFS('J2 Journaal'!$L:$L,'J2 Journaal'!$G:$G,$A55,'J2 Journaal'!$B:$B,"&lt;="&amp;DATE(2027,3,31),'J2 Journaal'!$N:$N,"nee")</f>
        <v/>
      </c>
      <c r="F55" s="14">
        <f>$D55+SUMIFS('J2 Journaal'!$K:$K,'J2 Journaal'!$G:$G,$A55,'J2 Journaal'!$B:$B,"&lt;="&amp;DATE(2027,6,30),'J2 Journaal'!$N:$N,"nee")-SUMIFS('J2 Journaal'!$L:$L,'J2 Journaal'!$G:$G,$A55,'J2 Journaal'!$B:$B,"&lt;="&amp;DATE(2027,6,30),'J2 Journaal'!$N:$N,"nee")</f>
        <v/>
      </c>
      <c r="G55" s="14">
        <f>$D55+SUMIFS('J2 Journaal'!$K:$K,'J2 Journaal'!$G:$G,$A55,'J2 Journaal'!$B:$B,"&lt;="&amp;DATE(2027,9,30),'J2 Journaal'!$N:$N,"nee")-SUMIFS('J2 Journaal'!$L:$L,'J2 Journaal'!$G:$G,$A55,'J2 Journaal'!$B:$B,"&lt;="&amp;DATE(2027,9,30),'J2 Journaal'!$N:$N,"nee")</f>
        <v/>
      </c>
      <c r="H55" s="14">
        <f>$D55+SUMIFS('J2 Journaal'!$K:$K,'J2 Journaal'!$G:$G,$A55,'J2 Journaal'!$B:$B,"&lt;="&amp;DATE(2027,12,31),'J2 Journaal'!$N:$N,"nee")-SUMIFS('J2 Journaal'!$L:$L,'J2 Journaal'!$G:$G,$A55,'J2 Journaal'!$B:$B,"&lt;="&amp;DATE(2027,12,31),'J2 Journaal'!$N:$N,"nee")</f>
        <v/>
      </c>
      <c r="I55" s="14">
        <f>$D55+SUMIFS('J2 Journaal'!$K:$K,'J2 Journaal'!$G:$G,$A55)-SUMIFS('J2 Journaal'!$L:$L,'J2 Journaal'!$G:$G,$A55)</f>
        <v/>
      </c>
    </row>
    <row r="56">
      <c r="A56" s="13" t="n">
        <v>746000</v>
      </c>
      <c r="B56" s="13" t="inlineStr">
        <is>
          <t>Doorgerekende kosten</t>
        </is>
      </c>
      <c r="C56" s="13" t="inlineStr">
        <is>
          <t>O</t>
        </is>
      </c>
      <c r="D56" s="14" t="n">
        <v>0</v>
      </c>
      <c r="E56" s="14">
        <f>$D56+SUMIFS('J2 Journaal'!$K:$K,'J2 Journaal'!$G:$G,$A56,'J2 Journaal'!$B:$B,"&lt;="&amp;DATE(2027,3,31),'J2 Journaal'!$N:$N,"nee")-SUMIFS('J2 Journaal'!$L:$L,'J2 Journaal'!$G:$G,$A56,'J2 Journaal'!$B:$B,"&lt;="&amp;DATE(2027,3,31),'J2 Journaal'!$N:$N,"nee")</f>
        <v/>
      </c>
      <c r="F56" s="14">
        <f>$D56+SUMIFS('J2 Journaal'!$K:$K,'J2 Journaal'!$G:$G,$A56,'J2 Journaal'!$B:$B,"&lt;="&amp;DATE(2027,6,30),'J2 Journaal'!$N:$N,"nee")-SUMIFS('J2 Journaal'!$L:$L,'J2 Journaal'!$G:$G,$A56,'J2 Journaal'!$B:$B,"&lt;="&amp;DATE(2027,6,30),'J2 Journaal'!$N:$N,"nee")</f>
        <v/>
      </c>
      <c r="G56" s="14">
        <f>$D56+SUMIFS('J2 Journaal'!$K:$K,'J2 Journaal'!$G:$G,$A56,'J2 Journaal'!$B:$B,"&lt;="&amp;DATE(2027,9,30),'J2 Journaal'!$N:$N,"nee")-SUMIFS('J2 Journaal'!$L:$L,'J2 Journaal'!$G:$G,$A56,'J2 Journaal'!$B:$B,"&lt;="&amp;DATE(2027,9,30),'J2 Journaal'!$N:$N,"nee")</f>
        <v/>
      </c>
      <c r="H56" s="14">
        <f>$D56+SUMIFS('J2 Journaal'!$K:$K,'J2 Journaal'!$G:$G,$A56,'J2 Journaal'!$B:$B,"&lt;="&amp;DATE(2027,12,31),'J2 Journaal'!$N:$N,"nee")-SUMIFS('J2 Journaal'!$L:$L,'J2 Journaal'!$G:$G,$A56,'J2 Journaal'!$B:$B,"&lt;="&amp;DATE(2027,12,31),'J2 Journaal'!$N:$N,"nee")</f>
        <v/>
      </c>
      <c r="I56" s="14">
        <f>$D56+SUMIFS('J2 Journaal'!$K:$K,'J2 Journaal'!$G:$G,$A56)-SUMIFS('J2 Journaal'!$L:$L,'J2 Journaal'!$G:$G,$A56)</f>
        <v/>
      </c>
    </row>
    <row r="57">
      <c r="A57" s="13" t="n">
        <v>757000</v>
      </c>
      <c r="B57" s="13" t="inlineStr">
        <is>
          <t>Betalingskortingen van leveranciers</t>
        </is>
      </c>
      <c r="C57" s="13" t="inlineStr">
        <is>
          <t>O</t>
        </is>
      </c>
      <c r="D57" s="14" t="n">
        <v>0</v>
      </c>
      <c r="E57" s="14">
        <f>$D57+SUMIFS('J2 Journaal'!$K:$K,'J2 Journaal'!$G:$G,$A57,'J2 Journaal'!$B:$B,"&lt;="&amp;DATE(2027,3,31),'J2 Journaal'!$N:$N,"nee")-SUMIFS('J2 Journaal'!$L:$L,'J2 Journaal'!$G:$G,$A57,'J2 Journaal'!$B:$B,"&lt;="&amp;DATE(2027,3,31),'J2 Journaal'!$N:$N,"nee")</f>
        <v/>
      </c>
      <c r="F57" s="14">
        <f>$D57+SUMIFS('J2 Journaal'!$K:$K,'J2 Journaal'!$G:$G,$A57,'J2 Journaal'!$B:$B,"&lt;="&amp;DATE(2027,6,30),'J2 Journaal'!$N:$N,"nee")-SUMIFS('J2 Journaal'!$L:$L,'J2 Journaal'!$G:$G,$A57,'J2 Journaal'!$B:$B,"&lt;="&amp;DATE(2027,6,30),'J2 Journaal'!$N:$N,"nee")</f>
        <v/>
      </c>
      <c r="G57" s="14">
        <f>$D57+SUMIFS('J2 Journaal'!$K:$K,'J2 Journaal'!$G:$G,$A57,'J2 Journaal'!$B:$B,"&lt;="&amp;DATE(2027,9,30),'J2 Journaal'!$N:$N,"nee")-SUMIFS('J2 Journaal'!$L:$L,'J2 Journaal'!$G:$G,$A57,'J2 Journaal'!$B:$B,"&lt;="&amp;DATE(2027,9,30),'J2 Journaal'!$N:$N,"nee")</f>
        <v/>
      </c>
      <c r="H57" s="14">
        <f>$D57+SUMIFS('J2 Journaal'!$K:$K,'J2 Journaal'!$G:$G,$A57,'J2 Journaal'!$B:$B,"&lt;="&amp;DATE(2027,12,31),'J2 Journaal'!$N:$N,"nee")-SUMIFS('J2 Journaal'!$L:$L,'J2 Journaal'!$G:$G,$A57,'J2 Journaal'!$B:$B,"&lt;="&amp;DATE(2027,12,31),'J2 Journaal'!$N:$N,"nee")</f>
        <v/>
      </c>
      <c r="I57" s="14">
        <f>$D57+SUMIFS('J2 Journaal'!$K:$K,'J2 Journaal'!$G:$G,$A57)-SUMIFS('J2 Journaal'!$L:$L,'J2 Journaal'!$G:$G,$A57)</f>
        <v/>
      </c>
    </row>
    <row r="58" hidden="1">
      <c r="A58" s="13" t="n">
        <v>793000</v>
      </c>
      <c r="B58" s="13" t="inlineStr">
        <is>
          <t>Over te dragen verlies</t>
        </is>
      </c>
      <c r="C58" s="13" t="inlineStr">
        <is>
          <t>O</t>
        </is>
      </c>
      <c r="D58" s="14" t="n">
        <v>0</v>
      </c>
      <c r="E58" s="14">
        <f>$D58+SUMIFS('J2 Journaal'!$K:$K,'J2 Journaal'!$G:$G,$A58,'J2 Journaal'!$B:$B,"&lt;="&amp;DATE(2027,3,31),'J2 Journaal'!$N:$N,"nee")-SUMIFS('J2 Journaal'!$L:$L,'J2 Journaal'!$G:$G,$A58,'J2 Journaal'!$B:$B,"&lt;="&amp;DATE(2027,3,31),'J2 Journaal'!$N:$N,"nee")</f>
        <v/>
      </c>
      <c r="F58" s="14">
        <f>$D58+SUMIFS('J2 Journaal'!$K:$K,'J2 Journaal'!$G:$G,$A58,'J2 Journaal'!$B:$B,"&lt;="&amp;DATE(2027,6,30),'J2 Journaal'!$N:$N,"nee")-SUMIFS('J2 Journaal'!$L:$L,'J2 Journaal'!$G:$G,$A58,'J2 Journaal'!$B:$B,"&lt;="&amp;DATE(2027,6,30),'J2 Journaal'!$N:$N,"nee")</f>
        <v/>
      </c>
      <c r="G58" s="14">
        <f>$D58+SUMIFS('J2 Journaal'!$K:$K,'J2 Journaal'!$G:$G,$A58,'J2 Journaal'!$B:$B,"&lt;="&amp;DATE(2027,9,30),'J2 Journaal'!$N:$N,"nee")-SUMIFS('J2 Journaal'!$L:$L,'J2 Journaal'!$G:$G,$A58,'J2 Journaal'!$B:$B,"&lt;="&amp;DATE(2027,9,30),'J2 Journaal'!$N:$N,"nee")</f>
        <v/>
      </c>
      <c r="H58" s="14">
        <f>$D58+SUMIFS('J2 Journaal'!$K:$K,'J2 Journaal'!$G:$G,$A58,'J2 Journaal'!$B:$B,"&lt;="&amp;DATE(2027,12,31),'J2 Journaal'!$N:$N,"nee")-SUMIFS('J2 Journaal'!$L:$L,'J2 Journaal'!$G:$G,$A58,'J2 Journaal'!$B:$B,"&lt;="&amp;DATE(2027,12,31),'J2 Journaal'!$N:$N,"nee")</f>
        <v/>
      </c>
      <c r="I58" s="14">
        <f>$D58+SUMIFS('J2 Journaal'!$K:$K,'J2 Journaal'!$G:$G,$A58)-SUMIFS('J2 Journaal'!$L:$L,'J2 Journaal'!$G:$G,$A58)</f>
        <v/>
      </c>
    </row>
    <row r="59" hidden="1">
      <c r="B59" s="2" t="inlineStr">
        <is>
          <t>TOTAAL (moet 0 zijn)</t>
        </is>
      </c>
      <c r="D59" s="19">
        <f>ROUND(SUM(D2:D58),2)</f>
        <v/>
      </c>
      <c r="E59" s="19">
        <f>ROUND(SUM(E2:E58),2)</f>
        <v/>
      </c>
      <c r="F59" s="19">
        <f>ROUND(SUM(F2:F58),2)</f>
        <v/>
      </c>
      <c r="G59" s="19">
        <f>ROUND(SUM(G2:G58),2)</f>
        <v/>
      </c>
      <c r="H59" s="19">
        <f>ROUND(SUM(H2:H58),2)</f>
        <v/>
      </c>
      <c r="I59" s="19">
        <f>ROUND(SUM(I2:I58),2)</f>
        <v/>
      </c>
    </row>
    <row r="61">
      <c r="B61" s="2" t="inlineStr">
        <is>
          <t>Resultaat (opbrengsten - kosten) vóór afsluiting</t>
        </is>
      </c>
      <c r="H61" s="17">
        <f>-SUMIFS(H2:H58,C2:C58,"K")-SUMIFS(H2:H58,C2:C58,"O")</f>
        <v/>
      </c>
    </row>
  </sheetData>
  <autoFilter ref="A1:I59">
    <filterColumn colId="7" hiddenButton="0" showButton="1">
      <filters>
        <filter val="-1.200,00"/>
        <filter val="1.300,00"/>
        <filter val="1.500,00"/>
        <filter val="100,00"/>
        <filter val="-100,00"/>
        <filter val="11.720,00"/>
        <filter val="-189,00"/>
        <filter val="2.100,00"/>
        <filter val="2.720,00"/>
        <filter val="-20.000,00"/>
        <filter val="-21.570,00"/>
        <filter val="-25.500,00"/>
        <filter val="250,00"/>
        <filter val="-3.200,00"/>
        <filter val="3.360,00"/>
        <filter val="-3.400,00"/>
        <filter val="3.876,00"/>
        <filter val="30.000,00"/>
        <filter val="300,00"/>
        <filter val="-300,00"/>
        <filter val="-400,00"/>
        <filter val="44.997,00"/>
        <filter val="-5.811,00"/>
        <filter val="500,00"/>
        <filter val="545,00"/>
        <filter val="567,00"/>
        <filter val="60.400,00"/>
        <filter val="600,00"/>
        <filter val="-700,00"/>
        <filter val="-720,00"/>
        <filter val="-8.100,00"/>
        <filter val="-83.500,00"/>
        <filter val="855,00"/>
        <filter val="9.000,00"/>
      </filters>
    </filterColumn>
  </autoFilter>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K13"/>
  <sheetViews>
    <sheetView zoomScaleNormal="100" workbookViewId="0">
      <pane ySplit="1" topLeftCell="A2" activePane="bottomLeft" state="frozen"/>
      <selection pane="bottomLeft" activeCell="A1" sqref="A1"/>
    </sheetView>
  </sheetViews>
  <sheetFormatPr baseColWidth="8" defaultColWidth="8.6328125" defaultRowHeight="14.5"/>
  <cols>
    <col width="9" customWidth="1" min="1" max="1"/>
    <col width="32" customWidth="1" min="2" max="2"/>
    <col width="8" customWidth="1" min="3" max="3"/>
    <col width="10" customWidth="1" min="4" max="7"/>
    <col width="11" customWidth="1" min="8" max="10"/>
    <col width="14" customWidth="1" min="11" max="11"/>
  </cols>
  <sheetData>
    <row r="1" ht="30" customHeight="1">
      <c r="A1" s="1" t="inlineStr">
        <is>
          <t>Artikel</t>
        </is>
      </c>
      <c r="B1" s="1" t="inlineStr">
        <is>
          <t>Omschrijving</t>
        </is>
      </c>
      <c r="C1" s="1" t="inlineStr">
        <is>
          <t>Begin</t>
        </is>
      </c>
      <c r="D1" s="1" t="inlineStr">
        <is>
          <t>+ aankopen</t>
        </is>
      </c>
      <c r="E1" s="1" t="inlineStr">
        <is>
          <t>- retours aankoop</t>
        </is>
      </c>
      <c r="F1" s="1" t="inlineStr">
        <is>
          <t>- verkopen (factuur)</t>
        </is>
      </c>
      <c r="G1" s="1" t="inlineStr">
        <is>
          <t>+ retours verkoop</t>
        </is>
      </c>
      <c r="H1" s="1" t="inlineStr">
        <is>
          <t>- dagontvangsten</t>
        </is>
      </c>
      <c r="I1" s="1" t="inlineStr">
        <is>
          <t>Inventaris 31/12</t>
        </is>
      </c>
      <c r="J1" s="1" t="inlineStr">
        <is>
          <t>Aankoopprijs</t>
        </is>
      </c>
      <c r="K1" s="1" t="inlineStr">
        <is>
          <t>Waarde inventaris</t>
        </is>
      </c>
    </row>
    <row r="2">
      <c r="A2" s="13" t="inlineStr">
        <is>
          <t>STAD</t>
        </is>
      </c>
      <c r="B2" s="13" t="inlineStr">
        <is>
          <t>Stadsfiets City, 7 versnellingen</t>
        </is>
      </c>
      <c r="C2" s="12" t="n">
        <v>8</v>
      </c>
      <c r="D2" s="12">
        <f>SUMIFS('J2 Lijnen'!$H:$H,'J2 Lijnen'!$F:$F,$A2,'J2 Lijnen'!$C:$C,"AK")</f>
        <v/>
      </c>
      <c r="E2" s="12">
        <f>SUMIFS('J2 Lijnen'!$H:$H,'J2 Lijnen'!$F:$F,$A2,'J2 Lijnen'!$C:$C,"CN-AK")</f>
        <v/>
      </c>
      <c r="F2" s="12">
        <f>SUMIFS('J2 Lijnen'!$H:$H,'J2 Lijnen'!$F:$F,$A2,'J2 Lijnen'!$C:$C,"VK")</f>
        <v/>
      </c>
      <c r="G2" s="12">
        <f>SUMIFS('J2 Lijnen'!$H:$H,'J2 Lijnen'!$F:$F,$A2,'J2 Lijnen'!$C:$C,"CN-VK")</f>
        <v/>
      </c>
      <c r="H2" s="12">
        <f>SUMIFS('J2 Lijnen'!$H:$H,'J2 Lijnen'!$F:$F,$A2,'J2 Lijnen'!$C:$C,"DO")</f>
        <v/>
      </c>
      <c r="I2" s="20">
        <f>C2+D2-E2-F2+G2-H2</f>
        <v/>
      </c>
      <c r="J2" s="14">
        <f>INDEX(Artikelen!$D$2:$D$10,MATCH(A2,Artikelen!$A$2:$A$10,0))</f>
        <v/>
      </c>
      <c r="K2" s="14">
        <f>I2*J2</f>
        <v/>
      </c>
    </row>
    <row r="3">
      <c r="A3" s="13" t="inlineStr">
        <is>
          <t>EBIKE</t>
        </is>
      </c>
      <c r="B3" s="13" t="inlineStr">
        <is>
          <t>E-bike Comfort, 500 Wh</t>
        </is>
      </c>
      <c r="C3" s="12" t="n">
        <v>4</v>
      </c>
      <c r="D3" s="12">
        <f>SUMIFS('J2 Lijnen'!$H:$H,'J2 Lijnen'!$F:$F,$A3,'J2 Lijnen'!$C:$C,"AK")</f>
        <v/>
      </c>
      <c r="E3" s="12">
        <f>SUMIFS('J2 Lijnen'!$H:$H,'J2 Lijnen'!$F:$F,$A3,'J2 Lijnen'!$C:$C,"CN-AK")</f>
        <v/>
      </c>
      <c r="F3" s="12">
        <f>SUMIFS('J2 Lijnen'!$H:$H,'J2 Lijnen'!$F:$F,$A3,'J2 Lijnen'!$C:$C,"VK")</f>
        <v/>
      </c>
      <c r="G3" s="12">
        <f>SUMIFS('J2 Lijnen'!$H:$H,'J2 Lijnen'!$F:$F,$A3,'J2 Lijnen'!$C:$C,"CN-VK")</f>
        <v/>
      </c>
      <c r="H3" s="12">
        <f>SUMIFS('J2 Lijnen'!$H:$H,'J2 Lijnen'!$F:$F,$A3,'J2 Lijnen'!$C:$C,"DO")</f>
        <v/>
      </c>
      <c r="I3" s="20">
        <f>C3+D3-E3-F3+G3-H3</f>
        <v/>
      </c>
      <c r="J3" s="14">
        <f>INDEX(Artikelen!$D$2:$D$10,MATCH(A3,Artikelen!$A$2:$A$10,0))</f>
        <v/>
      </c>
      <c r="K3" s="14">
        <f>I3*J3</f>
        <v/>
      </c>
    </row>
    <row r="4">
      <c r="A4" s="13" t="inlineStr">
        <is>
          <t>BAK</t>
        </is>
      </c>
      <c r="B4" s="13" t="inlineStr">
        <is>
          <t>Bakfiets Cargo, 2 wielen</t>
        </is>
      </c>
      <c r="C4" s="12" t="n">
        <v>1</v>
      </c>
      <c r="D4" s="12">
        <f>SUMIFS('J2 Lijnen'!$H:$H,'J2 Lijnen'!$F:$F,$A4,'J2 Lijnen'!$C:$C,"AK")</f>
        <v/>
      </c>
      <c r="E4" s="12">
        <f>SUMIFS('J2 Lijnen'!$H:$H,'J2 Lijnen'!$F:$F,$A4,'J2 Lijnen'!$C:$C,"CN-AK")</f>
        <v/>
      </c>
      <c r="F4" s="12">
        <f>SUMIFS('J2 Lijnen'!$H:$H,'J2 Lijnen'!$F:$F,$A4,'J2 Lijnen'!$C:$C,"VK")</f>
        <v/>
      </c>
      <c r="G4" s="12">
        <f>SUMIFS('J2 Lijnen'!$H:$H,'J2 Lijnen'!$F:$F,$A4,'J2 Lijnen'!$C:$C,"CN-VK")</f>
        <v/>
      </c>
      <c r="H4" s="12">
        <f>SUMIFS('J2 Lijnen'!$H:$H,'J2 Lijnen'!$F:$F,$A4,'J2 Lijnen'!$C:$C,"DO")</f>
        <v/>
      </c>
      <c r="I4" s="20">
        <f>C4+D4-E4-F4+G4-H4</f>
        <v/>
      </c>
      <c r="J4" s="14">
        <f>INDEX(Artikelen!$D$2:$D$10,MATCH(A4,Artikelen!$A$2:$A$10,0))</f>
        <v/>
      </c>
      <c r="K4" s="14">
        <f>I4*J4</f>
        <v/>
      </c>
    </row>
    <row r="5">
      <c r="A5" s="13" t="inlineStr">
        <is>
          <t>KIND</t>
        </is>
      </c>
      <c r="B5" s="13" t="inlineStr">
        <is>
          <t>Kinderfiets 20 inch</t>
        </is>
      </c>
      <c r="C5" s="12" t="n">
        <v>2</v>
      </c>
      <c r="D5" s="12">
        <f>SUMIFS('J2 Lijnen'!$H:$H,'J2 Lijnen'!$F:$F,$A5,'J2 Lijnen'!$C:$C,"AK")</f>
        <v/>
      </c>
      <c r="E5" s="12">
        <f>SUMIFS('J2 Lijnen'!$H:$H,'J2 Lijnen'!$F:$F,$A5,'J2 Lijnen'!$C:$C,"CN-AK")</f>
        <v/>
      </c>
      <c r="F5" s="12">
        <f>SUMIFS('J2 Lijnen'!$H:$H,'J2 Lijnen'!$F:$F,$A5,'J2 Lijnen'!$C:$C,"VK")</f>
        <v/>
      </c>
      <c r="G5" s="12">
        <f>SUMIFS('J2 Lijnen'!$H:$H,'J2 Lijnen'!$F:$F,$A5,'J2 Lijnen'!$C:$C,"CN-VK")</f>
        <v/>
      </c>
      <c r="H5" s="12">
        <f>SUMIFS('J2 Lijnen'!$H:$H,'J2 Lijnen'!$F:$F,$A5,'J2 Lijnen'!$C:$C,"DO")</f>
        <v/>
      </c>
      <c r="I5" s="20">
        <f>C5+D5-E5-F5+G5-H5</f>
        <v/>
      </c>
      <c r="J5" s="14">
        <f>INDEX(Artikelen!$D$2:$D$10,MATCH(A5,Artikelen!$A$2:$A$10,0))</f>
        <v/>
      </c>
      <c r="K5" s="14">
        <f>I5*J5</f>
        <v/>
      </c>
    </row>
    <row r="6">
      <c r="A6" s="13" t="inlineStr">
        <is>
          <t>HELM</t>
        </is>
      </c>
      <c r="B6" s="13" t="inlineStr">
        <is>
          <t>Fietshelm Urban</t>
        </is>
      </c>
      <c r="C6" s="12" t="n">
        <v>0</v>
      </c>
      <c r="D6" s="12">
        <f>SUMIFS('J2 Lijnen'!$H:$H,'J2 Lijnen'!$F:$F,$A6,'J2 Lijnen'!$C:$C,"AK")</f>
        <v/>
      </c>
      <c r="E6" s="12">
        <f>SUMIFS('J2 Lijnen'!$H:$H,'J2 Lijnen'!$F:$F,$A6,'J2 Lijnen'!$C:$C,"CN-AK")</f>
        <v/>
      </c>
      <c r="F6" s="12">
        <f>SUMIFS('J2 Lijnen'!$H:$H,'J2 Lijnen'!$F:$F,$A6,'J2 Lijnen'!$C:$C,"VK")</f>
        <v/>
      </c>
      <c r="G6" s="12">
        <f>SUMIFS('J2 Lijnen'!$H:$H,'J2 Lijnen'!$F:$F,$A6,'J2 Lijnen'!$C:$C,"CN-VK")</f>
        <v/>
      </c>
      <c r="H6" s="12">
        <f>SUMIFS('J2 Lijnen'!$H:$H,'J2 Lijnen'!$F:$F,$A6,'J2 Lijnen'!$C:$C,"DO")</f>
        <v/>
      </c>
      <c r="I6" s="20">
        <f>C6+D6-E6-F6+G6-H6</f>
        <v/>
      </c>
      <c r="J6" s="14">
        <f>INDEX(Artikelen!$D$2:$D$10,MATCH(A6,Artikelen!$A$2:$A$10,0))</f>
        <v/>
      </c>
      <c r="K6" s="14">
        <f>I6*J6</f>
        <v/>
      </c>
    </row>
    <row r="7">
      <c r="A7" s="13" t="inlineStr">
        <is>
          <t>SLOT</t>
        </is>
      </c>
      <c r="B7" s="13" t="inlineStr">
        <is>
          <t>Plooislot</t>
        </is>
      </c>
      <c r="C7" s="12" t="n">
        <v>10</v>
      </c>
      <c r="D7" s="12">
        <f>SUMIFS('J2 Lijnen'!$H:$H,'J2 Lijnen'!$F:$F,$A7,'J2 Lijnen'!$C:$C,"AK")</f>
        <v/>
      </c>
      <c r="E7" s="12">
        <f>SUMIFS('J2 Lijnen'!$H:$H,'J2 Lijnen'!$F:$F,$A7,'J2 Lijnen'!$C:$C,"CN-AK")</f>
        <v/>
      </c>
      <c r="F7" s="12">
        <f>SUMIFS('J2 Lijnen'!$H:$H,'J2 Lijnen'!$F:$F,$A7,'J2 Lijnen'!$C:$C,"VK")</f>
        <v/>
      </c>
      <c r="G7" s="12">
        <f>SUMIFS('J2 Lijnen'!$H:$H,'J2 Lijnen'!$F:$F,$A7,'J2 Lijnen'!$C:$C,"CN-VK")</f>
        <v/>
      </c>
      <c r="H7" s="12">
        <f>SUMIFS('J2 Lijnen'!$H:$H,'J2 Lijnen'!$F:$F,$A7,'J2 Lijnen'!$C:$C,"DO")</f>
        <v/>
      </c>
      <c r="I7" s="20">
        <f>C7+D7-E7-F7+G7-H7</f>
        <v/>
      </c>
      <c r="J7" s="14">
        <f>INDEX(Artikelen!$D$2:$D$10,MATCH(A7,Artikelen!$A$2:$A$10,0))</f>
        <v/>
      </c>
      <c r="K7" s="14">
        <f>I7*J7</f>
        <v/>
      </c>
    </row>
    <row r="8">
      <c r="A8" s="13" t="inlineStr">
        <is>
          <t>BAND</t>
        </is>
      </c>
      <c r="B8" s="13" t="inlineStr">
        <is>
          <t>Buitenband 28 inch</t>
        </is>
      </c>
      <c r="C8" s="12" t="n">
        <v>28</v>
      </c>
      <c r="D8" s="12">
        <f>SUMIFS('J2 Lijnen'!$H:$H,'J2 Lijnen'!$F:$F,$A8,'J2 Lijnen'!$C:$C,"AK")</f>
        <v/>
      </c>
      <c r="E8" s="12">
        <f>SUMIFS('J2 Lijnen'!$H:$H,'J2 Lijnen'!$F:$F,$A8,'J2 Lijnen'!$C:$C,"CN-AK")</f>
        <v/>
      </c>
      <c r="F8" s="12">
        <f>SUMIFS('J2 Lijnen'!$H:$H,'J2 Lijnen'!$F:$F,$A8,'J2 Lijnen'!$C:$C,"VK")</f>
        <v/>
      </c>
      <c r="G8" s="12">
        <f>SUMIFS('J2 Lijnen'!$H:$H,'J2 Lijnen'!$F:$F,$A8,'J2 Lijnen'!$C:$C,"CN-VK")</f>
        <v/>
      </c>
      <c r="H8" s="12">
        <f>SUMIFS('J2 Lijnen'!$H:$H,'J2 Lijnen'!$F:$F,$A8,'J2 Lijnen'!$C:$C,"DO")</f>
        <v/>
      </c>
      <c r="I8" s="20">
        <f>C8+D8-E8-F8+G8-H8</f>
        <v/>
      </c>
      <c r="J8" s="14">
        <f>INDEX(Artikelen!$D$2:$D$10,MATCH(A8,Artikelen!$A$2:$A$10,0))</f>
        <v/>
      </c>
      <c r="K8" s="14">
        <f>I8*J8</f>
        <v/>
      </c>
    </row>
    <row r="9">
      <c r="A9" s="13" t="inlineStr">
        <is>
          <t>KET</t>
        </is>
      </c>
      <c r="B9" s="13" t="inlineStr">
        <is>
          <t>Fietsketting 8 speed</t>
        </is>
      </c>
      <c r="C9" s="12" t="n">
        <v>5</v>
      </c>
      <c r="D9" s="12">
        <f>SUMIFS('J2 Lijnen'!$H:$H,'J2 Lijnen'!$F:$F,$A9,'J2 Lijnen'!$C:$C,"AK")</f>
        <v/>
      </c>
      <c r="E9" s="12">
        <f>SUMIFS('J2 Lijnen'!$H:$H,'J2 Lijnen'!$F:$F,$A9,'J2 Lijnen'!$C:$C,"CN-AK")</f>
        <v/>
      </c>
      <c r="F9" s="12">
        <f>SUMIFS('J2 Lijnen'!$H:$H,'J2 Lijnen'!$F:$F,$A9,'J2 Lijnen'!$C:$C,"VK")</f>
        <v/>
      </c>
      <c r="G9" s="12">
        <f>SUMIFS('J2 Lijnen'!$H:$H,'J2 Lijnen'!$F:$F,$A9,'J2 Lijnen'!$C:$C,"CN-VK")</f>
        <v/>
      </c>
      <c r="H9" s="12">
        <f>SUMIFS('J2 Lijnen'!$H:$H,'J2 Lijnen'!$F:$F,$A9,'J2 Lijnen'!$C:$C,"DO")</f>
        <v/>
      </c>
      <c r="I9" s="20">
        <f>C9+D9-E9-F9+G9-H9</f>
        <v/>
      </c>
      <c r="J9" s="14">
        <f>INDEX(Artikelen!$D$2:$D$10,MATCH(A9,Artikelen!$A$2:$A$10,0))</f>
        <v/>
      </c>
      <c r="K9" s="14">
        <f>I9*J9</f>
        <v/>
      </c>
    </row>
    <row r="10">
      <c r="A10" s="13" t="inlineStr">
        <is>
          <t>LAMP</t>
        </is>
      </c>
      <c r="B10" s="13" t="inlineStr">
        <is>
          <t>Verlichtingsset LED</t>
        </is>
      </c>
      <c r="C10" s="12" t="n">
        <v>6</v>
      </c>
      <c r="D10" s="12">
        <f>SUMIFS('J2 Lijnen'!$H:$H,'J2 Lijnen'!$F:$F,$A10,'J2 Lijnen'!$C:$C,"AK")</f>
        <v/>
      </c>
      <c r="E10" s="12">
        <f>SUMIFS('J2 Lijnen'!$H:$H,'J2 Lijnen'!$F:$F,$A10,'J2 Lijnen'!$C:$C,"CN-AK")</f>
        <v/>
      </c>
      <c r="F10" s="12">
        <f>SUMIFS('J2 Lijnen'!$H:$H,'J2 Lijnen'!$F:$F,$A10,'J2 Lijnen'!$C:$C,"VK")</f>
        <v/>
      </c>
      <c r="G10" s="12">
        <f>SUMIFS('J2 Lijnen'!$H:$H,'J2 Lijnen'!$F:$F,$A10,'J2 Lijnen'!$C:$C,"CN-VK")</f>
        <v/>
      </c>
      <c r="H10" s="12">
        <f>SUMIFS('J2 Lijnen'!$H:$H,'J2 Lijnen'!$F:$F,$A10,'J2 Lijnen'!$C:$C,"DO")</f>
        <v/>
      </c>
      <c r="I10" s="20">
        <f>C10+D10-E10-F10+G10-H10</f>
        <v/>
      </c>
      <c r="J10" s="14">
        <f>INDEX(Artikelen!$D$2:$D$10,MATCH(A10,Artikelen!$A$2:$A$10,0))</f>
        <v/>
      </c>
      <c r="K10" s="14">
        <f>I10*J10</f>
        <v/>
      </c>
    </row>
    <row r="11">
      <c r="B11" s="2" t="inlineStr">
        <is>
          <t>Totaal</t>
        </is>
      </c>
      <c r="K11" s="17">
        <f>SUM(K2:K10)</f>
        <v/>
      </c>
    </row>
    <row r="12">
      <c r="B12" s="13" t="inlineStr">
        <is>
          <t>Saldo 340000 na afsluiting (proefbalans)</t>
        </is>
      </c>
      <c r="K12" s="14">
        <f>INDEX('J2 Proefbalans'!I:I,MATCH(340000,'J2 Proefbalans'!A:A,0))</f>
        <v/>
      </c>
    </row>
    <row r="13">
      <c r="B13" s="2" t="inlineStr">
        <is>
          <t>Controle (moet 0 zijn)</t>
        </is>
      </c>
      <c r="K13" s="19">
        <f>K11-K12</f>
        <v/>
      </c>
    </row>
  </sheetData>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X56"/>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34" customWidth="1" min="3" max="3"/>
    <col width="7" customWidth="1" min="4" max="4"/>
    <col width="11" customWidth="1" min="5" max="5"/>
    <col width="11" customWidth="1" min="6" max="6"/>
    <col width="16" customWidth="1" min="7" max="7"/>
    <col width="26" customWidth="1" min="8" max="8"/>
    <col width="26" customWidth="1" min="9" max="9"/>
    <col width="14" customWidth="1" min="10" max="10"/>
    <col width="5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1" customWidth="1" min="19" max="19"/>
    <col width="11" customWidth="1" min="20" max="20"/>
    <col width="10" customWidth="1" min="21" max="21"/>
    <col width="10" customWidth="1" min="22" max="22"/>
    <col width="34" customWidth="1" min="23" max="23"/>
    <col width="40" customWidth="1" min="24" max="24"/>
  </cols>
  <sheetData>
    <row r="1">
      <c r="A1" s="1" t="inlineStr">
        <is>
          <t>Ref in de app</t>
        </is>
      </c>
      <c r="B1" s="1" t="inlineStr">
        <is>
          <t>ID</t>
        </is>
      </c>
      <c r="C1" s="1" t="inlineStr">
        <is>
          <t>Les (categorie)</t>
        </is>
      </c>
      <c r="D1" s="1" t="inlineStr">
        <is>
          <t>Soort</t>
        </is>
      </c>
      <c r="E1" s="1" t="inlineStr">
        <is>
          <t>Datum</t>
        </is>
      </c>
      <c r="F1" s="1" t="inlineStr">
        <is>
          <t>Vervaldag</t>
        </is>
      </c>
      <c r="G1" s="1" t="inlineStr">
        <is>
          <t>Documentnr</t>
        </is>
      </c>
      <c r="H1" s="1" t="inlineStr">
        <is>
          <t>Van</t>
        </is>
      </c>
      <c r="I1" s="1" t="inlineStr">
        <is>
          <t>Aan</t>
        </is>
      </c>
      <c r="J1" s="1" t="inlineStr">
        <is>
          <t>Verwijst naar</t>
        </is>
      </c>
      <c r="K1" s="1" t="inlineStr">
        <is>
          <t>Reden / omschrijving</t>
        </is>
      </c>
      <c r="L1" s="1" t="inlineStr">
        <is>
          <t>MvH 21%</t>
        </is>
      </c>
      <c r="M1" s="1" t="inlineStr">
        <is>
          <t>Btw 21%</t>
        </is>
      </c>
      <c r="N1" s="1" t="inlineStr">
        <is>
          <t>MvH 6%</t>
        </is>
      </c>
      <c r="O1" s="1" t="inlineStr">
        <is>
          <t>Btw 6%</t>
        </is>
      </c>
      <c r="P1" s="1" t="inlineStr">
        <is>
          <t>Vrijgesteld</t>
        </is>
      </c>
      <c r="Q1" s="1" t="inlineStr">
        <is>
          <t>Waarborg</t>
        </is>
      </c>
      <c r="R1" s="1" t="inlineStr">
        <is>
          <t>Fin. korting</t>
        </is>
      </c>
      <c r="S1" s="1" t="inlineStr">
        <is>
          <t>Totaal</t>
        </is>
      </c>
      <c r="T1" s="1" t="inlineStr">
        <is>
          <t>Te betalen binnen kortingstermijn</t>
        </is>
      </c>
      <c r="U1" s="1" t="inlineStr">
        <is>
          <t>Contant (kas)</t>
        </is>
      </c>
      <c r="V1" s="1" t="inlineStr">
        <is>
          <t>Bancontact</t>
        </is>
      </c>
      <c r="W1" s="1" t="inlineStr">
        <is>
          <t>Betaald via uittreksel</t>
        </is>
      </c>
      <c r="X1" s="1" t="inlineStr">
        <is>
          <t>Opmerking</t>
        </is>
      </c>
    </row>
    <row r="2">
      <c r="A2" s="22" t="inlineStr">
        <is>
          <t>AK01</t>
        </is>
      </c>
      <c r="B2" s="22" t="inlineStr">
        <is>
          <t>J3A01</t>
        </is>
      </c>
      <c r="C2" s="22" t="inlineStr">
        <is>
          <t>Aankopen 1 · kortingen</t>
        </is>
      </c>
      <c r="D2" s="22" t="inlineStr">
        <is>
          <t>AK</t>
        </is>
      </c>
      <c r="E2" s="23" t="n">
        <v>46755</v>
      </c>
      <c r="F2" s="23" t="n">
        <v>46785</v>
      </c>
      <c r="G2" s="22" t="inlineStr">
        <is>
          <t>2028-003</t>
        </is>
      </c>
      <c r="H2" s="22" t="inlineStr">
        <is>
          <t>Velomax bv</t>
        </is>
      </c>
      <c r="I2" s="22" t="inlineStr">
        <is>
          <t>Fietsatelier Noor bv</t>
        </is>
      </c>
      <c r="J2" s="22" t="n"/>
      <c r="K2" s="22" t="inlineStr">
        <is>
          <t>Aankoopfactuur 2028-003 - Velomax bv</t>
        </is>
      </c>
      <c r="L2" s="24" t="n">
        <v>9000</v>
      </c>
      <c r="M2" s="24" t="n">
        <v>1890</v>
      </c>
      <c r="N2" s="24" t="n">
        <v>0</v>
      </c>
      <c r="O2" s="24" t="n">
        <v>0</v>
      </c>
      <c r="P2" s="24" t="n">
        <v>0</v>
      </c>
      <c r="Q2" s="24" t="n">
        <v>0</v>
      </c>
      <c r="R2" s="22" t="n"/>
      <c r="S2" s="24" t="n">
        <v>10890</v>
      </c>
      <c r="T2" s="22" t="n"/>
      <c r="U2" s="22" t="n"/>
      <c r="V2" s="22" t="n"/>
      <c r="W2" s="22" t="inlineStr">
        <is>
          <t>BANK01 lijn 2 (25/01)</t>
        </is>
      </c>
      <c r="X2" s="22" t="inlineStr"/>
    </row>
    <row r="3">
      <c r="A3" s="22" t="inlineStr">
        <is>
          <t>AK02</t>
        </is>
      </c>
      <c r="B3" s="22" t="inlineStr">
        <is>
          <t>J3A02</t>
        </is>
      </c>
      <c r="C3" s="22" t="inlineStr">
        <is>
          <t>Aankopen 1 · kortingen</t>
        </is>
      </c>
      <c r="D3" s="22" t="inlineStr">
        <is>
          <t>AK</t>
        </is>
      </c>
      <c r="E3" s="23" t="n">
        <v>46761</v>
      </c>
      <c r="F3" s="23" t="n">
        <v>46791</v>
      </c>
      <c r="G3" s="22" t="inlineStr">
        <is>
          <t>HH-28-002</t>
        </is>
      </c>
      <c r="H3" s="22" t="inlineStr">
        <is>
          <t>HelmHuis bv</t>
        </is>
      </c>
      <c r="I3" s="22" t="inlineStr">
        <is>
          <t>Fietsatelier Noor bv</t>
        </is>
      </c>
      <c r="J3" s="22" t="n"/>
      <c r="K3" s="22" t="inlineStr">
        <is>
          <t>Aankoopfactuur HH-28-002 - HelmHuis bv</t>
        </is>
      </c>
      <c r="L3" s="24" t="n">
        <v>900</v>
      </c>
      <c r="M3" s="24" t="n">
        <v>189</v>
      </c>
      <c r="N3" s="24" t="n">
        <v>0</v>
      </c>
      <c r="O3" s="24" t="n">
        <v>0</v>
      </c>
      <c r="P3" s="24" t="n">
        <v>0</v>
      </c>
      <c r="Q3" s="24" t="n">
        <v>0</v>
      </c>
      <c r="R3" s="22" t="n"/>
      <c r="S3" s="24" t="n">
        <v>1089</v>
      </c>
      <c r="T3" s="22" t="n"/>
      <c r="U3" s="22" t="n"/>
      <c r="V3" s="22" t="n"/>
      <c r="W3" s="22" t="inlineStr"/>
      <c r="X3" s="22" t="inlineStr"/>
    </row>
    <row r="4">
      <c r="A4" s="22" t="inlineStr">
        <is>
          <t>AK03</t>
        </is>
      </c>
      <c r="B4" s="22" t="inlineStr">
        <is>
          <t>J3A03</t>
        </is>
      </c>
      <c r="C4" s="22" t="inlineStr">
        <is>
          <t>Aankopen 1 · kortingen</t>
        </is>
      </c>
      <c r="D4" s="22" t="inlineStr">
        <is>
          <t>AK</t>
        </is>
      </c>
      <c r="E4" s="23" t="n">
        <v>46764</v>
      </c>
      <c r="F4" s="23" t="n">
        <v>46794</v>
      </c>
      <c r="G4" s="22" t="inlineStr">
        <is>
          <t>SW-2028-014</t>
        </is>
      </c>
      <c r="H4" s="22" t="inlineStr">
        <is>
          <t>Spaakwerk bv</t>
        </is>
      </c>
      <c r="I4" s="22" t="inlineStr">
        <is>
          <t>Fietsatelier Noor bv</t>
        </is>
      </c>
      <c r="J4" s="22" t="n"/>
      <c r="K4" s="22" t="inlineStr">
        <is>
          <t>Aankoopfactuur SW-2028-014 - Spaakwerk bv</t>
        </is>
      </c>
      <c r="L4" s="24" t="n">
        <v>300</v>
      </c>
      <c r="M4" s="24" t="n">
        <v>63</v>
      </c>
      <c r="N4" s="24" t="n">
        <v>0</v>
      </c>
      <c r="O4" s="24" t="n">
        <v>0</v>
      </c>
      <c r="P4" s="24" t="n">
        <v>0</v>
      </c>
      <c r="Q4" s="24" t="n">
        <v>0</v>
      </c>
      <c r="R4" s="22" t="n"/>
      <c r="S4" s="24" t="n">
        <v>363</v>
      </c>
      <c r="T4" s="22" t="n"/>
      <c r="U4" s="22" t="n"/>
      <c r="V4" s="22" t="n"/>
      <c r="W4" s="22" t="inlineStr"/>
      <c r="X4" s="22" t="inlineStr"/>
    </row>
    <row r="5">
      <c r="A5" s="22" t="inlineStr">
        <is>
          <t>AK04</t>
        </is>
      </c>
      <c r="B5" s="22" t="inlineStr">
        <is>
          <t>J3A04</t>
        </is>
      </c>
      <c r="C5" s="22" t="inlineStr">
        <is>
          <t>Aankopen 1 · kortingen</t>
        </is>
      </c>
      <c r="D5" s="22" t="inlineStr">
        <is>
          <t>AK</t>
        </is>
      </c>
      <c r="E5" s="23" t="n">
        <v>46770</v>
      </c>
      <c r="F5" s="23" t="n">
        <v>46800</v>
      </c>
      <c r="G5" s="22" t="inlineStr">
        <is>
          <t>2028-021</t>
        </is>
      </c>
      <c r="H5" s="22" t="inlineStr">
        <is>
          <t>Velomax bv</t>
        </is>
      </c>
      <c r="I5" s="22" t="inlineStr">
        <is>
          <t>Fietsatelier Noor bv</t>
        </is>
      </c>
      <c r="J5" s="22" t="n"/>
      <c r="K5" s="22" t="inlineStr">
        <is>
          <t>Aankoopfactuur 2028-021 - Velomax bv</t>
        </is>
      </c>
      <c r="L5" s="24" t="n">
        <v>7600</v>
      </c>
      <c r="M5" s="24" t="n">
        <v>1596</v>
      </c>
      <c r="N5" s="24" t="n">
        <v>0</v>
      </c>
      <c r="O5" s="24" t="n">
        <v>0</v>
      </c>
      <c r="P5" s="24" t="n">
        <v>0</v>
      </c>
      <c r="Q5" s="24" t="n">
        <v>0</v>
      </c>
      <c r="R5" s="24" t="n">
        <v>400</v>
      </c>
      <c r="S5" s="24" t="n">
        <v>9596</v>
      </c>
      <c r="T5" s="24" t="n">
        <v>9196</v>
      </c>
      <c r="U5" s="22" t="n"/>
      <c r="V5" s="22" t="n"/>
      <c r="W5" s="22" t="inlineStr">
        <is>
          <t>BANK03 lijn 1 (15/02)</t>
        </is>
      </c>
      <c r="X5" s="22" t="inlineStr">
        <is>
          <t>financiële korting te laat betaald, geen korting</t>
        </is>
      </c>
    </row>
    <row r="6">
      <c r="A6" s="22" t="inlineStr">
        <is>
          <t>AK05</t>
        </is>
      </c>
      <c r="B6" s="22" t="inlineStr">
        <is>
          <t>J3A05</t>
        </is>
      </c>
      <c r="C6" s="22" t="inlineStr">
        <is>
          <t>Aankopen 1 · kortingen</t>
        </is>
      </c>
      <c r="D6" s="22" t="inlineStr">
        <is>
          <t>AK</t>
        </is>
      </c>
      <c r="E6" s="23" t="n">
        <v>46784</v>
      </c>
      <c r="F6" s="23" t="n">
        <v>46814</v>
      </c>
      <c r="G6" s="22" t="inlineStr">
        <is>
          <t>2028-047</t>
        </is>
      </c>
      <c r="H6" s="22" t="inlineStr">
        <is>
          <t>Velomax bv</t>
        </is>
      </c>
      <c r="I6" s="22" t="inlineStr">
        <is>
          <t>Fietsatelier Noor bv</t>
        </is>
      </c>
      <c r="J6" s="22" t="n"/>
      <c r="K6" s="22" t="inlineStr">
        <is>
          <t>Aankoopfactuur 2028-047 - Velomax bv</t>
        </is>
      </c>
      <c r="L6" s="24" t="n">
        <v>13300</v>
      </c>
      <c r="M6" s="24" t="n">
        <v>2793</v>
      </c>
      <c r="N6" s="24" t="n">
        <v>0</v>
      </c>
      <c r="O6" s="24" t="n">
        <v>0</v>
      </c>
      <c r="P6" s="24" t="n">
        <v>0</v>
      </c>
      <c r="Q6" s="24" t="n">
        <v>0</v>
      </c>
      <c r="R6" s="24" t="n">
        <v>700</v>
      </c>
      <c r="S6" s="24" t="n">
        <v>16793</v>
      </c>
      <c r="T6" s="24" t="n">
        <v>16093</v>
      </c>
      <c r="U6" s="22" t="n"/>
      <c r="V6" s="22" t="n"/>
      <c r="W6" s="22" t="inlineStr">
        <is>
          <t>BANK02 lijn 3 (10/02)</t>
        </is>
      </c>
      <c r="X6" s="22" t="inlineStr">
        <is>
          <t>financiële korting binnen de termijn betaald</t>
        </is>
      </c>
    </row>
    <row r="7">
      <c r="A7" s="22" t="inlineStr">
        <is>
          <t>AK06</t>
        </is>
      </c>
      <c r="B7" s="22" t="inlineStr">
        <is>
          <t>J3A06</t>
        </is>
      </c>
      <c r="C7" s="22" t="inlineStr">
        <is>
          <t>Aankopen 1 · kortingen</t>
        </is>
      </c>
      <c r="D7" s="22" t="inlineStr">
        <is>
          <t>AK</t>
        </is>
      </c>
      <c r="E7" s="23" t="n">
        <v>46798</v>
      </c>
      <c r="F7" s="23" t="n">
        <v>46828</v>
      </c>
      <c r="G7" s="22" t="inlineStr">
        <is>
          <t>2028-066</t>
        </is>
      </c>
      <c r="H7" s="22" t="inlineStr">
        <is>
          <t>Velomax bv</t>
        </is>
      </c>
      <c r="I7" s="22" t="inlineStr">
        <is>
          <t>Fietsatelier Noor bv</t>
        </is>
      </c>
      <c r="J7" s="22" t="n"/>
      <c r="K7" s="22" t="inlineStr">
        <is>
          <t>Aankoopfactuur 2028-066 - Velomax bv</t>
        </is>
      </c>
      <c r="L7" s="24" t="n">
        <v>1900</v>
      </c>
      <c r="M7" s="24" t="n">
        <v>399</v>
      </c>
      <c r="N7" s="24" t="n">
        <v>0</v>
      </c>
      <c r="O7" s="24" t="n">
        <v>0</v>
      </c>
      <c r="P7" s="24" t="n">
        <v>0</v>
      </c>
      <c r="Q7" s="24" t="n">
        <v>0</v>
      </c>
      <c r="R7" s="24" t="n">
        <v>100</v>
      </c>
      <c r="S7" s="24" t="n">
        <v>2399</v>
      </c>
      <c r="T7" s="24" t="n">
        <v>2299</v>
      </c>
      <c r="U7" s="22" t="n"/>
      <c r="V7" s="22" t="n"/>
      <c r="W7" s="22" t="inlineStr">
        <is>
          <t>BANK03 lijn 3 (22/02)</t>
        </is>
      </c>
      <c r="X7" s="22" t="inlineStr">
        <is>
          <t>financiële korting binnen de termijn betaald</t>
        </is>
      </c>
    </row>
    <row r="8">
      <c r="A8" s="25" t="inlineStr">
        <is>
          <t>AK07</t>
        </is>
      </c>
      <c r="B8" s="25" t="inlineStr">
        <is>
          <t>J3A07</t>
        </is>
      </c>
      <c r="C8" s="25" t="inlineStr">
        <is>
          <t>Aankopen 2 · kosten, verpakking en investeringen</t>
        </is>
      </c>
      <c r="D8" s="25" t="inlineStr">
        <is>
          <t>AK</t>
        </is>
      </c>
      <c r="E8" s="26" t="n">
        <v>46791</v>
      </c>
      <c r="F8" s="26" t="n">
        <v>46821</v>
      </c>
      <c r="G8" s="25" t="inlineStr">
        <is>
          <t>2028-058</t>
        </is>
      </c>
      <c r="H8" s="25" t="inlineStr">
        <is>
          <t>Velomax bv</t>
        </is>
      </c>
      <c r="I8" s="25" t="inlineStr">
        <is>
          <t>Fietsatelier Noor bv</t>
        </is>
      </c>
      <c r="J8" s="25" t="n"/>
      <c r="K8" s="25" t="inlineStr">
        <is>
          <t>Aankoopfactuur 2028-058 - Velomax bv</t>
        </is>
      </c>
      <c r="L8" s="27" t="n">
        <v>3800</v>
      </c>
      <c r="M8" s="27" t="n">
        <v>798</v>
      </c>
      <c r="N8" s="27" t="n">
        <v>0</v>
      </c>
      <c r="O8" s="27" t="n">
        <v>0</v>
      </c>
      <c r="P8" s="27" t="n">
        <v>0</v>
      </c>
      <c r="Q8" s="27" t="n">
        <v>200</v>
      </c>
      <c r="R8" s="25" t="n"/>
      <c r="S8" s="27" t="n">
        <v>4798</v>
      </c>
      <c r="T8" s="25" t="n"/>
      <c r="U8" s="25" t="n"/>
      <c r="V8" s="25" t="n"/>
      <c r="W8" s="25" t="inlineStr">
        <is>
          <t>BANK04 lijn 3 (05/03)</t>
        </is>
      </c>
      <c r="X8" s="25" t="inlineStr"/>
    </row>
    <row r="9">
      <c r="A9" s="25" t="inlineStr">
        <is>
          <t>AK08</t>
        </is>
      </c>
      <c r="B9" s="25" t="inlineStr">
        <is>
          <t>J3A08</t>
        </is>
      </c>
      <c r="C9" s="25" t="inlineStr">
        <is>
          <t>Aankopen 2 · kosten, verpakking en investeringen</t>
        </is>
      </c>
      <c r="D9" s="25" t="inlineStr">
        <is>
          <t>AK</t>
        </is>
      </c>
      <c r="E9" s="26" t="n">
        <v>46805</v>
      </c>
      <c r="F9" s="26" t="n">
        <v>46835</v>
      </c>
      <c r="G9" s="25" t="inlineStr">
        <is>
          <t>SW-2028-077</t>
        </is>
      </c>
      <c r="H9" s="25" t="inlineStr">
        <is>
          <t>Spaakwerk bv</t>
        </is>
      </c>
      <c r="I9" s="25" t="inlineStr">
        <is>
          <t>Fietsatelier Noor bv</t>
        </is>
      </c>
      <c r="J9" s="25" t="n"/>
      <c r="K9" s="25" t="inlineStr">
        <is>
          <t>Aankoopfactuur SW-2028-077 - Spaakwerk bv</t>
        </is>
      </c>
      <c r="L9" s="27" t="n">
        <v>300</v>
      </c>
      <c r="M9" s="27" t="n">
        <v>63</v>
      </c>
      <c r="N9" s="27" t="n">
        <v>0</v>
      </c>
      <c r="O9" s="27" t="n">
        <v>0</v>
      </c>
      <c r="P9" s="27" t="n">
        <v>0</v>
      </c>
      <c r="Q9" s="27" t="n">
        <v>100</v>
      </c>
      <c r="R9" s="25" t="n"/>
      <c r="S9" s="27" t="n">
        <v>463</v>
      </c>
      <c r="T9" s="25" t="n"/>
      <c r="U9" s="25" t="n"/>
      <c r="V9" s="25" t="n"/>
      <c r="W9" s="25" t="inlineStr"/>
      <c r="X9" s="25" t="inlineStr"/>
    </row>
    <row r="10">
      <c r="A10" s="25" t="inlineStr">
        <is>
          <t>AK09</t>
        </is>
      </c>
      <c r="B10" s="25" t="inlineStr">
        <is>
          <t>J3A09</t>
        </is>
      </c>
      <c r="C10" s="25" t="inlineStr">
        <is>
          <t>Aankopen 2 · kosten, verpakking en investeringen</t>
        </is>
      </c>
      <c r="D10" s="25" t="inlineStr">
        <is>
          <t>AK</t>
        </is>
      </c>
      <c r="E10" s="26" t="n">
        <v>46762</v>
      </c>
      <c r="F10" s="26" t="n">
        <v>46777</v>
      </c>
      <c r="G10" s="25" t="inlineStr">
        <is>
          <t>SK-28-0412</t>
        </is>
      </c>
      <c r="H10" s="25" t="inlineStr">
        <is>
          <t>Stroomkracht nv</t>
        </is>
      </c>
      <c r="I10" s="25" t="inlineStr">
        <is>
          <t>Fietsatelier Noor bv</t>
        </is>
      </c>
      <c r="J10" s="25" t="n"/>
      <c r="K10" s="25" t="inlineStr">
        <is>
          <t>Aankoopfactuur SK-28-0412 - Stroomkracht nv</t>
        </is>
      </c>
      <c r="L10" s="27" t="n">
        <v>800</v>
      </c>
      <c r="M10" s="27" t="n">
        <v>168</v>
      </c>
      <c r="N10" s="27" t="n">
        <v>0</v>
      </c>
      <c r="O10" s="27" t="n">
        <v>0</v>
      </c>
      <c r="P10" s="27" t="n">
        <v>0</v>
      </c>
      <c r="Q10" s="27" t="n">
        <v>0</v>
      </c>
      <c r="R10" s="25" t="n"/>
      <c r="S10" s="27" t="n">
        <v>968</v>
      </c>
      <c r="T10" s="25" t="n"/>
      <c r="U10" s="25" t="n"/>
      <c r="V10" s="25" t="n"/>
      <c r="W10" s="25" t="inlineStr"/>
      <c r="X10" s="25" t="inlineStr"/>
    </row>
    <row r="11">
      <c r="A11" s="25" t="inlineStr">
        <is>
          <t>AK10</t>
        </is>
      </c>
      <c r="B11" s="25" t="inlineStr">
        <is>
          <t>J3A10</t>
        </is>
      </c>
      <c r="C11" s="25" t="inlineStr">
        <is>
          <t>Aankopen 2 · kosten, verpakking en investeringen</t>
        </is>
      </c>
      <c r="D11" s="25" t="inlineStr">
        <is>
          <t>AK</t>
        </is>
      </c>
      <c r="E11" s="26" t="n">
        <v>46776</v>
      </c>
      <c r="F11" s="26" t="n">
        <v>46806</v>
      </c>
      <c r="G11" s="25" t="inlineStr">
        <is>
          <t>DP-2028-031</t>
        </is>
      </c>
      <c r="H11" s="25" t="inlineStr">
        <is>
          <t>Drukkerij Peeters bv</t>
        </is>
      </c>
      <c r="I11" s="25" t="inlineStr">
        <is>
          <t>Fietsatelier Noor bv</t>
        </is>
      </c>
      <c r="J11" s="25" t="n"/>
      <c r="K11" s="25" t="inlineStr">
        <is>
          <t>Aankoopfactuur DP-2028-031 - Drukkerij Peeters bv</t>
        </is>
      </c>
      <c r="L11" s="27" t="n">
        <v>600</v>
      </c>
      <c r="M11" s="27" t="n">
        <v>126</v>
      </c>
      <c r="N11" s="27" t="n">
        <v>0</v>
      </c>
      <c r="O11" s="27" t="n">
        <v>0</v>
      </c>
      <c r="P11" s="27" t="n">
        <v>0</v>
      </c>
      <c r="Q11" s="27" t="n">
        <v>0</v>
      </c>
      <c r="R11" s="25" t="n"/>
      <c r="S11" s="27" t="n">
        <v>726</v>
      </c>
      <c r="T11" s="25" t="n"/>
      <c r="U11" s="25" t="n"/>
      <c r="V11" s="25" t="n"/>
      <c r="W11" s="25" t="inlineStr"/>
      <c r="X11" s="25" t="inlineStr"/>
    </row>
    <row r="12">
      <c r="A12" s="25" t="inlineStr">
        <is>
          <t>AK11</t>
        </is>
      </c>
      <c r="B12" s="25" t="inlineStr">
        <is>
          <t>J3A11</t>
        </is>
      </c>
      <c r="C12" s="25" t="inlineStr">
        <is>
          <t>Aankopen 2 · kosten, verpakking en investeringen</t>
        </is>
      </c>
      <c r="D12" s="25" t="inlineStr">
        <is>
          <t>AK</t>
        </is>
      </c>
      <c r="E12" s="26" t="n">
        <v>46767</v>
      </c>
      <c r="F12" s="26" t="n">
        <v>46797</v>
      </c>
      <c r="G12" s="25" t="inlineStr">
        <is>
          <t>DW-28-0006</t>
        </is>
      </c>
      <c r="H12" s="25" t="inlineStr">
        <is>
          <t>Deprez Werkplaatsinrichting bv</t>
        </is>
      </c>
      <c r="I12" s="25" t="inlineStr">
        <is>
          <t>Fietsatelier Noor bv</t>
        </is>
      </c>
      <c r="J12" s="25" t="n"/>
      <c r="K12" s="25" t="inlineStr">
        <is>
          <t>Aankoopfactuur DW-28-0006 - Deprez Werkplaatsinrichting bv</t>
        </is>
      </c>
      <c r="L12" s="27" t="n">
        <v>2200</v>
      </c>
      <c r="M12" s="27" t="n">
        <v>462</v>
      </c>
      <c r="N12" s="27" t="n">
        <v>0</v>
      </c>
      <c r="O12" s="27" t="n">
        <v>0</v>
      </c>
      <c r="P12" s="27" t="n">
        <v>0</v>
      </c>
      <c r="Q12" s="27" t="n">
        <v>0</v>
      </c>
      <c r="R12" s="25" t="n"/>
      <c r="S12" s="27" t="n">
        <v>2662</v>
      </c>
      <c r="T12" s="25" t="n"/>
      <c r="U12" s="25" t="n"/>
      <c r="V12" s="25" t="n"/>
      <c r="W12" s="25" t="inlineStr"/>
      <c r="X12" s="25" t="inlineStr"/>
    </row>
    <row r="13">
      <c r="A13" s="25" t="inlineStr">
        <is>
          <t>AK12</t>
        </is>
      </c>
      <c r="B13" s="25" t="inlineStr">
        <is>
          <t>J3A12</t>
        </is>
      </c>
      <c r="C13" s="25" t="inlineStr">
        <is>
          <t>Aankopen 2 · kosten, verpakking en investeringen</t>
        </is>
      </c>
      <c r="D13" s="25" t="inlineStr">
        <is>
          <t>AK</t>
        </is>
      </c>
      <c r="E13" s="26" t="n">
        <v>46812</v>
      </c>
      <c r="F13" s="26" t="n">
        <v>46842</v>
      </c>
      <c r="G13" s="25" t="inlineStr">
        <is>
          <t>KT-2028-118</t>
        </is>
      </c>
      <c r="H13" s="25" t="inlineStr">
        <is>
          <t>Kassatech bv</t>
        </is>
      </c>
      <c r="I13" s="25" t="inlineStr">
        <is>
          <t>Fietsatelier Noor bv</t>
        </is>
      </c>
      <c r="J13" s="25" t="n"/>
      <c r="K13" s="25" t="inlineStr">
        <is>
          <t>Aankoopfactuur KT-2028-118 - Kassatech bv</t>
        </is>
      </c>
      <c r="L13" s="27" t="n">
        <v>1200</v>
      </c>
      <c r="M13" s="27" t="n">
        <v>252</v>
      </c>
      <c r="N13" s="27" t="n">
        <v>0</v>
      </c>
      <c r="O13" s="27" t="n">
        <v>0</v>
      </c>
      <c r="P13" s="27" t="n">
        <v>0</v>
      </c>
      <c r="Q13" s="27" t="n">
        <v>0</v>
      </c>
      <c r="R13" s="25" t="n"/>
      <c r="S13" s="27" t="n">
        <v>1452</v>
      </c>
      <c r="T13" s="25" t="n"/>
      <c r="U13" s="25" t="n"/>
      <c r="V13" s="25" t="n"/>
      <c r="W13" s="25" t="inlineStr"/>
      <c r="X13" s="25" t="inlineStr"/>
    </row>
    <row r="14">
      <c r="A14" s="28" t="inlineStr">
        <is>
          <t>AK13</t>
        </is>
      </c>
      <c r="B14" s="28" t="inlineStr">
        <is>
          <t>J3CA1</t>
        </is>
      </c>
      <c r="C14" s="28" t="inlineStr">
        <is>
          <t>Aankopen 3 · creditnota's en over te dragen kosten</t>
        </is>
      </c>
      <c r="D14" s="28" t="inlineStr">
        <is>
          <t>CN-AK</t>
        </is>
      </c>
      <c r="E14" s="29" t="n">
        <v>46762</v>
      </c>
      <c r="F14" s="28" t="n"/>
      <c r="G14" s="28" t="inlineStr">
        <is>
          <t>CN-2028-001</t>
        </is>
      </c>
      <c r="H14" s="28" t="inlineStr">
        <is>
          <t>Velomax bv</t>
        </is>
      </c>
      <c r="I14" s="28" t="inlineStr">
        <is>
          <t>Fietsatelier Noor bv</t>
        </is>
      </c>
      <c r="J14" s="28" t="inlineStr">
        <is>
          <t>2028-003</t>
        </is>
      </c>
      <c r="K14" s="28" t="inlineStr">
        <is>
          <t>5 stadsfietsen met transportschade, teruggestuurd</t>
        </is>
      </c>
      <c r="L14" s="30" t="n">
        <v>1800</v>
      </c>
      <c r="M14" s="30" t="n">
        <v>378</v>
      </c>
      <c r="N14" s="30" t="n">
        <v>0</v>
      </c>
      <c r="O14" s="30" t="n">
        <v>0</v>
      </c>
      <c r="P14" s="30" t="n">
        <v>0</v>
      </c>
      <c r="Q14" s="30" t="n">
        <v>0</v>
      </c>
      <c r="R14" s="28" t="n"/>
      <c r="S14" s="30" t="n">
        <v>2178</v>
      </c>
      <c r="T14" s="28" t="n"/>
      <c r="U14" s="28" t="n"/>
      <c r="V14" s="28" t="n"/>
      <c r="W14" s="28" t="inlineStr">
        <is>
          <t>BANK01 lijn 2 (25/01)</t>
        </is>
      </c>
      <c r="X14" s="28" t="inlineStr"/>
    </row>
    <row r="15">
      <c r="A15" s="28" t="inlineStr">
        <is>
          <t>AK14</t>
        </is>
      </c>
      <c r="B15" s="28" t="inlineStr">
        <is>
          <t>J3CA2</t>
        </is>
      </c>
      <c r="C15" s="28" t="inlineStr">
        <is>
          <t>Aankopen 3 · creditnota's en over te dragen kosten</t>
        </is>
      </c>
      <c r="D15" s="28" t="inlineStr">
        <is>
          <t>CN-AK</t>
        </is>
      </c>
      <c r="E15" s="29" t="n">
        <v>46813</v>
      </c>
      <c r="F15" s="28" t="n"/>
      <c r="G15" s="28" t="inlineStr">
        <is>
          <t>SW-CN-2028-004</t>
        </is>
      </c>
      <c r="H15" s="28" t="inlineStr">
        <is>
          <t>Spaakwerk bv</t>
        </is>
      </c>
      <c r="I15" s="28" t="inlineStr">
        <is>
          <t>Fietsatelier Noor bv</t>
        </is>
      </c>
      <c r="J15" s="28" t="inlineStr">
        <is>
          <t>SW-2028-077</t>
        </is>
      </c>
      <c r="K15" s="28" t="inlineStr">
        <is>
          <t>4 transportkratten teruggestuurd</t>
        </is>
      </c>
      <c r="L15" s="30" t="n">
        <v>0</v>
      </c>
      <c r="M15" s="30" t="n">
        <v>0</v>
      </c>
      <c r="N15" s="30" t="n">
        <v>0</v>
      </c>
      <c r="O15" s="30" t="n">
        <v>0</v>
      </c>
      <c r="P15" s="30" t="n">
        <v>0</v>
      </c>
      <c r="Q15" s="30" t="n">
        <v>100</v>
      </c>
      <c r="R15" s="28" t="n"/>
      <c r="S15" s="30" t="n">
        <v>100</v>
      </c>
      <c r="T15" s="28" t="n"/>
      <c r="U15" s="28" t="n"/>
      <c r="V15" s="28" t="n"/>
      <c r="W15" s="28" t="inlineStr"/>
      <c r="X15" s="28" t="inlineStr"/>
    </row>
    <row r="16">
      <c r="A16" s="28" t="inlineStr">
        <is>
          <t>AK15</t>
        </is>
      </c>
      <c r="B16" s="28" t="inlineStr">
        <is>
          <t>J3CA3</t>
        </is>
      </c>
      <c r="C16" s="28" t="inlineStr">
        <is>
          <t>Aankopen 3 · creditnota's en over te dragen kosten</t>
        </is>
      </c>
      <c r="D16" s="28" t="inlineStr">
        <is>
          <t>CN-AK</t>
        </is>
      </c>
      <c r="E16" s="29" t="n">
        <v>46803</v>
      </c>
      <c r="F16" s="28" t="n"/>
      <c r="G16" s="28" t="inlineStr">
        <is>
          <t>CN-2028-006</t>
        </is>
      </c>
      <c r="H16" s="28" t="inlineStr">
        <is>
          <t>Velomax bv</t>
        </is>
      </c>
      <c r="I16" s="28" t="inlineStr">
        <is>
          <t>Fietsatelier Noor bv</t>
        </is>
      </c>
      <c r="J16" s="28" t="inlineStr">
        <is>
          <t>2028-058</t>
        </is>
      </c>
      <c r="K16" s="28" t="inlineStr">
        <is>
          <t>1 bakfiets met een beschadigd frame en 2 fietsrekken teruggestuurd</t>
        </is>
      </c>
      <c r="L16" s="30" t="n">
        <v>1800</v>
      </c>
      <c r="M16" s="30" t="n">
        <v>378</v>
      </c>
      <c r="N16" s="30" t="n">
        <v>0</v>
      </c>
      <c r="O16" s="30" t="n">
        <v>0</v>
      </c>
      <c r="P16" s="30" t="n">
        <v>0</v>
      </c>
      <c r="Q16" s="30" t="n">
        <v>100</v>
      </c>
      <c r="R16" s="28" t="n"/>
      <c r="S16" s="30" t="n">
        <v>2278</v>
      </c>
      <c r="T16" s="28" t="n"/>
      <c r="U16" s="28" t="n"/>
      <c r="V16" s="28" t="n"/>
      <c r="W16" s="28" t="inlineStr">
        <is>
          <t>BANK04 lijn 3 (05/03)</t>
        </is>
      </c>
      <c r="X16" s="28" t="inlineStr"/>
    </row>
    <row r="17">
      <c r="A17" s="28" t="inlineStr">
        <is>
          <t>AK16</t>
        </is>
      </c>
      <c r="B17" s="28" t="inlineStr">
        <is>
          <t>J3A16</t>
        </is>
      </c>
      <c r="C17" s="28" t="inlineStr">
        <is>
          <t>Aankopen 3 · creditnota's en over te dragen kosten</t>
        </is>
      </c>
      <c r="D17" s="28" t="inlineStr">
        <is>
          <t>AK</t>
        </is>
      </c>
      <c r="E17" s="29" t="n">
        <v>46754</v>
      </c>
      <c r="F17" s="29" t="n">
        <v>46769</v>
      </c>
      <c r="G17" s="28" t="inlineStr">
        <is>
          <t>GZ-28-00871</t>
        </is>
      </c>
      <c r="H17" s="28" t="inlineStr">
        <is>
          <t>Gerzo Verzekeringen nv</t>
        </is>
      </c>
      <c r="I17" s="28" t="inlineStr">
        <is>
          <t>Fietsatelier Noor bv</t>
        </is>
      </c>
      <c r="J17" s="28" t="n"/>
      <c r="K17" s="28" t="inlineStr">
        <is>
          <t>1 januari 2028 tot en met 31 december 2028</t>
        </is>
      </c>
      <c r="L17" s="30" t="n">
        <v>0</v>
      </c>
      <c r="M17" s="30" t="n">
        <v>0</v>
      </c>
      <c r="N17" s="30" t="n">
        <v>0</v>
      </c>
      <c r="O17" s="30" t="n">
        <v>0</v>
      </c>
      <c r="P17" s="30" t="n">
        <v>1200</v>
      </c>
      <c r="Q17" s="30" t="n">
        <v>0</v>
      </c>
      <c r="R17" s="28" t="n"/>
      <c r="S17" s="30" t="n">
        <v>1200</v>
      </c>
      <c r="T17" s="28" t="n"/>
      <c r="U17" s="28" t="n"/>
      <c r="V17" s="28" t="n"/>
      <c r="W17" s="28" t="inlineStr"/>
      <c r="X17" s="28" t="inlineStr">
        <is>
          <t>periode 1 januari 2028 tot en met 31 december 2028: volledig als kost, over te dragen deel bij de afsluiting (OTK)</t>
        </is>
      </c>
    </row>
    <row r="18">
      <c r="A18" s="28" t="inlineStr">
        <is>
          <t>AK17</t>
        </is>
      </c>
      <c r="B18" s="28" t="inlineStr">
        <is>
          <t>J3A17</t>
        </is>
      </c>
      <c r="C18" s="28" t="inlineStr">
        <is>
          <t>Aankopen 3 · creditnota's en over te dragen kosten</t>
        </is>
      </c>
      <c r="D18" s="28" t="inlineStr">
        <is>
          <t>AK</t>
        </is>
      </c>
      <c r="E18" s="29" t="n">
        <v>46784</v>
      </c>
      <c r="F18" s="29" t="n">
        <v>46784</v>
      </c>
      <c r="G18" s="28" t="inlineStr">
        <is>
          <t>IV-2028-02</t>
        </is>
      </c>
      <c r="H18" s="28" t="inlineStr">
        <is>
          <t>Immo Vaartkom bv</t>
        </is>
      </c>
      <c r="I18" s="28" t="inlineStr">
        <is>
          <t>Fietsatelier Noor bv</t>
        </is>
      </c>
      <c r="J18" s="28" t="n"/>
      <c r="K18" s="28" t="inlineStr">
        <is>
          <t>1 februari 2028 tot en met 30 april 2028</t>
        </is>
      </c>
      <c r="L18" s="30" t="n">
        <v>0</v>
      </c>
      <c r="M18" s="30" t="n">
        <v>0</v>
      </c>
      <c r="N18" s="30" t="n">
        <v>0</v>
      </c>
      <c r="O18" s="30" t="n">
        <v>0</v>
      </c>
      <c r="P18" s="30" t="n">
        <v>1500</v>
      </c>
      <c r="Q18" s="30" t="n">
        <v>0</v>
      </c>
      <c r="R18" s="28" t="n"/>
      <c r="S18" s="30" t="n">
        <v>1500</v>
      </c>
      <c r="T18" s="28" t="n"/>
      <c r="U18" s="28" t="n"/>
      <c r="V18" s="28" t="n"/>
      <c r="W18" s="28" t="inlineStr">
        <is>
          <t>BANK02 lijn 2 (01/02)</t>
        </is>
      </c>
      <c r="X18" s="28" t="inlineStr">
        <is>
          <t>periode 1 februari 2028 tot en met 30 april 2028: volledig als kost, over te dragen deel bij de afsluiting (OTK)</t>
        </is>
      </c>
    </row>
    <row r="19">
      <c r="A19" s="31" t="inlineStr">
        <is>
          <t>VK01</t>
        </is>
      </c>
      <c r="B19" s="31" t="inlineStr">
        <is>
          <t>J3V01</t>
        </is>
      </c>
      <c r="C19" s="31" t="inlineStr">
        <is>
          <t>Verkopen 1 · handelskorting en kosten</t>
        </is>
      </c>
      <c r="D19" s="31" t="inlineStr">
        <is>
          <t>VK</t>
        </is>
      </c>
      <c r="E19" s="32" t="n">
        <v>46760</v>
      </c>
      <c r="F19" s="32" t="n">
        <v>46790</v>
      </c>
      <c r="G19" s="31" t="inlineStr">
        <is>
          <t>2028-001</t>
        </is>
      </c>
      <c r="H19" s="31" t="inlineStr">
        <is>
          <t>Fietsatelier Noor bv</t>
        </is>
      </c>
      <c r="I19" s="31" t="inlineStr">
        <is>
          <t>Snelpost bv</t>
        </is>
      </c>
      <c r="J19" s="31" t="n"/>
      <c r="K19" s="31" t="inlineStr">
        <is>
          <t>Verkoopfactuur 2028-001 - Snelpost bv</t>
        </is>
      </c>
      <c r="L19" s="33" t="n">
        <v>7800</v>
      </c>
      <c r="M19" s="33" t="n">
        <v>1638</v>
      </c>
      <c r="N19" s="33" t="n">
        <v>1500</v>
      </c>
      <c r="O19" s="33" t="n">
        <v>90</v>
      </c>
      <c r="P19" s="33" t="n">
        <v>0</v>
      </c>
      <c r="Q19" s="33" t="n">
        <v>0</v>
      </c>
      <c r="R19" s="31" t="n"/>
      <c r="S19" s="33" t="n">
        <v>11028</v>
      </c>
      <c r="T19" s="31" t="n"/>
      <c r="U19" s="31" t="n"/>
      <c r="V19" s="31" t="n"/>
      <c r="W19" s="31" t="inlineStr">
        <is>
          <t>BANK01 lijn 1 (20/01)</t>
        </is>
      </c>
      <c r="X19" s="31" t="inlineStr"/>
    </row>
    <row r="20">
      <c r="A20" s="31" t="inlineStr">
        <is>
          <t>VK02</t>
        </is>
      </c>
      <c r="B20" s="31" t="inlineStr">
        <is>
          <t>J3V02</t>
        </is>
      </c>
      <c r="C20" s="31" t="inlineStr">
        <is>
          <t>Verkopen 1 · handelskorting en kosten</t>
        </is>
      </c>
      <c r="D20" s="31" t="inlineStr">
        <is>
          <t>VK</t>
        </is>
      </c>
      <c r="E20" s="32" t="n">
        <v>46763</v>
      </c>
      <c r="F20" s="32" t="n">
        <v>46793</v>
      </c>
      <c r="G20" s="31" t="inlineStr">
        <is>
          <t>2028-002</t>
        </is>
      </c>
      <c r="H20" s="31" t="inlineStr">
        <is>
          <t>Fietsatelier Noor bv</t>
        </is>
      </c>
      <c r="I20" s="31" t="inlineStr">
        <is>
          <t>Hotel De Linde bv</t>
        </is>
      </c>
      <c r="J20" s="31" t="n"/>
      <c r="K20" s="31" t="inlineStr">
        <is>
          <t>Verkoopfactuur 2028-002 - Hotel De Linde bv</t>
        </is>
      </c>
      <c r="L20" s="33" t="n">
        <v>400</v>
      </c>
      <c r="M20" s="33" t="n">
        <v>84</v>
      </c>
      <c r="N20" s="33" t="n">
        <v>1800</v>
      </c>
      <c r="O20" s="33" t="n">
        <v>108</v>
      </c>
      <c r="P20" s="33" t="n">
        <v>0</v>
      </c>
      <c r="Q20" s="33" t="n">
        <v>0</v>
      </c>
      <c r="R20" s="31" t="n"/>
      <c r="S20" s="33" t="n">
        <v>2392</v>
      </c>
      <c r="T20" s="31" t="n"/>
      <c r="U20" s="31" t="n"/>
      <c r="V20" s="31" t="n"/>
      <c r="W20" s="31" t="inlineStr"/>
      <c r="X20" s="31" t="inlineStr"/>
    </row>
    <row r="21">
      <c r="A21" s="31" t="inlineStr">
        <is>
          <t>VK03</t>
        </is>
      </c>
      <c r="B21" s="31" t="inlineStr">
        <is>
          <t>J3V03</t>
        </is>
      </c>
      <c r="C21" s="31" t="inlineStr">
        <is>
          <t>Verkopen 1 · handelskorting en kosten</t>
        </is>
      </c>
      <c r="D21" s="31" t="inlineStr">
        <is>
          <t>VK</t>
        </is>
      </c>
      <c r="E21" s="32" t="n">
        <v>46769</v>
      </c>
      <c r="F21" s="32" t="n">
        <v>46799</v>
      </c>
      <c r="G21" s="31" t="inlineStr">
        <is>
          <t>2028-003</t>
        </is>
      </c>
      <c r="H21" s="31" t="inlineStr">
        <is>
          <t>Fietsatelier Noor bv</t>
        </is>
      </c>
      <c r="I21" s="31" t="inlineStr">
        <is>
          <t>Velocity Deelfietsen bv</t>
        </is>
      </c>
      <c r="J21" s="31" t="n"/>
      <c r="K21" s="31" t="inlineStr">
        <is>
          <t>Verkoopfactuur 2028-003 - Velocity Deelfietsen bv</t>
        </is>
      </c>
      <c r="L21" s="33" t="n">
        <v>7600</v>
      </c>
      <c r="M21" s="33" t="n">
        <v>1596</v>
      </c>
      <c r="N21" s="33" t="n">
        <v>0</v>
      </c>
      <c r="O21" s="33" t="n">
        <v>0</v>
      </c>
      <c r="P21" s="33" t="n">
        <v>0</v>
      </c>
      <c r="Q21" s="33" t="n">
        <v>0</v>
      </c>
      <c r="R21" s="31" t="n"/>
      <c r="S21" s="33" t="n">
        <v>9196</v>
      </c>
      <c r="T21" s="31" t="n"/>
      <c r="U21" s="31" t="n"/>
      <c r="V21" s="31" t="n"/>
      <c r="W21" s="31" t="inlineStr"/>
      <c r="X21" s="31" t="inlineStr"/>
    </row>
    <row r="22">
      <c r="A22" s="31" t="inlineStr">
        <is>
          <t>VK04</t>
        </is>
      </c>
      <c r="B22" s="31" t="inlineStr">
        <is>
          <t>J3V04</t>
        </is>
      </c>
      <c r="C22" s="31" t="inlineStr">
        <is>
          <t>Verkopen 1 · handelskorting en kosten</t>
        </is>
      </c>
      <c r="D22" s="31" t="inlineStr">
        <is>
          <t>VK</t>
        </is>
      </c>
      <c r="E22" s="32" t="n">
        <v>46777</v>
      </c>
      <c r="F22" s="32" t="n">
        <v>46807</v>
      </c>
      <c r="G22" s="31" t="inlineStr">
        <is>
          <t>2028-004</t>
        </is>
      </c>
      <c r="H22" s="31" t="inlineStr">
        <is>
          <t>Fietsatelier Noor bv</t>
        </is>
      </c>
      <c r="I22" s="31" t="inlineStr">
        <is>
          <t>Bouwbedrijf Janssens &amp; Zonen bv</t>
        </is>
      </c>
      <c r="J22" s="31" t="n"/>
      <c r="K22" s="31" t="inlineStr">
        <is>
          <t>Verkoopfactuur 2028-004 - Bouwbedrijf Janssens &amp; Zonen bv</t>
        </is>
      </c>
      <c r="L22" s="33" t="n">
        <v>5500</v>
      </c>
      <c r="M22" s="33" t="n">
        <v>1155</v>
      </c>
      <c r="N22" s="33" t="n">
        <v>0</v>
      </c>
      <c r="O22" s="33" t="n">
        <v>0</v>
      </c>
      <c r="P22" s="33" t="n">
        <v>0</v>
      </c>
      <c r="Q22" s="33" t="n">
        <v>0</v>
      </c>
      <c r="R22" s="31" t="n"/>
      <c r="S22" s="33" t="n">
        <v>6655</v>
      </c>
      <c r="T22" s="31" t="n"/>
      <c r="U22" s="31" t="n"/>
      <c r="V22" s="31" t="n"/>
      <c r="W22" s="31" t="inlineStr">
        <is>
          <t>BANK03 lijn 2 (20/02)</t>
        </is>
      </c>
      <c r="X22" s="31" t="inlineStr"/>
    </row>
    <row r="23">
      <c r="A23" s="31" t="inlineStr">
        <is>
          <t>VK05</t>
        </is>
      </c>
      <c r="B23" s="31" t="inlineStr">
        <is>
          <t>J3V05</t>
        </is>
      </c>
      <c r="C23" s="31" t="inlineStr">
        <is>
          <t>Verkopen 1 · handelskorting en kosten</t>
        </is>
      </c>
      <c r="D23" s="31" t="inlineStr">
        <is>
          <t>VK</t>
        </is>
      </c>
      <c r="E23" s="32" t="n">
        <v>46790</v>
      </c>
      <c r="F23" s="32" t="n">
        <v>46820</v>
      </c>
      <c r="G23" s="31" t="inlineStr">
        <is>
          <t>2028-006</t>
        </is>
      </c>
      <c r="H23" s="31" t="inlineStr">
        <is>
          <t>Fietsatelier Noor bv</t>
        </is>
      </c>
      <c r="I23" s="31" t="inlineStr">
        <is>
          <t>Brouwerij Van Acker bv</t>
        </is>
      </c>
      <c r="J23" s="31" t="n"/>
      <c r="K23" s="31" t="inlineStr">
        <is>
          <t>Verkoopfactuur 2028-006 - Brouwerij Van Acker bv</t>
        </is>
      </c>
      <c r="L23" s="33" t="n">
        <v>8000</v>
      </c>
      <c r="M23" s="33" t="n">
        <v>1680</v>
      </c>
      <c r="N23" s="33" t="n">
        <v>0</v>
      </c>
      <c r="O23" s="33" t="n">
        <v>0</v>
      </c>
      <c r="P23" s="33" t="n">
        <v>0</v>
      </c>
      <c r="Q23" s="33" t="n">
        <v>0</v>
      </c>
      <c r="R23" s="31" t="n"/>
      <c r="S23" s="33" t="n">
        <v>9680</v>
      </c>
      <c r="T23" s="31" t="n"/>
      <c r="U23" s="31" t="n"/>
      <c r="V23" s="31" t="n"/>
      <c r="W23" s="31" t="inlineStr"/>
      <c r="X23" s="31" t="inlineStr"/>
    </row>
    <row r="24">
      <c r="A24" s="31" t="inlineStr">
        <is>
          <t>VK06</t>
        </is>
      </c>
      <c r="B24" s="31" t="inlineStr">
        <is>
          <t>J3V06</t>
        </is>
      </c>
      <c r="C24" s="31" t="inlineStr">
        <is>
          <t>Verkopen 1 · handelskorting en kosten</t>
        </is>
      </c>
      <c r="D24" s="31" t="inlineStr">
        <is>
          <t>VK</t>
        </is>
      </c>
      <c r="E24" s="32" t="n">
        <v>46804</v>
      </c>
      <c r="F24" s="32" t="n">
        <v>46834</v>
      </c>
      <c r="G24" s="31" t="inlineStr">
        <is>
          <t>2028-009</t>
        </is>
      </c>
      <c r="H24" s="31" t="inlineStr">
        <is>
          <t>Fietsatelier Noor bv</t>
        </is>
      </c>
      <c r="I24" s="31" t="inlineStr">
        <is>
          <t>Bytewise bv</t>
        </is>
      </c>
      <c r="J24" s="31" t="n"/>
      <c r="K24" s="31" t="inlineStr">
        <is>
          <t>Verkoopfactuur 2028-009 - Bytewise bv</t>
        </is>
      </c>
      <c r="L24" s="33" t="n">
        <v>9600</v>
      </c>
      <c r="M24" s="33" t="n">
        <v>2016</v>
      </c>
      <c r="N24" s="33" t="n">
        <v>0</v>
      </c>
      <c r="O24" s="33" t="n">
        <v>0</v>
      </c>
      <c r="P24" s="33" t="n">
        <v>0</v>
      </c>
      <c r="Q24" s="33" t="n">
        <v>0</v>
      </c>
      <c r="R24" s="31" t="n"/>
      <c r="S24" s="33" t="n">
        <v>11616</v>
      </c>
      <c r="T24" s="31" t="n"/>
      <c r="U24" s="31" t="n"/>
      <c r="V24" s="31" t="n"/>
      <c r="W24" s="31" t="inlineStr"/>
      <c r="X24" s="31" t="inlineStr"/>
    </row>
    <row r="25">
      <c r="A25" s="34" t="inlineStr">
        <is>
          <t>VK07</t>
        </is>
      </c>
      <c r="B25" s="34" t="inlineStr">
        <is>
          <t>J3V07</t>
        </is>
      </c>
      <c r="C25" s="34" t="inlineStr">
        <is>
          <t>Verkopen 2 · verpakking, creditnota's, financiële korting</t>
        </is>
      </c>
      <c r="D25" s="34" t="inlineStr">
        <is>
          <t>VK</t>
        </is>
      </c>
      <c r="E25" s="35" t="n">
        <v>46786</v>
      </c>
      <c r="F25" s="35" t="n">
        <v>46816</v>
      </c>
      <c r="G25" s="34" t="inlineStr">
        <is>
          <t>2028-005</t>
        </is>
      </c>
      <c r="H25" s="34" t="inlineStr">
        <is>
          <t>Fietsatelier Noor bv</t>
        </is>
      </c>
      <c r="I25" s="34" t="inlineStr">
        <is>
          <t>Camping De Vlinder bv</t>
        </is>
      </c>
      <c r="J25" s="34" t="n"/>
      <c r="K25" s="34" t="inlineStr">
        <is>
          <t>Verkoopfactuur 2028-005 - Camping De Vlinder bv</t>
        </is>
      </c>
      <c r="L25" s="36" t="n">
        <v>4600</v>
      </c>
      <c r="M25" s="36" t="n">
        <v>966</v>
      </c>
      <c r="N25" s="36" t="n">
        <v>0</v>
      </c>
      <c r="O25" s="36" t="n">
        <v>0</v>
      </c>
      <c r="P25" s="36" t="n">
        <v>0</v>
      </c>
      <c r="Q25" s="36" t="n">
        <v>200</v>
      </c>
      <c r="R25" s="34" t="n"/>
      <c r="S25" s="36" t="n">
        <v>5766</v>
      </c>
      <c r="T25" s="34" t="n"/>
      <c r="U25" s="34" t="n"/>
      <c r="V25" s="34" t="n"/>
      <c r="W25" s="34" t="inlineStr">
        <is>
          <t>BANK04 lijn 2 (01/03)</t>
        </is>
      </c>
      <c r="X25" s="34" t="inlineStr"/>
    </row>
    <row r="26">
      <c r="A26" s="34" t="inlineStr">
        <is>
          <t>VK08</t>
        </is>
      </c>
      <c r="B26" s="34" t="inlineStr">
        <is>
          <t>J3CV1</t>
        </is>
      </c>
      <c r="C26" s="34" t="inlineStr">
        <is>
          <t>Verkopen 2 · verpakking, creditnota's, financiële korting</t>
        </is>
      </c>
      <c r="D26" s="34" t="inlineStr">
        <is>
          <t>CN-VK</t>
        </is>
      </c>
      <c r="E26" s="35" t="n">
        <v>46797</v>
      </c>
      <c r="F26" s="34" t="n"/>
      <c r="G26" s="34" t="inlineStr">
        <is>
          <t>CN-2028-001</t>
        </is>
      </c>
      <c r="H26" s="34" t="inlineStr">
        <is>
          <t>Fietsatelier Noor bv</t>
        </is>
      </c>
      <c r="I26" s="34" t="inlineStr">
        <is>
          <t>Bouwbedrijf Janssens &amp; Zonen bv</t>
        </is>
      </c>
      <c r="J26" s="34" t="inlineStr">
        <is>
          <t>2028-004</t>
        </is>
      </c>
      <c r="K26" s="34" t="inlineStr">
        <is>
          <t>1 e-bike teruggenomen: een werknemer is uit dienst</t>
        </is>
      </c>
      <c r="L26" s="36" t="n">
        <v>1800</v>
      </c>
      <c r="M26" s="36" t="n">
        <v>378</v>
      </c>
      <c r="N26" s="36" t="n">
        <v>0</v>
      </c>
      <c r="O26" s="36" t="n">
        <v>0</v>
      </c>
      <c r="P26" s="36" t="n">
        <v>0</v>
      </c>
      <c r="Q26" s="36" t="n">
        <v>0</v>
      </c>
      <c r="R26" s="34" t="n"/>
      <c r="S26" s="36" t="n">
        <v>2178</v>
      </c>
      <c r="T26" s="34" t="n"/>
      <c r="U26" s="34" t="n"/>
      <c r="V26" s="34" t="n"/>
      <c r="W26" s="34" t="inlineStr">
        <is>
          <t>BANK03 lijn 2 (20/02)</t>
        </is>
      </c>
      <c r="X26" s="34" t="inlineStr"/>
    </row>
    <row r="27">
      <c r="A27" s="34" t="inlineStr">
        <is>
          <t>VK09</t>
        </is>
      </c>
      <c r="B27" s="34" t="inlineStr">
        <is>
          <t>J3CV2</t>
        </is>
      </c>
      <c r="C27" s="34" t="inlineStr">
        <is>
          <t>Verkopen 2 · verpakking, creditnota's, financiële korting</t>
        </is>
      </c>
      <c r="D27" s="34" t="inlineStr">
        <is>
          <t>CN-VK</t>
        </is>
      </c>
      <c r="E27" s="35" t="n">
        <v>46807</v>
      </c>
      <c r="F27" s="34" t="n"/>
      <c r="G27" s="34" t="inlineStr">
        <is>
          <t>CN-2028-002</t>
        </is>
      </c>
      <c r="H27" s="34" t="inlineStr">
        <is>
          <t>Fietsatelier Noor bv</t>
        </is>
      </c>
      <c r="I27" s="34" t="inlineStr">
        <is>
          <t>Camping De Vlinder bv</t>
        </is>
      </c>
      <c r="J27" s="34" t="inlineStr">
        <is>
          <t>2028-005</t>
        </is>
      </c>
      <c r="K27" s="34" t="inlineStr">
        <is>
          <t>4 fietsrekken in goede staat terugontvangen</t>
        </is>
      </c>
      <c r="L27" s="36" t="n">
        <v>0</v>
      </c>
      <c r="M27" s="36" t="n">
        <v>0</v>
      </c>
      <c r="N27" s="36" t="n">
        <v>0</v>
      </c>
      <c r="O27" s="36" t="n">
        <v>0</v>
      </c>
      <c r="P27" s="36" t="n">
        <v>0</v>
      </c>
      <c r="Q27" s="36" t="n">
        <v>200</v>
      </c>
      <c r="R27" s="34" t="n"/>
      <c r="S27" s="36" t="n">
        <v>200</v>
      </c>
      <c r="T27" s="34" t="n"/>
      <c r="U27" s="34" t="n"/>
      <c r="V27" s="34" t="n"/>
      <c r="W27" s="34" t="inlineStr">
        <is>
          <t>BANK04 lijn 2 (01/03)</t>
        </is>
      </c>
      <c r="X27" s="34" t="inlineStr"/>
    </row>
    <row r="28">
      <c r="A28" s="34" t="inlineStr">
        <is>
          <t>VK10</t>
        </is>
      </c>
      <c r="B28" s="34" t="inlineStr">
        <is>
          <t>J3V10</t>
        </is>
      </c>
      <c r="C28" s="34" t="inlineStr">
        <is>
          <t>Verkopen 2 · verpakking, creditnota's, financiële korting</t>
        </is>
      </c>
      <c r="D28" s="34" t="inlineStr">
        <is>
          <t>VK</t>
        </is>
      </c>
      <c r="E28" s="35" t="n">
        <v>46813</v>
      </c>
      <c r="F28" s="35" t="n">
        <v>46843</v>
      </c>
      <c r="G28" s="34" t="inlineStr">
        <is>
          <t>2028-011</t>
        </is>
      </c>
      <c r="H28" s="34" t="inlineStr">
        <is>
          <t>Fietsatelier Noor bv</t>
        </is>
      </c>
      <c r="I28" s="34" t="inlineStr">
        <is>
          <t>Woonzorgcentrum Zonnehof vzw</t>
        </is>
      </c>
      <c r="J28" s="34" t="n"/>
      <c r="K28" s="34" t="inlineStr">
        <is>
          <t>Verkoopfactuur 2028-011 - Woonzorgcentrum Zonnehof vzw</t>
        </is>
      </c>
      <c r="L28" s="36" t="n">
        <v>9800</v>
      </c>
      <c r="M28" s="36" t="n">
        <v>2058</v>
      </c>
      <c r="N28" s="36" t="n">
        <v>0</v>
      </c>
      <c r="O28" s="36" t="n">
        <v>0</v>
      </c>
      <c r="P28" s="36" t="n">
        <v>0</v>
      </c>
      <c r="Q28" s="36" t="n">
        <v>0</v>
      </c>
      <c r="R28" s="36" t="n">
        <v>200</v>
      </c>
      <c r="S28" s="36" t="n">
        <v>12058</v>
      </c>
      <c r="T28" s="36" t="n">
        <v>11858</v>
      </c>
      <c r="U28" s="34" t="n"/>
      <c r="V28" s="34" t="n"/>
      <c r="W28" s="34" t="inlineStr">
        <is>
          <t>BANK04 lijn 4 (09/03)</t>
        </is>
      </c>
      <c r="X28" s="34" t="inlineStr">
        <is>
          <t>financiële korting binnen de termijn betaald</t>
        </is>
      </c>
    </row>
    <row r="29">
      <c r="A29" s="34" t="inlineStr">
        <is>
          <t>VK11</t>
        </is>
      </c>
      <c r="B29" s="34" t="inlineStr">
        <is>
          <t>J3V11</t>
        </is>
      </c>
      <c r="C29" s="34" t="inlineStr">
        <is>
          <t>Verkopen 2 · verpakking, creditnota's, financiële korting</t>
        </is>
      </c>
      <c r="D29" s="34" t="inlineStr">
        <is>
          <t>VK</t>
        </is>
      </c>
      <c r="E29" s="35" t="n">
        <v>46821</v>
      </c>
      <c r="F29" s="35" t="n">
        <v>46851</v>
      </c>
      <c r="G29" s="34" t="inlineStr">
        <is>
          <t>2028-013</t>
        </is>
      </c>
      <c r="H29" s="34" t="inlineStr">
        <is>
          <t>Fietsatelier Noor bv</t>
        </is>
      </c>
      <c r="I29" s="34" t="inlineStr">
        <is>
          <t>Studio Kowalski bv</t>
        </is>
      </c>
      <c r="J29" s="34" t="n"/>
      <c r="K29" s="34" t="inlineStr">
        <is>
          <t>Verkoopfactuur 2028-013 - Studio Kowalski bv</t>
        </is>
      </c>
      <c r="L29" s="36" t="n">
        <v>1900</v>
      </c>
      <c r="M29" s="36" t="n">
        <v>399</v>
      </c>
      <c r="N29" s="36" t="n">
        <v>0</v>
      </c>
      <c r="O29" s="36" t="n">
        <v>0</v>
      </c>
      <c r="P29" s="36" t="n">
        <v>0</v>
      </c>
      <c r="Q29" s="36" t="n">
        <v>0</v>
      </c>
      <c r="R29" s="36" t="n">
        <v>100</v>
      </c>
      <c r="S29" s="36" t="n">
        <v>2399</v>
      </c>
      <c r="T29" s="36" t="n">
        <v>2299</v>
      </c>
      <c r="U29" s="34" t="n"/>
      <c r="V29" s="34" t="n"/>
      <c r="W29" s="34" t="inlineStr">
        <is>
          <t>BANK05 lijn 3 (25/03)</t>
        </is>
      </c>
      <c r="X29" s="34" t="inlineStr">
        <is>
          <t>financiële korting te laat betaald, geen korting</t>
        </is>
      </c>
    </row>
    <row r="30">
      <c r="A30" s="34" t="inlineStr">
        <is>
          <t>ONTV01</t>
        </is>
      </c>
      <c r="B30" s="34" t="inlineStr">
        <is>
          <t>J3D1</t>
        </is>
      </c>
      <c r="C30" s="34" t="inlineStr">
        <is>
          <t>Verkopen 2 · verpakking, creditnota's, financiële korting</t>
        </is>
      </c>
      <c r="D30" s="34" t="inlineStr">
        <is>
          <t>DO</t>
        </is>
      </c>
      <c r="E30" s="35" t="n">
        <v>46830</v>
      </c>
      <c r="F30" s="34" t="n"/>
      <c r="G30" s="34" t="inlineStr">
        <is>
          <t>DO-2028-11</t>
        </is>
      </c>
      <c r="H30" s="34" t="inlineStr">
        <is>
          <t>Fietsatelier Noor bv</t>
        </is>
      </c>
      <c r="I30" s="34" t="inlineStr">
        <is>
          <t>particulieren (kasticket)</t>
        </is>
      </c>
      <c r="J30" s="34" t="n"/>
      <c r="K30" s="34" t="inlineStr">
        <is>
          <t>week 11 (13 tot en met 18 maart 2028)</t>
        </is>
      </c>
      <c r="L30" s="36" t="n">
        <v>4800</v>
      </c>
      <c r="M30" s="36" t="n">
        <v>1008</v>
      </c>
      <c r="N30" s="36" t="n">
        <v>2500</v>
      </c>
      <c r="O30" s="36" t="n">
        <v>150</v>
      </c>
      <c r="P30" s="34" t="n"/>
      <c r="Q30" s="34" t="n"/>
      <c r="R30" s="34" t="n"/>
      <c r="S30" s="36" t="n">
        <v>8458</v>
      </c>
      <c r="T30" s="34" t="n"/>
      <c r="U30" s="36" t="n">
        <v>5458</v>
      </c>
      <c r="V30" s="36" t="n">
        <v>3000</v>
      </c>
      <c r="W30" s="34" t="inlineStr">
        <is>
          <t>BANK05 lijn 1 (20/03)</t>
        </is>
      </c>
      <c r="X30" s="34" t="inlineStr"/>
    </row>
    <row r="31">
      <c r="A31" s="37" t="inlineStr">
        <is>
          <t>LOON01</t>
        </is>
      </c>
      <c r="B31" s="37" t="inlineStr">
        <is>
          <t>J3L1</t>
        </is>
      </c>
      <c r="C31" s="37" t="inlineStr">
        <is>
          <t>Lonen 1 · loonstaten</t>
        </is>
      </c>
      <c r="D31" s="37" t="inlineStr">
        <is>
          <t>LOON</t>
        </is>
      </c>
      <c r="E31" s="38" t="n">
        <v>46783</v>
      </c>
      <c r="F31" s="37" t="n"/>
      <c r="G31" s="37" t="inlineStr">
        <is>
          <t>LW-LS-2028-0101</t>
        </is>
      </c>
      <c r="H31" s="37" t="inlineStr">
        <is>
          <t>Loonwijs vzw</t>
        </is>
      </c>
      <c r="I31" s="37" t="inlineStr">
        <is>
          <t>Fietsatelier Noor bv</t>
        </is>
      </c>
      <c r="J31" s="37" t="n"/>
      <c r="K31" s="37" t="inlineStr">
        <is>
          <t>januari 2028</t>
        </is>
      </c>
      <c r="L31" s="37" t="n"/>
      <c r="M31" s="37" t="n"/>
      <c r="N31" s="37" t="n"/>
      <c r="O31" s="37" t="n"/>
      <c r="P31" s="37" t="n"/>
      <c r="Q31" s="37" t="n"/>
      <c r="R31" s="37" t="n"/>
      <c r="S31" s="37" t="n"/>
      <c r="T31" s="37" t="n"/>
      <c r="U31" s="37" t="n"/>
      <c r="V31" s="37" t="n"/>
      <c r="W31" s="37" t="inlineStr">
        <is>
          <t>BANK01 lijn 3 (31/01)</t>
        </is>
      </c>
      <c r="X31" s="37" t="inlineStr"/>
    </row>
    <row r="32">
      <c r="A32" s="37" t="inlineStr">
        <is>
          <t>LOON02</t>
        </is>
      </c>
      <c r="B32" s="37" t="inlineStr">
        <is>
          <t>J3L2</t>
        </is>
      </c>
      <c r="C32" s="37" t="inlineStr">
        <is>
          <t>Lonen 1 · loonstaten</t>
        </is>
      </c>
      <c r="D32" s="37" t="inlineStr">
        <is>
          <t>LOON</t>
        </is>
      </c>
      <c r="E32" s="38" t="n">
        <v>46783</v>
      </c>
      <c r="F32" s="37" t="n"/>
      <c r="G32" s="37" t="inlineStr">
        <is>
          <t>LW-LS-2028-0102</t>
        </is>
      </c>
      <c r="H32" s="37" t="inlineStr">
        <is>
          <t>Loonwijs vzw</t>
        </is>
      </c>
      <c r="I32" s="37" t="inlineStr">
        <is>
          <t>Fietsatelier Noor bv</t>
        </is>
      </c>
      <c r="J32" s="37" t="n"/>
      <c r="K32" s="37" t="inlineStr">
        <is>
          <t>januari 2028</t>
        </is>
      </c>
      <c r="L32" s="37" t="n"/>
      <c r="M32" s="37" t="n"/>
      <c r="N32" s="37" t="n"/>
      <c r="O32" s="37" t="n"/>
      <c r="P32" s="37" t="n"/>
      <c r="Q32" s="37" t="n"/>
      <c r="R32" s="37" t="n"/>
      <c r="S32" s="37" t="n"/>
      <c r="T32" s="37" t="n"/>
      <c r="U32" s="37" t="n"/>
      <c r="V32" s="37" t="n"/>
      <c r="W32" s="37" t="inlineStr">
        <is>
          <t>BANK01 lijn 3 (31/01)</t>
        </is>
      </c>
      <c r="X32" s="37" t="inlineStr"/>
    </row>
    <row r="33">
      <c r="A33" s="37" t="inlineStr">
        <is>
          <t>LOON03</t>
        </is>
      </c>
      <c r="B33" s="37" t="inlineStr">
        <is>
          <t>J3L3</t>
        </is>
      </c>
      <c r="C33" s="37" t="inlineStr">
        <is>
          <t>Lonen 1 · loonstaten</t>
        </is>
      </c>
      <c r="D33" s="37" t="inlineStr">
        <is>
          <t>LOON</t>
        </is>
      </c>
      <c r="E33" s="38" t="n">
        <v>46812</v>
      </c>
      <c r="F33" s="37" t="n"/>
      <c r="G33" s="37" t="inlineStr">
        <is>
          <t>LW-LS-2028-0201</t>
        </is>
      </c>
      <c r="H33" s="37" t="inlineStr">
        <is>
          <t>Loonwijs vzw</t>
        </is>
      </c>
      <c r="I33" s="37" t="inlineStr">
        <is>
          <t>Fietsatelier Noor bv</t>
        </is>
      </c>
      <c r="J33" s="37" t="n"/>
      <c r="K33" s="37" t="inlineStr">
        <is>
          <t>februari 2028</t>
        </is>
      </c>
      <c r="L33" s="37" t="n"/>
      <c r="M33" s="37" t="n"/>
      <c r="N33" s="37" t="n"/>
      <c r="O33" s="37" t="n"/>
      <c r="P33" s="37" t="n"/>
      <c r="Q33" s="37" t="n"/>
      <c r="R33" s="37" t="n"/>
      <c r="S33" s="37" t="n"/>
      <c r="T33" s="37" t="n"/>
      <c r="U33" s="37" t="n"/>
      <c r="V33" s="37" t="n"/>
      <c r="W33" s="37" t="inlineStr">
        <is>
          <t>BANK04 lijn 1 (29/02)</t>
        </is>
      </c>
      <c r="X33" s="37" t="inlineStr"/>
    </row>
    <row r="34">
      <c r="A34" s="37" t="inlineStr">
        <is>
          <t>LOON04</t>
        </is>
      </c>
      <c r="B34" s="37" t="inlineStr">
        <is>
          <t>J3L4</t>
        </is>
      </c>
      <c r="C34" s="37" t="inlineStr">
        <is>
          <t>Lonen 1 · loonstaten</t>
        </is>
      </c>
      <c r="D34" s="37" t="inlineStr">
        <is>
          <t>LOON</t>
        </is>
      </c>
      <c r="E34" s="38" t="n">
        <v>46812</v>
      </c>
      <c r="F34" s="37" t="n"/>
      <c r="G34" s="37" t="inlineStr">
        <is>
          <t>LW-LS-2028-0202</t>
        </is>
      </c>
      <c r="H34" s="37" t="inlineStr">
        <is>
          <t>Loonwijs vzw</t>
        </is>
      </c>
      <c r="I34" s="37" t="inlineStr">
        <is>
          <t>Fietsatelier Noor bv</t>
        </is>
      </c>
      <c r="J34" s="37" t="n"/>
      <c r="K34" s="37" t="inlineStr">
        <is>
          <t>februari 2028</t>
        </is>
      </c>
      <c r="L34" s="37" t="n"/>
      <c r="M34" s="37" t="n"/>
      <c r="N34" s="37" t="n"/>
      <c r="O34" s="37" t="n"/>
      <c r="P34" s="37" t="n"/>
      <c r="Q34" s="37" t="n"/>
      <c r="R34" s="37" t="n"/>
      <c r="S34" s="37" t="n"/>
      <c r="T34" s="37" t="n"/>
      <c r="U34" s="37" t="n"/>
      <c r="V34" s="37" t="n"/>
      <c r="W34" s="37" t="inlineStr">
        <is>
          <t>BANK04 lijn 1 (29/02)</t>
        </is>
      </c>
      <c r="X34" s="37" t="inlineStr"/>
    </row>
    <row r="35">
      <c r="A35" s="37" t="inlineStr">
        <is>
          <t>LOON05</t>
        </is>
      </c>
      <c r="B35" s="37" t="inlineStr">
        <is>
          <t>J3L5</t>
        </is>
      </c>
      <c r="C35" s="37" t="inlineStr">
        <is>
          <t>Lonen 1 · loonstaten</t>
        </is>
      </c>
      <c r="D35" s="37" t="inlineStr">
        <is>
          <t>LOON</t>
        </is>
      </c>
      <c r="E35" s="38" t="n">
        <v>46843</v>
      </c>
      <c r="F35" s="37" t="n"/>
      <c r="G35" s="37" t="inlineStr">
        <is>
          <t>LW-LS-2028-0301</t>
        </is>
      </c>
      <c r="H35" s="37" t="inlineStr">
        <is>
          <t>Loonwijs vzw</t>
        </is>
      </c>
      <c r="I35" s="37" t="inlineStr">
        <is>
          <t>Fietsatelier Noor bv</t>
        </is>
      </c>
      <c r="J35" s="37" t="n"/>
      <c r="K35" s="37" t="inlineStr">
        <is>
          <t>maart 2028</t>
        </is>
      </c>
      <c r="L35" s="37" t="n"/>
      <c r="M35" s="37" t="n"/>
      <c r="N35" s="37" t="n"/>
      <c r="O35" s="37" t="n"/>
      <c r="P35" s="37" t="n"/>
      <c r="Q35" s="37" t="n"/>
      <c r="R35" s="37" t="n"/>
      <c r="S35" s="37" t="n"/>
      <c r="T35" s="37" t="n"/>
      <c r="U35" s="37" t="n"/>
      <c r="V35" s="37" t="n"/>
      <c r="W35" s="37" t="inlineStr">
        <is>
          <t>BANK05 lijn 4 (31/03)</t>
        </is>
      </c>
      <c r="X35" s="37" t="inlineStr"/>
    </row>
    <row r="36">
      <c r="A36" s="37" t="inlineStr">
        <is>
          <t>LOON06</t>
        </is>
      </c>
      <c r="B36" s="37" t="inlineStr">
        <is>
          <t>J3L6</t>
        </is>
      </c>
      <c r="C36" s="37" t="inlineStr">
        <is>
          <t>Lonen 1 · loonstaten</t>
        </is>
      </c>
      <c r="D36" s="37" t="inlineStr">
        <is>
          <t>LOON</t>
        </is>
      </c>
      <c r="E36" s="38" t="n">
        <v>46843</v>
      </c>
      <c r="F36" s="37" t="n"/>
      <c r="G36" s="37" t="inlineStr">
        <is>
          <t>LW-LS-2028-0302</t>
        </is>
      </c>
      <c r="H36" s="37" t="inlineStr">
        <is>
          <t>Loonwijs vzw</t>
        </is>
      </c>
      <c r="I36" s="37" t="inlineStr">
        <is>
          <t>Fietsatelier Noor bv</t>
        </is>
      </c>
      <c r="J36" s="37" t="n"/>
      <c r="K36" s="37" t="inlineStr">
        <is>
          <t>maart 2028</t>
        </is>
      </c>
      <c r="L36" s="37" t="n"/>
      <c r="M36" s="37" t="n"/>
      <c r="N36" s="37" t="n"/>
      <c r="O36" s="37" t="n"/>
      <c r="P36" s="37" t="n"/>
      <c r="Q36" s="37" t="n"/>
      <c r="R36" s="37" t="n"/>
      <c r="S36" s="37" t="n"/>
      <c r="T36" s="37" t="n"/>
      <c r="U36" s="37" t="n"/>
      <c r="V36" s="37" t="n"/>
      <c r="W36" s="37" t="inlineStr">
        <is>
          <t>BANK05 lijn 4 (31/03)</t>
        </is>
      </c>
      <c r="X36" s="37" t="inlineStr"/>
    </row>
    <row r="37">
      <c r="A37" s="22" t="inlineStr">
        <is>
          <t>AK18</t>
        </is>
      </c>
      <c r="B37" s="22" t="inlineStr">
        <is>
          <t>J3S1</t>
        </is>
      </c>
      <c r="C37" s="22" t="inlineStr">
        <is>
          <t>Lonen 2 · RSZ, voorheffing en personeelskosten</t>
        </is>
      </c>
      <c r="D37" s="22" t="inlineStr">
        <is>
          <t>RSZ</t>
        </is>
      </c>
      <c r="E37" s="23" t="n">
        <v>46783</v>
      </c>
      <c r="F37" s="23" t="n">
        <v>46793</v>
      </c>
      <c r="G37" s="22" t="inlineStr">
        <is>
          <t>LW-2028-0131</t>
        </is>
      </c>
      <c r="H37" s="22" t="inlineStr">
        <is>
          <t>Loonwijs vzw</t>
        </is>
      </c>
      <c r="I37" s="22" t="inlineStr">
        <is>
          <t>Fietsatelier Noor bv</t>
        </is>
      </c>
      <c r="J37" s="22" t="n"/>
      <c r="K37" s="22" t="inlineStr">
        <is>
          <t>januari 2028</t>
        </is>
      </c>
      <c r="L37" s="22" t="n"/>
      <c r="M37" s="22" t="n"/>
      <c r="N37" s="22" t="n"/>
      <c r="O37" s="22" t="n"/>
      <c r="P37" s="22" t="n"/>
      <c r="Q37" s="22" t="n"/>
      <c r="R37" s="22" t="n"/>
      <c r="S37" s="24" t="n">
        <v>2100</v>
      </c>
      <c r="T37" s="22" t="n"/>
      <c r="U37" s="22" t="n"/>
      <c r="V37" s="22" t="n"/>
      <c r="W37" s="22" t="inlineStr">
        <is>
          <t>BANK02 lijn 4 (10/02)</t>
        </is>
      </c>
      <c r="X37" s="22" t="inlineStr"/>
    </row>
    <row r="38">
      <c r="A38" s="22" t="inlineStr">
        <is>
          <t>AK19</t>
        </is>
      </c>
      <c r="B38" s="22" t="inlineStr">
        <is>
          <t>J3S2</t>
        </is>
      </c>
      <c r="C38" s="22" t="inlineStr">
        <is>
          <t>Lonen 2 · RSZ, voorheffing en personeelskosten</t>
        </is>
      </c>
      <c r="D38" s="22" t="inlineStr">
        <is>
          <t>RSZ</t>
        </is>
      </c>
      <c r="E38" s="23" t="n">
        <v>46812</v>
      </c>
      <c r="F38" s="23" t="n">
        <v>46822</v>
      </c>
      <c r="G38" s="22" t="inlineStr">
        <is>
          <t>LW-2028-0229</t>
        </is>
      </c>
      <c r="H38" s="22" t="inlineStr">
        <is>
          <t>Loonwijs vzw</t>
        </is>
      </c>
      <c r="I38" s="22" t="inlineStr">
        <is>
          <t>Fietsatelier Noor bv</t>
        </is>
      </c>
      <c r="J38" s="22" t="n"/>
      <c r="K38" s="22" t="inlineStr">
        <is>
          <t>februari 2028</t>
        </is>
      </c>
      <c r="L38" s="22" t="n"/>
      <c r="M38" s="22" t="n"/>
      <c r="N38" s="22" t="n"/>
      <c r="O38" s="22" t="n"/>
      <c r="P38" s="22" t="n"/>
      <c r="Q38" s="22" t="n"/>
      <c r="R38" s="22" t="n"/>
      <c r="S38" s="24" t="n">
        <v>2360</v>
      </c>
      <c r="T38" s="22" t="n"/>
      <c r="U38" s="22" t="n"/>
      <c r="V38" s="22" t="n"/>
      <c r="W38" s="22" t="inlineStr">
        <is>
          <t>BANK04 lijn 5 (10/03)</t>
        </is>
      </c>
      <c r="X38" s="22" t="inlineStr"/>
    </row>
    <row r="39">
      <c r="A39" s="22" t="inlineStr">
        <is>
          <t>AK20</t>
        </is>
      </c>
      <c r="B39" s="22" t="inlineStr">
        <is>
          <t>J3S3</t>
        </is>
      </c>
      <c r="C39" s="22" t="inlineStr">
        <is>
          <t>Lonen 2 · RSZ, voorheffing en personeelskosten</t>
        </is>
      </c>
      <c r="D39" s="22" t="inlineStr">
        <is>
          <t>RSZ</t>
        </is>
      </c>
      <c r="E39" s="23" t="n">
        <v>46843</v>
      </c>
      <c r="F39" s="23" t="n">
        <v>46853</v>
      </c>
      <c r="G39" s="22" t="inlineStr">
        <is>
          <t>LW-2028-0331</t>
        </is>
      </c>
      <c r="H39" s="22" t="inlineStr">
        <is>
          <t>Loonwijs vzw</t>
        </is>
      </c>
      <c r="I39" s="22" t="inlineStr">
        <is>
          <t>Fietsatelier Noor bv</t>
        </is>
      </c>
      <c r="J39" s="22" t="n"/>
      <c r="K39" s="22" t="inlineStr">
        <is>
          <t>maart 2028</t>
        </is>
      </c>
      <c r="L39" s="22" t="n"/>
      <c r="M39" s="22" t="n"/>
      <c r="N39" s="22" t="n"/>
      <c r="O39" s="22" t="n"/>
      <c r="P39" s="22" t="n"/>
      <c r="Q39" s="22" t="n"/>
      <c r="R39" s="22" t="n"/>
      <c r="S39" s="24" t="n">
        <v>2220</v>
      </c>
      <c r="T39" s="22" t="n"/>
      <c r="U39" s="22" t="n"/>
      <c r="V39" s="22" t="n"/>
      <c r="W39" s="22" t="inlineStr"/>
      <c r="X39" s="22" t="inlineStr"/>
    </row>
    <row r="40">
      <c r="A40" s="22" t="inlineStr">
        <is>
          <t>AK21</t>
        </is>
      </c>
      <c r="B40" s="22" t="inlineStr">
        <is>
          <t>J3A21</t>
        </is>
      </c>
      <c r="C40" s="22" t="inlineStr">
        <is>
          <t>Lonen 2 · RSZ, voorheffing en personeelskosten</t>
        </is>
      </c>
      <c r="D40" s="22" t="inlineStr">
        <is>
          <t>AK</t>
        </is>
      </c>
      <c r="E40" s="23" t="n">
        <v>46843</v>
      </c>
      <c r="F40" s="23" t="n">
        <v>46873</v>
      </c>
      <c r="G40" s="22" t="inlineStr">
        <is>
          <t>LW-2028-0332</t>
        </is>
      </c>
      <c r="H40" s="22" t="inlineStr">
        <is>
          <t>Loonwijs vzw</t>
        </is>
      </c>
      <c r="I40" s="22" t="inlineStr">
        <is>
          <t>Fietsatelier Noor bv</t>
        </is>
      </c>
      <c r="J40" s="22" t="n"/>
      <c r="K40" s="22" t="inlineStr">
        <is>
          <t>Aankoopfactuur LW-2028-0332 - Loonwijs vzw</t>
        </is>
      </c>
      <c r="L40" s="24" t="n">
        <v>200</v>
      </c>
      <c r="M40" s="24" t="n">
        <v>42</v>
      </c>
      <c r="N40" s="24" t="n">
        <v>0</v>
      </c>
      <c r="O40" s="24" t="n">
        <v>0</v>
      </c>
      <c r="P40" s="24" t="n">
        <v>0</v>
      </c>
      <c r="Q40" s="24" t="n">
        <v>0</v>
      </c>
      <c r="R40" s="22" t="n"/>
      <c r="S40" s="24" t="n">
        <v>242</v>
      </c>
      <c r="T40" s="22" t="n"/>
      <c r="U40" s="22" t="n"/>
      <c r="V40" s="22" t="n"/>
      <c r="W40" s="22" t="inlineStr"/>
      <c r="X40" s="22" t="inlineStr"/>
    </row>
    <row r="41">
      <c r="A41" s="22" t="inlineStr">
        <is>
          <t>AK22</t>
        </is>
      </c>
      <c r="B41" s="22" t="inlineStr">
        <is>
          <t>J3A22</t>
        </is>
      </c>
      <c r="C41" s="22" t="inlineStr">
        <is>
          <t>Lonen 2 · RSZ, voorheffing en personeelskosten</t>
        </is>
      </c>
      <c r="D41" s="22" t="inlineStr">
        <is>
          <t>AK</t>
        </is>
      </c>
      <c r="E41" s="23" t="n">
        <v>46754</v>
      </c>
      <c r="F41" s="23" t="n">
        <v>46769</v>
      </c>
      <c r="G41" s="22" t="inlineStr">
        <is>
          <t>GZ-28-00872</t>
        </is>
      </c>
      <c r="H41" s="22" t="inlineStr">
        <is>
          <t>Gerzo Verzekeringen nv</t>
        </is>
      </c>
      <c r="I41" s="22" t="inlineStr">
        <is>
          <t>Fietsatelier Noor bv</t>
        </is>
      </c>
      <c r="J41" s="22" t="n"/>
      <c r="K41" s="22" t="inlineStr">
        <is>
          <t>1 januari 2028 tot en met 31 december 2028</t>
        </is>
      </c>
      <c r="L41" s="24" t="n">
        <v>0</v>
      </c>
      <c r="M41" s="24" t="n">
        <v>0</v>
      </c>
      <c r="N41" s="24" t="n">
        <v>0</v>
      </c>
      <c r="O41" s="24" t="n">
        <v>0</v>
      </c>
      <c r="P41" s="24" t="n">
        <v>600</v>
      </c>
      <c r="Q41" s="24" t="n">
        <v>0</v>
      </c>
      <c r="R41" s="22" t="n"/>
      <c r="S41" s="24" t="n">
        <v>600</v>
      </c>
      <c r="T41" s="22" t="n"/>
      <c r="U41" s="22" t="n"/>
      <c r="V41" s="22" t="n"/>
      <c r="W41" s="22" t="inlineStr"/>
      <c r="X41" s="22" t="inlineStr">
        <is>
          <t>periode 1 januari 2028 tot en met 31 december 2028: volledig als kost, over te dragen deel bij de afsluiting (OTK)</t>
        </is>
      </c>
    </row>
    <row r="42">
      <c r="A42" s="22" t="inlineStr">
        <is>
          <t>AK23</t>
        </is>
      </c>
      <c r="B42" s="22" t="inlineStr">
        <is>
          <t>J3A23</t>
        </is>
      </c>
      <c r="C42" s="22" t="inlineStr">
        <is>
          <t>Lonen 2 · RSZ, voorheffing en personeelskosten</t>
        </is>
      </c>
      <c r="D42" s="22" t="inlineStr">
        <is>
          <t>AK</t>
        </is>
      </c>
      <c r="E42" s="23" t="n">
        <v>46762</v>
      </c>
      <c r="F42" s="23" t="n">
        <v>46792</v>
      </c>
      <c r="G42" s="22" t="inlineStr">
        <is>
          <t>PV-28-1022</t>
        </is>
      </c>
      <c r="H42" s="22" t="inlineStr">
        <is>
          <t>Preventa vzw</t>
        </is>
      </c>
      <c r="I42" s="22" t="inlineStr">
        <is>
          <t>Fietsatelier Noor bv</t>
        </is>
      </c>
      <c r="J42" s="22" t="n"/>
      <c r="K42" s="22" t="inlineStr">
        <is>
          <t>Aankoopfactuur PV-28-1022 - Preventa vzw</t>
        </is>
      </c>
      <c r="L42" s="24" t="n">
        <v>0</v>
      </c>
      <c r="M42" s="24" t="n">
        <v>0</v>
      </c>
      <c r="N42" s="24" t="n">
        <v>0</v>
      </c>
      <c r="O42" s="24" t="n">
        <v>0</v>
      </c>
      <c r="P42" s="24" t="n">
        <v>140</v>
      </c>
      <c r="Q42" s="24" t="n">
        <v>0</v>
      </c>
      <c r="R42" s="22" t="n"/>
      <c r="S42" s="24" t="n">
        <v>140</v>
      </c>
      <c r="T42" s="22" t="n"/>
      <c r="U42" s="22" t="n"/>
      <c r="V42" s="22" t="n"/>
      <c r="W42" s="22" t="inlineStr"/>
      <c r="X42" s="22" t="inlineStr"/>
    </row>
    <row r="43">
      <c r="A43" s="25" t="inlineStr">
        <is>
          <t>KAS01</t>
        </is>
      </c>
      <c r="B43" s="25" t="inlineStr">
        <is>
          <t>J3K1</t>
        </is>
      </c>
      <c r="C43" s="25" t="inlineStr">
        <is>
          <t>Financiële verrichtingen</t>
        </is>
      </c>
      <c r="D43" s="25" t="inlineStr">
        <is>
          <t>KAS</t>
        </is>
      </c>
      <c r="E43" s="26" t="n">
        <v>46830</v>
      </c>
      <c r="F43" s="25" t="n"/>
      <c r="G43" s="25" t="inlineStr">
        <is>
          <t>KAS-2028-01</t>
        </is>
      </c>
      <c r="H43" s="25" t="inlineStr">
        <is>
          <t>Fietsatelier Noor bv</t>
        </is>
      </c>
      <c r="I43" s="25" t="inlineStr">
        <is>
          <t>Fietsatelier Noor bv</t>
        </is>
      </c>
      <c r="J43" s="25" t="inlineStr">
        <is>
          <t>DO-2028-11</t>
        </is>
      </c>
      <c r="K43" s="25" t="inlineStr">
        <is>
          <t>Kasstuk KAS-2028-01 - contant deel dagontvangsten DO-2028-11</t>
        </is>
      </c>
      <c r="L43" s="25" t="n"/>
      <c r="M43" s="25" t="n"/>
      <c r="N43" s="25" t="n"/>
      <c r="O43" s="25" t="n"/>
      <c r="P43" s="25" t="n"/>
      <c r="Q43" s="25" t="n"/>
      <c r="R43" s="25" t="n"/>
      <c r="S43" s="25" t="n"/>
      <c r="T43" s="25" t="n"/>
      <c r="U43" s="27" t="n">
        <v>5458</v>
      </c>
      <c r="V43" s="25" t="n"/>
      <c r="W43" s="25" t="inlineStr"/>
      <c r="X43" s="25" t="inlineStr"/>
    </row>
    <row r="44">
      <c r="A44" s="25" t="inlineStr">
        <is>
          <t>KAS02</t>
        </is>
      </c>
      <c r="B44" s="25" t="inlineStr">
        <is>
          <t>J3K2</t>
        </is>
      </c>
      <c r="C44" s="25" t="inlineStr">
        <is>
          <t>Financiële verrichtingen</t>
        </is>
      </c>
      <c r="D44" s="25" t="inlineStr">
        <is>
          <t>KAS</t>
        </is>
      </c>
      <c r="E44" s="26" t="n">
        <v>46834</v>
      </c>
      <c r="F44" s="25" t="n"/>
      <c r="G44" s="25" t="inlineStr">
        <is>
          <t>KAS-2028-02</t>
        </is>
      </c>
      <c r="H44" s="25" t="inlineStr">
        <is>
          <t>Fietsatelier Noor bv</t>
        </is>
      </c>
      <c r="I44" s="25" t="inlineStr">
        <is>
          <t>Fietsatelier Noor bv</t>
        </is>
      </c>
      <c r="J44" s="25" t="n"/>
      <c r="K44" s="25" t="inlineStr">
        <is>
          <t>Kasstuk KAS-2028-02 - storting van contanten op de bank</t>
        </is>
      </c>
      <c r="L44" s="25" t="n"/>
      <c r="M44" s="25" t="n"/>
      <c r="N44" s="25" t="n"/>
      <c r="O44" s="25" t="n"/>
      <c r="P44" s="25" t="n"/>
      <c r="Q44" s="25" t="n"/>
      <c r="R44" s="25" t="n"/>
      <c r="S44" s="25" t="n"/>
      <c r="T44" s="25" t="n"/>
      <c r="U44" s="27" t="n">
        <v>-3500</v>
      </c>
      <c r="V44" s="25" t="n"/>
      <c r="W44" s="25" t="inlineStr">
        <is>
          <t>BANK05 lijn 2 (22/03)</t>
        </is>
      </c>
      <c r="X44" s="25" t="inlineStr"/>
    </row>
    <row r="45">
      <c r="A45" s="25" t="inlineStr">
        <is>
          <t>BANK01</t>
        </is>
      </c>
      <c r="B45" s="25" t="inlineStr">
        <is>
          <t>J3U1</t>
        </is>
      </c>
      <c r="C45" s="25" t="inlineStr">
        <is>
          <t>Financiële verrichtingen</t>
        </is>
      </c>
      <c r="D45" s="25" t="inlineStr">
        <is>
          <t>BANK</t>
        </is>
      </c>
      <c r="E45" s="26" t="n">
        <v>46783</v>
      </c>
      <c r="F45" s="25" t="n"/>
      <c r="G45" s="25" t="inlineStr">
        <is>
          <t>1</t>
        </is>
      </c>
      <c r="H45" s="25" t="n"/>
      <c r="I45" s="25" t="n"/>
      <c r="J45" s="25" t="n"/>
      <c r="K45" s="25" t="inlineStr">
        <is>
          <t>Rekeninguittreksel 1</t>
        </is>
      </c>
      <c r="L45" s="25" t="n"/>
      <c r="M45" s="25" t="n"/>
      <c r="N45" s="25" t="n"/>
      <c r="O45" s="25" t="n"/>
      <c r="P45" s="25" t="n"/>
      <c r="Q45" s="25" t="n"/>
      <c r="R45" s="25" t="n"/>
      <c r="S45" s="25" t="n"/>
      <c r="T45" s="25" t="n"/>
      <c r="U45" s="25" t="n"/>
      <c r="V45" s="25" t="n"/>
      <c r="W45" s="25" t="inlineStr"/>
      <c r="X45" s="25" t="inlineStr"/>
    </row>
    <row r="46">
      <c r="A46" s="25" t="inlineStr">
        <is>
          <t>BANK02</t>
        </is>
      </c>
      <c r="B46" s="25" t="inlineStr">
        <is>
          <t>J3U2</t>
        </is>
      </c>
      <c r="C46" s="25" t="inlineStr">
        <is>
          <t>Financiële verrichtingen</t>
        </is>
      </c>
      <c r="D46" s="25" t="inlineStr">
        <is>
          <t>BANK</t>
        </is>
      </c>
      <c r="E46" s="26" t="n">
        <v>46793</v>
      </c>
      <c r="F46" s="25" t="n"/>
      <c r="G46" s="25" t="inlineStr">
        <is>
          <t>2</t>
        </is>
      </c>
      <c r="H46" s="25" t="n"/>
      <c r="I46" s="25" t="n"/>
      <c r="J46" s="25" t="n"/>
      <c r="K46" s="25" t="inlineStr">
        <is>
          <t>Rekeninguittreksel 2</t>
        </is>
      </c>
      <c r="L46" s="25" t="n"/>
      <c r="M46" s="25" t="n"/>
      <c r="N46" s="25" t="n"/>
      <c r="O46" s="25" t="n"/>
      <c r="P46" s="25" t="n"/>
      <c r="Q46" s="25" t="n"/>
      <c r="R46" s="25" t="n"/>
      <c r="S46" s="25" t="n"/>
      <c r="T46" s="25" t="n"/>
      <c r="U46" s="25" t="n"/>
      <c r="V46" s="25" t="n"/>
      <c r="W46" s="25" t="inlineStr"/>
      <c r="X46" s="25" t="inlineStr"/>
    </row>
    <row r="47">
      <c r="A47" s="25" t="inlineStr">
        <is>
          <t>BANK03</t>
        </is>
      </c>
      <c r="B47" s="25" t="inlineStr">
        <is>
          <t>J3U3</t>
        </is>
      </c>
      <c r="C47" s="25" t="inlineStr">
        <is>
          <t>Financiële verrichtingen</t>
        </is>
      </c>
      <c r="D47" s="25" t="inlineStr">
        <is>
          <t>BANK</t>
        </is>
      </c>
      <c r="E47" s="26" t="n">
        <v>46805</v>
      </c>
      <c r="F47" s="25" t="n"/>
      <c r="G47" s="25" t="inlineStr">
        <is>
          <t>3</t>
        </is>
      </c>
      <c r="H47" s="25" t="n"/>
      <c r="I47" s="25" t="n"/>
      <c r="J47" s="25" t="n"/>
      <c r="K47" s="25" t="inlineStr">
        <is>
          <t>Rekeninguittreksel 3</t>
        </is>
      </c>
      <c r="L47" s="25" t="n"/>
      <c r="M47" s="25" t="n"/>
      <c r="N47" s="25" t="n"/>
      <c r="O47" s="25" t="n"/>
      <c r="P47" s="25" t="n"/>
      <c r="Q47" s="25" t="n"/>
      <c r="R47" s="25" t="n"/>
      <c r="S47" s="25" t="n"/>
      <c r="T47" s="25" t="n"/>
      <c r="U47" s="25" t="n"/>
      <c r="V47" s="25" t="n"/>
      <c r="W47" s="25" t="inlineStr"/>
      <c r="X47" s="25" t="inlineStr"/>
    </row>
    <row r="48">
      <c r="A48" s="25" t="inlineStr">
        <is>
          <t>BANK04</t>
        </is>
      </c>
      <c r="B48" s="25" t="inlineStr">
        <is>
          <t>J3U4</t>
        </is>
      </c>
      <c r="C48" s="25" t="inlineStr">
        <is>
          <t>Financiële verrichtingen</t>
        </is>
      </c>
      <c r="D48" s="25" t="inlineStr">
        <is>
          <t>BANK</t>
        </is>
      </c>
      <c r="E48" s="26" t="n">
        <v>46822</v>
      </c>
      <c r="F48" s="25" t="n"/>
      <c r="G48" s="25" t="inlineStr">
        <is>
          <t>4</t>
        </is>
      </c>
      <c r="H48" s="25" t="n"/>
      <c r="I48" s="25" t="n"/>
      <c r="J48" s="25" t="n"/>
      <c r="K48" s="25" t="inlineStr">
        <is>
          <t>Rekeninguittreksel 4</t>
        </is>
      </c>
      <c r="L48" s="25" t="n"/>
      <c r="M48" s="25" t="n"/>
      <c r="N48" s="25" t="n"/>
      <c r="O48" s="25" t="n"/>
      <c r="P48" s="25" t="n"/>
      <c r="Q48" s="25" t="n"/>
      <c r="R48" s="25" t="n"/>
      <c r="S48" s="25" t="n"/>
      <c r="T48" s="25" t="n"/>
      <c r="U48" s="25" t="n"/>
      <c r="V48" s="25" t="n"/>
      <c r="W48" s="25" t="inlineStr"/>
      <c r="X48" s="25" t="inlineStr"/>
    </row>
    <row r="49">
      <c r="A49" s="25" t="inlineStr">
        <is>
          <t>BANK05</t>
        </is>
      </c>
      <c r="B49" s="25" t="inlineStr">
        <is>
          <t>J3U5</t>
        </is>
      </c>
      <c r="C49" s="25" t="inlineStr">
        <is>
          <t>Financiële verrichtingen</t>
        </is>
      </c>
      <c r="D49" s="25" t="inlineStr">
        <is>
          <t>BANK</t>
        </is>
      </c>
      <c r="E49" s="26" t="n">
        <v>46843</v>
      </c>
      <c r="F49" s="25" t="n"/>
      <c r="G49" s="25" t="inlineStr">
        <is>
          <t>5</t>
        </is>
      </c>
      <c r="H49" s="25" t="n"/>
      <c r="I49" s="25" t="n"/>
      <c r="J49" s="25" t="n"/>
      <c r="K49" s="25" t="inlineStr">
        <is>
          <t>Rekeninguittreksel 5</t>
        </is>
      </c>
      <c r="L49" s="25" t="n"/>
      <c r="M49" s="25" t="n"/>
      <c r="N49" s="25" t="n"/>
      <c r="O49" s="25" t="n"/>
      <c r="P49" s="25" t="n"/>
      <c r="Q49" s="25" t="n"/>
      <c r="R49" s="25" t="n"/>
      <c r="S49" s="25" t="n"/>
      <c r="T49" s="25" t="n"/>
      <c r="U49" s="25" t="n"/>
      <c r="V49" s="25" t="n"/>
      <c r="W49" s="25" t="inlineStr"/>
      <c r="X49" s="25" t="inlineStr"/>
    </row>
    <row r="50">
      <c r="A50" s="28" t="inlineStr">
        <is>
          <t>BTW</t>
        </is>
      </c>
      <c r="B50" s="28" t="inlineStr">
        <is>
          <t>J3BTW</t>
        </is>
      </c>
      <c r="C50" s="28" t="inlineStr">
        <is>
          <t>BTW-verwerking</t>
        </is>
      </c>
      <c r="D50" s="28" t="inlineStr">
        <is>
          <t>MEMO</t>
        </is>
      </c>
      <c r="E50" s="29" t="n">
        <v>46843</v>
      </c>
      <c r="F50" s="28" t="n"/>
      <c r="G50" s="28" t="inlineStr"/>
      <c r="H50" s="28" t="n"/>
      <c r="I50" s="28" t="n"/>
      <c r="J50" s="28" t="n"/>
      <c r="K50" s="28" t="inlineStr">
        <is>
          <t>Btw-verwerking 1e kwartaal 2028</t>
        </is>
      </c>
      <c r="L50" s="28" t="n"/>
      <c r="M50" s="28" t="n"/>
      <c r="N50" s="28" t="n"/>
      <c r="O50" s="28" t="n"/>
      <c r="P50" s="28" t="n"/>
      <c r="Q50" s="28" t="n"/>
      <c r="R50" s="28" t="n"/>
      <c r="S50" s="28" t="n"/>
      <c r="T50" s="28" t="n"/>
      <c r="U50" s="28" t="n"/>
      <c r="V50" s="28" t="n"/>
      <c r="W50" s="28" t="inlineStr"/>
      <c r="X50" s="28" t="inlineStr"/>
    </row>
    <row r="51">
      <c r="A51" s="31" t="inlineStr">
        <is>
          <t>AFSCHR</t>
        </is>
      </c>
      <c r="B51" s="31" t="inlineStr">
        <is>
          <t>J3AFS</t>
        </is>
      </c>
      <c r="C51" s="31" t="inlineStr">
        <is>
          <t>Eindejaarsverrichtingen</t>
        </is>
      </c>
      <c r="D51" s="31" t="inlineStr">
        <is>
          <t>AFSCHR</t>
        </is>
      </c>
      <c r="E51" s="32" t="n">
        <v>46843</v>
      </c>
      <c r="F51" s="31" t="n"/>
      <c r="G51" s="31" t="inlineStr"/>
      <c r="H51" s="31" t="n"/>
      <c r="I51" s="31" t="n"/>
      <c r="J51" s="31" t="n"/>
      <c r="K51" s="31" t="inlineStr">
        <is>
          <t>Afschrijvingen 1e kwartaal 2028</t>
        </is>
      </c>
      <c r="L51" s="31" t="n"/>
      <c r="M51" s="31" t="n"/>
      <c r="N51" s="31" t="n"/>
      <c r="O51" s="31" t="n"/>
      <c r="P51" s="31" t="n"/>
      <c r="Q51" s="31" t="n"/>
      <c r="R51" s="31" t="n"/>
      <c r="S51" s="31" t="n"/>
      <c r="T51" s="31" t="n"/>
      <c r="U51" s="31" t="n"/>
      <c r="V51" s="31" t="n"/>
      <c r="W51" s="31" t="inlineStr"/>
      <c r="X51" s="31" t="inlineStr"/>
    </row>
    <row r="52">
      <c r="A52" s="31" t="inlineStr">
        <is>
          <t>OTK</t>
        </is>
      </c>
      <c r="B52" s="31" t="inlineStr">
        <is>
          <t>J3OTK</t>
        </is>
      </c>
      <c r="C52" s="31" t="inlineStr">
        <is>
          <t>Eindejaarsverrichtingen</t>
        </is>
      </c>
      <c r="D52" s="31" t="inlineStr">
        <is>
          <t>OTK</t>
        </is>
      </c>
      <c r="E52" s="32" t="n">
        <v>46843</v>
      </c>
      <c r="F52" s="31" t="n"/>
      <c r="G52" s="31" t="inlineStr"/>
      <c r="H52" s="31" t="n"/>
      <c r="I52" s="31" t="n"/>
      <c r="J52" s="31" t="n"/>
      <c r="K52" s="31" t="inlineStr">
        <is>
          <t>Over te dragen kosten op 31 maart 2028</t>
        </is>
      </c>
      <c r="L52" s="31" t="n"/>
      <c r="M52" s="31" t="n"/>
      <c r="N52" s="31" t="n"/>
      <c r="O52" s="31" t="n"/>
      <c r="P52" s="31" t="n"/>
      <c r="Q52" s="31" t="n"/>
      <c r="R52" s="31" t="n"/>
      <c r="S52" s="31" t="n"/>
      <c r="T52" s="31" t="n"/>
      <c r="U52" s="31" t="n"/>
      <c r="V52" s="31" t="n"/>
      <c r="W52" s="31" t="inlineStr"/>
      <c r="X52" s="31" t="inlineStr"/>
    </row>
    <row r="53">
      <c r="A53" s="31" t="inlineStr">
        <is>
          <t>LENING</t>
        </is>
      </c>
      <c r="B53" s="31" t="inlineStr">
        <is>
          <t>J3LEN</t>
        </is>
      </c>
      <c r="C53" s="31" t="inlineStr">
        <is>
          <t>Eindejaarsverrichtingen</t>
        </is>
      </c>
      <c r="D53" s="31" t="inlineStr">
        <is>
          <t>LENING</t>
        </is>
      </c>
      <c r="E53" s="32" t="n">
        <v>46843</v>
      </c>
      <c r="F53" s="31" t="n"/>
      <c r="G53" s="31" t="inlineStr"/>
      <c r="H53" s="31" t="n"/>
      <c r="I53" s="31" t="n"/>
      <c r="J53" s="31" t="n"/>
      <c r="K53" s="31" t="inlineStr">
        <is>
          <t>Overboeking lening 2027-0042: kapitaal dat binnen het jaar vervalt (4 x 1500)</t>
        </is>
      </c>
      <c r="L53" s="31" t="n"/>
      <c r="M53" s="31" t="n"/>
      <c r="N53" s="31" t="n"/>
      <c r="O53" s="31" t="n"/>
      <c r="P53" s="31" t="n"/>
      <c r="Q53" s="31" t="n"/>
      <c r="R53" s="31" t="n"/>
      <c r="S53" s="31" t="n"/>
      <c r="T53" s="31" t="n"/>
      <c r="U53" s="31" t="n"/>
      <c r="V53" s="31" t="n"/>
      <c r="W53" s="31" t="inlineStr"/>
      <c r="X53" s="31" t="inlineStr"/>
    </row>
    <row r="54">
      <c r="A54" s="31" t="inlineStr">
        <is>
          <t>VR</t>
        </is>
      </c>
      <c r="B54" s="31" t="inlineStr">
        <is>
          <t>J3VR</t>
        </is>
      </c>
      <c r="C54" s="31" t="inlineStr">
        <is>
          <t>Eindejaarsverrichtingen</t>
        </is>
      </c>
      <c r="D54" s="31" t="inlineStr">
        <is>
          <t>VR</t>
        </is>
      </c>
      <c r="E54" s="32" t="n">
        <v>46843</v>
      </c>
      <c r="F54" s="31" t="n"/>
      <c r="G54" s="31" t="inlineStr"/>
      <c r="H54" s="31" t="n"/>
      <c r="I54" s="31" t="n"/>
      <c r="J54" s="31" t="n"/>
      <c r="K54" s="31" t="inlineStr">
        <is>
          <t>Voorraadwijziging handelsgoederen 1e kwartaal 2028 (10355 - 13650)</t>
        </is>
      </c>
      <c r="L54" s="31" t="n"/>
      <c r="M54" s="31" t="n"/>
      <c r="N54" s="31" t="n"/>
      <c r="O54" s="31" t="n"/>
      <c r="P54" s="31" t="n"/>
      <c r="Q54" s="31" t="n"/>
      <c r="R54" s="31" t="n"/>
      <c r="S54" s="31" t="n"/>
      <c r="T54" s="31" t="n"/>
      <c r="U54" s="31" t="n"/>
      <c r="V54" s="31" t="n"/>
      <c r="W54" s="31" t="inlineStr"/>
      <c r="X54" s="31" t="inlineStr"/>
    </row>
    <row r="55">
      <c r="A55" s="34" t="inlineStr">
        <is>
          <t>BELASTING</t>
        </is>
      </c>
      <c r="B55" s="34" t="inlineStr">
        <is>
          <t>J3BEL</t>
        </is>
      </c>
      <c r="C55" s="34" t="inlineStr">
        <is>
          <t>Resultaatverwerking</t>
        </is>
      </c>
      <c r="D55" s="34" t="inlineStr">
        <is>
          <t>MEMO</t>
        </is>
      </c>
      <c r="E55" s="35" t="n">
        <v>46843</v>
      </c>
      <c r="F55" s="34" t="n"/>
      <c r="G55" s="34" t="inlineStr"/>
      <c r="H55" s="34" t="n"/>
      <c r="I55" s="34" t="n"/>
      <c r="J55" s="34" t="n"/>
      <c r="K55" s="34" t="inlineStr">
        <is>
          <t>Geraamde vennootschapsbelasting 1e kwartaal 2028 (20% van 4975)</t>
        </is>
      </c>
      <c r="L55" s="34" t="n"/>
      <c r="M55" s="34" t="n"/>
      <c r="N55" s="34" t="n"/>
      <c r="O55" s="34" t="n"/>
      <c r="P55" s="34" t="n"/>
      <c r="Q55" s="34" t="n"/>
      <c r="R55" s="34" t="n"/>
      <c r="S55" s="34" t="n"/>
      <c r="T55" s="34" t="n"/>
      <c r="U55" s="34" t="n"/>
      <c r="V55" s="34" t="n"/>
      <c r="W55" s="34" t="inlineStr"/>
      <c r="X55" s="34" t="inlineStr"/>
    </row>
    <row r="56">
      <c r="A56" s="34" t="inlineStr">
        <is>
          <t>RESULTAAT</t>
        </is>
      </c>
      <c r="B56" s="34" t="inlineStr">
        <is>
          <t>J3RES</t>
        </is>
      </c>
      <c r="C56" s="34" t="inlineStr">
        <is>
          <t>Resultaatverwerking</t>
        </is>
      </c>
      <c r="D56" s="34" t="inlineStr">
        <is>
          <t>MEMO</t>
        </is>
      </c>
      <c r="E56" s="35" t="n">
        <v>46843</v>
      </c>
      <c r="F56" s="34" t="n"/>
      <c r="G56" s="34" t="inlineStr"/>
      <c r="H56" s="34" t="n"/>
      <c r="I56" s="34" t="n"/>
      <c r="J56" s="34" t="n"/>
      <c r="K56" s="34" t="inlineStr">
        <is>
          <t>Toewijzing van het resultaat: 5% wettelijke reserve, de rest overgedragen</t>
        </is>
      </c>
      <c r="L56" s="34" t="n"/>
      <c r="M56" s="34" t="n"/>
      <c r="N56" s="34" t="n"/>
      <c r="O56" s="34" t="n"/>
      <c r="P56" s="34" t="n"/>
      <c r="Q56" s="34" t="n"/>
      <c r="R56" s="34" t="n"/>
      <c r="S56" s="34" t="n"/>
      <c r="T56" s="34" t="n"/>
      <c r="U56" s="34" t="n"/>
      <c r="V56" s="34" t="n"/>
      <c r="W56" s="34" t="inlineStr"/>
      <c r="X56" s="3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7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6" customWidth="1" min="3" max="3"/>
    <col width="5" customWidth="1" min="4" max="4"/>
    <col width="16" customWidth="1" min="5" max="5"/>
    <col width="8" customWidth="1" min="6" max="6"/>
    <col width="60" customWidth="1" min="7" max="7"/>
    <col width="8" customWidth="1" min="8" max="8"/>
    <col width="12" customWidth="1" min="9" max="9"/>
    <col width="12" customWidth="1" min="10" max="10"/>
    <col width="7" customWidth="1" min="11" max="11"/>
    <col width="10" customWidth="1" min="12" max="12"/>
    <col width="30" customWidth="1" min="13" max="13"/>
  </cols>
  <sheetData>
    <row r="1">
      <c r="A1" s="1" t="inlineStr">
        <is>
          <t>ID</t>
        </is>
      </c>
      <c r="B1" s="1" t="inlineStr">
        <is>
          <t>Ref</t>
        </is>
      </c>
      <c r="C1" s="1" t="inlineStr">
        <is>
          <t>Documentnr</t>
        </is>
      </c>
      <c r="D1" s="1" t="inlineStr">
        <is>
          <t>Lijn</t>
        </is>
      </c>
      <c r="E1" s="1" t="inlineStr">
        <is>
          <t>Soort lijn</t>
        </is>
      </c>
      <c r="F1" s="1" t="inlineStr">
        <is>
          <t>Artikel</t>
        </is>
      </c>
      <c r="G1" s="1" t="inlineStr">
        <is>
          <t>Omschrijving</t>
        </is>
      </c>
      <c r="H1" s="1" t="inlineStr">
        <is>
          <t>Aantal</t>
        </is>
      </c>
      <c r="I1" s="1" t="inlineStr">
        <is>
          <t>Eenheidsprijs</t>
        </is>
      </c>
      <c r="J1" s="1" t="inlineStr">
        <is>
          <t>Bedrag excl. btw</t>
        </is>
      </c>
      <c r="K1" s="1" t="inlineStr">
        <is>
          <t>Btw %</t>
        </is>
      </c>
      <c r="L1" s="1" t="inlineStr">
        <is>
          <t>Btw</t>
        </is>
      </c>
      <c r="M1" s="1" t="inlineStr">
        <is>
          <t>Rekening (vrije lijn)</t>
        </is>
      </c>
    </row>
    <row r="2">
      <c r="A2" t="inlineStr">
        <is>
          <t>J3A01</t>
        </is>
      </c>
      <c r="B2" t="inlineStr">
        <is>
          <t>AK01</t>
        </is>
      </c>
      <c r="C2" t="inlineStr">
        <is>
          <t>2028-003</t>
        </is>
      </c>
      <c r="D2" s="39" t="n">
        <v>1</v>
      </c>
      <c r="E2" t="inlineStr">
        <is>
          <t>artikel</t>
        </is>
      </c>
      <c r="F2" t="inlineStr">
        <is>
          <t>STAD</t>
        </is>
      </c>
      <c r="G2" t="inlineStr">
        <is>
          <t>Stadsfiets City, 7 versnellingen</t>
        </is>
      </c>
      <c r="H2" s="39" t="n">
        <v>7</v>
      </c>
      <c r="I2" s="39" t="n">
        <v>400</v>
      </c>
      <c r="J2" s="39" t="n">
        <v>2800</v>
      </c>
      <c r="K2" s="39" t="n">
        <v>0.21</v>
      </c>
      <c r="L2" s="39" t="n">
        <v>588</v>
      </c>
    </row>
    <row r="3">
      <c r="A3" t="inlineStr">
        <is>
          <t>J3A01</t>
        </is>
      </c>
      <c r="B3" t="inlineStr">
        <is>
          <t>AK01</t>
        </is>
      </c>
      <c r="C3" t="inlineStr">
        <is>
          <t>2028-003</t>
        </is>
      </c>
      <c r="D3" s="39" t="n">
        <v>2</v>
      </c>
      <c r="E3" t="inlineStr">
        <is>
          <t>artikel</t>
        </is>
      </c>
      <c r="F3" t="inlineStr">
        <is>
          <t>BAK</t>
        </is>
      </c>
      <c r="G3" t="inlineStr">
        <is>
          <t>Bakfiets Cargo, 2 wielen</t>
        </is>
      </c>
      <c r="H3" s="39" t="n">
        <v>4</v>
      </c>
      <c r="I3" s="39" t="n">
        <v>1800</v>
      </c>
      <c r="J3" s="39" t="n">
        <v>7200</v>
      </c>
      <c r="K3" s="39" t="n">
        <v>0.21</v>
      </c>
      <c r="L3" s="39" t="n">
        <v>1512</v>
      </c>
    </row>
    <row r="4">
      <c r="A4" t="inlineStr">
        <is>
          <t>J3A01</t>
        </is>
      </c>
      <c r="B4" t="inlineStr">
        <is>
          <t>AK01</t>
        </is>
      </c>
      <c r="C4" t="inlineStr">
        <is>
          <t>2028-003</t>
        </is>
      </c>
      <c r="D4" s="39" t="n">
        <v>3</v>
      </c>
      <c r="E4" t="inlineStr">
        <is>
          <t>handelskorting</t>
        </is>
      </c>
      <c r="G4" t="inlineStr">
        <is>
          <t>Handelskorting 10% op de goederen</t>
        </is>
      </c>
      <c r="H4" s="39" t="n">
        <v>0.1</v>
      </c>
      <c r="I4" s="39" t="n">
        <v>-10000</v>
      </c>
      <c r="J4" s="39" t="n">
        <v>-1000</v>
      </c>
      <c r="K4" s="39" t="n">
        <v>0.21</v>
      </c>
      <c r="L4" s="39" t="n">
        <v>-210</v>
      </c>
    </row>
    <row r="5">
      <c r="A5" t="inlineStr">
        <is>
          <t>J3A02</t>
        </is>
      </c>
      <c r="B5" t="inlineStr">
        <is>
          <t>AK02</t>
        </is>
      </c>
      <c r="C5" t="inlineStr">
        <is>
          <t>HH-28-002</t>
        </is>
      </c>
      <c r="D5" s="39" t="n">
        <v>1</v>
      </c>
      <c r="E5" t="inlineStr">
        <is>
          <t>artikel</t>
        </is>
      </c>
      <c r="F5" t="inlineStr">
        <is>
          <t>HELM</t>
        </is>
      </c>
      <c r="G5" t="inlineStr">
        <is>
          <t>Fietshelm Urban</t>
        </is>
      </c>
      <c r="H5" s="39" t="n">
        <v>30</v>
      </c>
      <c r="I5" s="39" t="n">
        <v>30</v>
      </c>
      <c r="J5" s="39" t="n">
        <v>900</v>
      </c>
      <c r="K5" s="39" t="n">
        <v>0.21</v>
      </c>
      <c r="L5" s="39" t="n">
        <v>189</v>
      </c>
    </row>
    <row r="6">
      <c r="A6" t="inlineStr">
        <is>
          <t>J3A02</t>
        </is>
      </c>
      <c r="B6" t="inlineStr">
        <is>
          <t>AK02</t>
        </is>
      </c>
      <c r="C6" t="inlineStr">
        <is>
          <t>HH-28-002</t>
        </is>
      </c>
      <c r="D6" s="39" t="n">
        <v>2</v>
      </c>
      <c r="E6" t="inlineStr">
        <is>
          <t>artikel</t>
        </is>
      </c>
      <c r="F6" t="inlineStr">
        <is>
          <t>SLOT</t>
        </is>
      </c>
      <c r="G6" t="inlineStr">
        <is>
          <t>Plooislot</t>
        </is>
      </c>
      <c r="H6" s="39" t="n">
        <v>5</v>
      </c>
      <c r="I6" s="39" t="n">
        <v>20</v>
      </c>
      <c r="J6" s="39" t="n">
        <v>100</v>
      </c>
      <c r="K6" s="39" t="n">
        <v>0.21</v>
      </c>
      <c r="L6" s="39" t="n">
        <v>21</v>
      </c>
    </row>
    <row r="7">
      <c r="A7" t="inlineStr">
        <is>
          <t>J3A02</t>
        </is>
      </c>
      <c r="B7" t="inlineStr">
        <is>
          <t>AK02</t>
        </is>
      </c>
      <c r="C7" t="inlineStr">
        <is>
          <t>HH-28-002</t>
        </is>
      </c>
      <c r="D7" s="39" t="n">
        <v>3</v>
      </c>
      <c r="E7" t="inlineStr">
        <is>
          <t>handelskorting</t>
        </is>
      </c>
      <c r="G7" t="inlineStr">
        <is>
          <t>Handelskorting 10% op de goederen</t>
        </is>
      </c>
      <c r="H7" s="39" t="n">
        <v>0.1</v>
      </c>
      <c r="I7" s="39" t="n">
        <v>-1000</v>
      </c>
      <c r="J7" s="39" t="n">
        <v>-100</v>
      </c>
      <c r="K7" s="39" t="n">
        <v>0.21</v>
      </c>
      <c r="L7" s="39" t="n">
        <v>-21</v>
      </c>
    </row>
    <row r="8">
      <c r="A8" t="inlineStr">
        <is>
          <t>J3A03</t>
        </is>
      </c>
      <c r="B8" t="inlineStr">
        <is>
          <t>AK03</t>
        </is>
      </c>
      <c r="C8" t="inlineStr">
        <is>
          <t>SW-2028-014</t>
        </is>
      </c>
      <c r="D8" s="39" t="n">
        <v>1</v>
      </c>
      <c r="E8" t="inlineStr">
        <is>
          <t>artikel</t>
        </is>
      </c>
      <c r="F8" t="inlineStr">
        <is>
          <t>LAMP</t>
        </is>
      </c>
      <c r="G8" t="inlineStr">
        <is>
          <t>Verlichtingsset LED</t>
        </is>
      </c>
      <c r="H8" s="39" t="n">
        <v>15</v>
      </c>
      <c r="I8" s="39" t="n">
        <v>25</v>
      </c>
      <c r="J8" s="39" t="n">
        <v>375</v>
      </c>
      <c r="K8" s="39" t="n">
        <v>0.21</v>
      </c>
      <c r="L8" s="39" t="n">
        <v>78.75</v>
      </c>
    </row>
    <row r="9">
      <c r="A9" t="inlineStr">
        <is>
          <t>J3A03</t>
        </is>
      </c>
      <c r="B9" t="inlineStr">
        <is>
          <t>AK03</t>
        </is>
      </c>
      <c r="C9" t="inlineStr">
        <is>
          <t>SW-2028-014</t>
        </is>
      </c>
      <c r="D9" s="39" t="n">
        <v>2</v>
      </c>
      <c r="E9" t="inlineStr">
        <is>
          <t>handelskorting</t>
        </is>
      </c>
      <c r="G9" t="inlineStr">
        <is>
          <t>Handelskorting 20% op de goederen (opruiming oude collectie)</t>
        </is>
      </c>
      <c r="H9" s="39" t="n">
        <v>0.2</v>
      </c>
      <c r="I9" s="39" t="n">
        <v>-375</v>
      </c>
      <c r="J9" s="39" t="n">
        <v>-75</v>
      </c>
      <c r="K9" s="39" t="n">
        <v>0.21</v>
      </c>
      <c r="L9" s="39" t="n">
        <v>-15.75</v>
      </c>
    </row>
    <row r="10">
      <c r="A10" t="inlineStr">
        <is>
          <t>J3A04</t>
        </is>
      </c>
      <c r="B10" t="inlineStr">
        <is>
          <t>AK04</t>
        </is>
      </c>
      <c r="C10" t="inlineStr">
        <is>
          <t>2028-021</t>
        </is>
      </c>
      <c r="D10" s="39" t="n">
        <v>1</v>
      </c>
      <c r="E10" t="inlineStr">
        <is>
          <t>artikel</t>
        </is>
      </c>
      <c r="F10" t="inlineStr">
        <is>
          <t>STAD</t>
        </is>
      </c>
      <c r="G10" t="inlineStr">
        <is>
          <t>Stadsfiets City, 7 versnellingen</t>
        </is>
      </c>
      <c r="H10" s="39" t="n">
        <v>10</v>
      </c>
      <c r="I10" s="39" t="n">
        <v>400</v>
      </c>
      <c r="J10" s="39" t="n">
        <v>4000</v>
      </c>
      <c r="K10" s="39" t="n">
        <v>0.21</v>
      </c>
      <c r="L10" s="39" t="n">
        <v>840</v>
      </c>
    </row>
    <row r="11">
      <c r="A11" t="inlineStr">
        <is>
          <t>J3A04</t>
        </is>
      </c>
      <c r="B11" t="inlineStr">
        <is>
          <t>AK04</t>
        </is>
      </c>
      <c r="C11" t="inlineStr">
        <is>
          <t>2028-021</t>
        </is>
      </c>
      <c r="D11" s="39" t="n">
        <v>2</v>
      </c>
      <c r="E11" t="inlineStr">
        <is>
          <t>artikel</t>
        </is>
      </c>
      <c r="F11" t="inlineStr">
        <is>
          <t>EBIKE</t>
        </is>
      </c>
      <c r="G11" t="inlineStr">
        <is>
          <t>E-bike Comfort, 500 Wh</t>
        </is>
      </c>
      <c r="H11" s="39" t="n">
        <v>3</v>
      </c>
      <c r="I11" s="39" t="n">
        <v>1400</v>
      </c>
      <c r="J11" s="39" t="n">
        <v>4200</v>
      </c>
      <c r="K11" s="39" t="n">
        <v>0.21</v>
      </c>
      <c r="L11" s="39" t="n">
        <v>882</v>
      </c>
    </row>
    <row r="12">
      <c r="A12" t="inlineStr">
        <is>
          <t>J3A04</t>
        </is>
      </c>
      <c r="B12" t="inlineStr">
        <is>
          <t>AK04</t>
        </is>
      </c>
      <c r="C12" t="inlineStr">
        <is>
          <t>2028-021</t>
        </is>
      </c>
      <c r="D12" s="39" t="n">
        <v>3</v>
      </c>
      <c r="E12" t="inlineStr">
        <is>
          <t>artikel</t>
        </is>
      </c>
      <c r="F12" t="inlineStr">
        <is>
          <t>BAK</t>
        </is>
      </c>
      <c r="G12" t="inlineStr">
        <is>
          <t>Bakfiets Cargo, 2 wielen</t>
        </is>
      </c>
      <c r="H12" s="39" t="n">
        <v>1</v>
      </c>
      <c r="I12" s="39" t="n">
        <v>1800</v>
      </c>
      <c r="J12" s="39" t="n">
        <v>1800</v>
      </c>
      <c r="K12" s="39" t="n">
        <v>0.21</v>
      </c>
      <c r="L12" s="39" t="n">
        <v>378</v>
      </c>
    </row>
    <row r="13">
      <c r="A13" t="inlineStr">
        <is>
          <t>J3A04</t>
        </is>
      </c>
      <c r="B13" t="inlineStr">
        <is>
          <t>AK04</t>
        </is>
      </c>
      <c r="C13" t="inlineStr">
        <is>
          <t>2028-021</t>
        </is>
      </c>
      <c r="D13" s="39" t="n">
        <v>4</v>
      </c>
      <c r="E13" t="inlineStr">
        <is>
          <t>handelskorting</t>
        </is>
      </c>
      <c r="G13" t="inlineStr">
        <is>
          <t>Handelskorting 20% op de goederen (voorjaarsactie)</t>
        </is>
      </c>
      <c r="H13" s="39" t="n">
        <v>0.2</v>
      </c>
      <c r="I13" s="39" t="n">
        <v>-10000</v>
      </c>
      <c r="J13" s="39" t="n">
        <v>-2000</v>
      </c>
      <c r="K13" s="39" t="n">
        <v>0.21</v>
      </c>
      <c r="L13" s="39" t="n">
        <v>-420</v>
      </c>
    </row>
    <row r="14">
      <c r="A14" t="inlineStr">
        <is>
          <t>J3A04</t>
        </is>
      </c>
      <c r="B14" t="inlineStr">
        <is>
          <t>AK04</t>
        </is>
      </c>
      <c r="C14" t="inlineStr">
        <is>
          <t>2028-021</t>
        </is>
      </c>
      <c r="D14" s="39" t="n">
        <v>5</v>
      </c>
      <c r="E14" t="inlineStr">
        <is>
          <t>financiële korting</t>
        </is>
      </c>
      <c r="G14" t="inlineStr">
        <is>
          <t>Financiële korting 5% bij betaling binnen 10 dagen (btw berekend na korting)</t>
        </is>
      </c>
      <c r="H14" s="39" t="n">
        <v>0.05</v>
      </c>
      <c r="I14" s="39" t="n">
        <v>-8000</v>
      </c>
      <c r="J14" s="39" t="n">
        <v>-400</v>
      </c>
      <c r="K14" s="39" t="n">
        <v>0.21</v>
      </c>
      <c r="L14" s="39" t="n">
        <v>-84</v>
      </c>
    </row>
    <row r="15">
      <c r="A15" t="inlineStr">
        <is>
          <t>J3A05</t>
        </is>
      </c>
      <c r="B15" t="inlineStr">
        <is>
          <t>AK05</t>
        </is>
      </c>
      <c r="C15" t="inlineStr">
        <is>
          <t>2028-047</t>
        </is>
      </c>
      <c r="D15" s="39" t="n">
        <v>1</v>
      </c>
      <c r="E15" t="inlineStr">
        <is>
          <t>artikel</t>
        </is>
      </c>
      <c r="F15" t="inlineStr">
        <is>
          <t>EBIKE</t>
        </is>
      </c>
      <c r="G15" t="inlineStr">
        <is>
          <t>E-bike Comfort, 500 Wh</t>
        </is>
      </c>
      <c r="H15" s="39" t="n">
        <v>10</v>
      </c>
      <c r="I15" s="39" t="n">
        <v>1400</v>
      </c>
      <c r="J15" s="39" t="n">
        <v>14000</v>
      </c>
      <c r="K15" s="39" t="n">
        <v>0.21</v>
      </c>
      <c r="L15" s="39" t="n">
        <v>2940</v>
      </c>
    </row>
    <row r="16">
      <c r="A16" t="inlineStr">
        <is>
          <t>J3A05</t>
        </is>
      </c>
      <c r="B16" t="inlineStr">
        <is>
          <t>AK05</t>
        </is>
      </c>
      <c r="C16" t="inlineStr">
        <is>
          <t>2028-047</t>
        </is>
      </c>
      <c r="D16" s="39" t="n">
        <v>2</v>
      </c>
      <c r="E16" t="inlineStr">
        <is>
          <t>financiële korting</t>
        </is>
      </c>
      <c r="G16" t="inlineStr">
        <is>
          <t>Financiële korting 5% bij betaling binnen 10 dagen (btw berekend na korting)</t>
        </is>
      </c>
      <c r="H16" s="39" t="n">
        <v>0.05</v>
      </c>
      <c r="I16" s="39" t="n">
        <v>-14000</v>
      </c>
      <c r="J16" s="39" t="n">
        <v>-700</v>
      </c>
      <c r="K16" s="39" t="n">
        <v>0.21</v>
      </c>
      <c r="L16" s="39" t="n">
        <v>-147</v>
      </c>
    </row>
    <row r="17">
      <c r="A17" t="inlineStr">
        <is>
          <t>J3A06</t>
        </is>
      </c>
      <c r="B17" t="inlineStr">
        <is>
          <t>AK06</t>
        </is>
      </c>
      <c r="C17" t="inlineStr">
        <is>
          <t>2028-066</t>
        </is>
      </c>
      <c r="D17" s="39" t="n">
        <v>1</v>
      </c>
      <c r="E17" t="inlineStr">
        <is>
          <t>artikel</t>
        </is>
      </c>
      <c r="F17" t="inlineStr">
        <is>
          <t>STAD</t>
        </is>
      </c>
      <c r="G17" t="inlineStr">
        <is>
          <t>Stadsfiets City, 7 versnellingen</t>
        </is>
      </c>
      <c r="H17" s="39" t="n">
        <v>5</v>
      </c>
      <c r="I17" s="39" t="n">
        <v>400</v>
      </c>
      <c r="J17" s="39" t="n">
        <v>2000</v>
      </c>
      <c r="K17" s="39" t="n">
        <v>0.21</v>
      </c>
      <c r="L17" s="39" t="n">
        <v>420</v>
      </c>
    </row>
    <row r="18">
      <c r="A18" t="inlineStr">
        <is>
          <t>J3A06</t>
        </is>
      </c>
      <c r="B18" t="inlineStr">
        <is>
          <t>AK06</t>
        </is>
      </c>
      <c r="C18" t="inlineStr">
        <is>
          <t>2028-066</t>
        </is>
      </c>
      <c r="D18" s="39" t="n">
        <v>2</v>
      </c>
      <c r="E18" t="inlineStr">
        <is>
          <t>financiële korting</t>
        </is>
      </c>
      <c r="G18" t="inlineStr">
        <is>
          <t>Financiële korting 5% bij betaling binnen 10 dagen (btw berekend na korting)</t>
        </is>
      </c>
      <c r="H18" s="39" t="n">
        <v>0.05</v>
      </c>
      <c r="I18" s="39" t="n">
        <v>-2000</v>
      </c>
      <c r="J18" s="39" t="n">
        <v>-100</v>
      </c>
      <c r="K18" s="39" t="n">
        <v>0.21</v>
      </c>
      <c r="L18" s="39" t="n">
        <v>-21</v>
      </c>
    </row>
    <row r="19">
      <c r="A19" t="inlineStr">
        <is>
          <t>J3A07</t>
        </is>
      </c>
      <c r="B19" t="inlineStr">
        <is>
          <t>AK07</t>
        </is>
      </c>
      <c r="C19" t="inlineStr">
        <is>
          <t>2028-058</t>
        </is>
      </c>
      <c r="D19" s="39" t="n">
        <v>1</v>
      </c>
      <c r="E19" t="inlineStr">
        <is>
          <t>artikel</t>
        </is>
      </c>
      <c r="F19" t="inlineStr">
        <is>
          <t>BAK</t>
        </is>
      </c>
      <c r="G19" t="inlineStr">
        <is>
          <t>Bakfiets Cargo, 2 wielen</t>
        </is>
      </c>
      <c r="H19" s="39" t="n">
        <v>2</v>
      </c>
      <c r="I19" s="39" t="n">
        <v>1800</v>
      </c>
      <c r="J19" s="39" t="n">
        <v>3600</v>
      </c>
      <c r="K19" s="39" t="n">
        <v>0.21</v>
      </c>
      <c r="L19" s="39" t="n">
        <v>756</v>
      </c>
    </row>
    <row r="20">
      <c r="A20" t="inlineStr">
        <is>
          <t>J3A07</t>
        </is>
      </c>
      <c r="B20" t="inlineStr">
        <is>
          <t>AK07</t>
        </is>
      </c>
      <c r="C20" t="inlineStr">
        <is>
          <t>2028-058</t>
        </is>
      </c>
      <c r="D20" s="39" t="n">
        <v>2</v>
      </c>
      <c r="E20" t="inlineStr">
        <is>
          <t>kosten</t>
        </is>
      </c>
      <c r="G20" t="inlineStr">
        <is>
          <t>Transportkosten</t>
        </is>
      </c>
      <c r="H20" s="39" t="n">
        <v>1</v>
      </c>
      <c r="I20" s="39" t="n">
        <v>200</v>
      </c>
      <c r="J20" s="39" t="n">
        <v>200</v>
      </c>
      <c r="K20" s="39" t="n">
        <v>0.21</v>
      </c>
      <c r="L20" s="39" t="n">
        <v>42</v>
      </c>
    </row>
    <row r="21">
      <c r="A21" t="inlineStr">
        <is>
          <t>J3A07</t>
        </is>
      </c>
      <c r="B21" t="inlineStr">
        <is>
          <t>AK07</t>
        </is>
      </c>
      <c r="C21" t="inlineStr">
        <is>
          <t>2028-058</t>
        </is>
      </c>
      <c r="D21" s="39" t="n">
        <v>3</v>
      </c>
      <c r="E21" t="inlineStr">
        <is>
          <t>verpakking</t>
        </is>
      </c>
      <c r="G21" t="inlineStr">
        <is>
          <t>Herbruikbaar fietsrek (waarborg)</t>
        </is>
      </c>
      <c r="H21" s="39" t="n">
        <v>4</v>
      </c>
      <c r="I21" s="39" t="n">
        <v>50</v>
      </c>
      <c r="J21" s="39" t="n">
        <v>200</v>
      </c>
      <c r="K21" s="39" t="n">
        <v>0</v>
      </c>
      <c r="L21" s="39" t="n">
        <v>0</v>
      </c>
    </row>
    <row r="22">
      <c r="A22" t="inlineStr">
        <is>
          <t>J3A08</t>
        </is>
      </c>
      <c r="B22" t="inlineStr">
        <is>
          <t>AK08</t>
        </is>
      </c>
      <c r="C22" t="inlineStr">
        <is>
          <t>SW-2028-077</t>
        </is>
      </c>
      <c r="D22" s="39" t="n">
        <v>1</v>
      </c>
      <c r="E22" t="inlineStr">
        <is>
          <t>artikel</t>
        </is>
      </c>
      <c r="F22" t="inlineStr">
        <is>
          <t>KET</t>
        </is>
      </c>
      <c r="G22" t="inlineStr">
        <is>
          <t>Fietsketting 8 speed</t>
        </is>
      </c>
      <c r="H22" s="39" t="n">
        <v>20</v>
      </c>
      <c r="I22" s="39" t="n">
        <v>10</v>
      </c>
      <c r="J22" s="39" t="n">
        <v>200</v>
      </c>
      <c r="K22" s="39" t="n">
        <v>0.21</v>
      </c>
      <c r="L22" s="39" t="n">
        <v>42</v>
      </c>
    </row>
    <row r="23">
      <c r="A23" t="inlineStr">
        <is>
          <t>J3A08</t>
        </is>
      </c>
      <c r="B23" t="inlineStr">
        <is>
          <t>AK08</t>
        </is>
      </c>
      <c r="C23" t="inlineStr">
        <is>
          <t>SW-2028-077</t>
        </is>
      </c>
      <c r="D23" s="39" t="n">
        <v>2</v>
      </c>
      <c r="E23" t="inlineStr">
        <is>
          <t>kosten</t>
        </is>
      </c>
      <c r="G23" t="inlineStr">
        <is>
          <t>Leveringskosten</t>
        </is>
      </c>
      <c r="H23" s="39" t="n">
        <v>1</v>
      </c>
      <c r="I23" s="39" t="n">
        <v>100</v>
      </c>
      <c r="J23" s="39" t="n">
        <v>100</v>
      </c>
      <c r="K23" s="39" t="n">
        <v>0.21</v>
      </c>
      <c r="L23" s="39" t="n">
        <v>21</v>
      </c>
    </row>
    <row r="24">
      <c r="A24" t="inlineStr">
        <is>
          <t>J3A08</t>
        </is>
      </c>
      <c r="B24" t="inlineStr">
        <is>
          <t>AK08</t>
        </is>
      </c>
      <c r="C24" t="inlineStr">
        <is>
          <t>SW-2028-077</t>
        </is>
      </c>
      <c r="D24" s="39" t="n">
        <v>3</v>
      </c>
      <c r="E24" t="inlineStr">
        <is>
          <t>verpakking</t>
        </is>
      </c>
      <c r="G24" t="inlineStr">
        <is>
          <t>Herbruikbare transportkrat (waarborg)</t>
        </is>
      </c>
      <c r="H24" s="39" t="n">
        <v>4</v>
      </c>
      <c r="I24" s="39" t="n">
        <v>25</v>
      </c>
      <c r="J24" s="39" t="n">
        <v>100</v>
      </c>
      <c r="K24" s="39" t="n">
        <v>0</v>
      </c>
      <c r="L24" s="39" t="n">
        <v>0</v>
      </c>
    </row>
    <row r="25">
      <c r="A25" t="inlineStr">
        <is>
          <t>J3A09</t>
        </is>
      </c>
      <c r="B25" t="inlineStr">
        <is>
          <t>AK09</t>
        </is>
      </c>
      <c r="C25" t="inlineStr">
        <is>
          <t>SK-28-0412</t>
        </is>
      </c>
      <c r="D25" s="39" t="n">
        <v>1</v>
      </c>
      <c r="E25" t="inlineStr">
        <is>
          <t>vrij</t>
        </is>
      </c>
      <c r="G25" t="inlineStr">
        <is>
          <t>Elektriciteit winkel en werkplaats, december 2027 - februari 2028</t>
        </is>
      </c>
      <c r="H25" s="39" t="n">
        <v>1</v>
      </c>
      <c r="I25" s="39" t="n">
        <v>800</v>
      </c>
      <c r="J25" s="39" t="n">
        <v>800</v>
      </c>
      <c r="K25" s="39" t="n">
        <v>0.21</v>
      </c>
      <c r="L25" s="39" t="n">
        <v>168</v>
      </c>
      <c r="M25" t="inlineStr">
        <is>
          <t>612700</t>
        </is>
      </c>
    </row>
    <row r="26">
      <c r="A26" t="inlineStr">
        <is>
          <t>J3A10</t>
        </is>
      </c>
      <c r="B26" t="inlineStr">
        <is>
          <t>AK10</t>
        </is>
      </c>
      <c r="C26" t="inlineStr">
        <is>
          <t>DP-2028-031</t>
        </is>
      </c>
      <c r="D26" s="39" t="n">
        <v>1</v>
      </c>
      <c r="E26" t="inlineStr">
        <is>
          <t>vrij</t>
        </is>
      </c>
      <c r="G26" t="inlineStr">
        <is>
          <t>Folders voorjaarsactie (1.000 stuks)</t>
        </is>
      </c>
      <c r="H26" s="39" t="n">
        <v>1</v>
      </c>
      <c r="I26" s="39" t="n">
        <v>400</v>
      </c>
      <c r="J26" s="39" t="n">
        <v>400</v>
      </c>
      <c r="K26" s="39" t="n">
        <v>0.21</v>
      </c>
      <c r="L26" s="39" t="n">
        <v>84</v>
      </c>
      <c r="M26" t="inlineStr">
        <is>
          <t>616520</t>
        </is>
      </c>
    </row>
    <row r="27">
      <c r="A27" t="inlineStr">
        <is>
          <t>J3A10</t>
        </is>
      </c>
      <c r="B27" t="inlineStr">
        <is>
          <t>AK10</t>
        </is>
      </c>
      <c r="C27" t="inlineStr">
        <is>
          <t>DP-2028-031</t>
        </is>
      </c>
      <c r="D27" s="39" t="n">
        <v>2</v>
      </c>
      <c r="E27" t="inlineStr">
        <is>
          <t>vrij</t>
        </is>
      </c>
      <c r="G27" t="inlineStr">
        <is>
          <t>Briefpapier en kasticketrollen</t>
        </is>
      </c>
      <c r="H27" s="39" t="n">
        <v>1</v>
      </c>
      <c r="I27" s="39" t="n">
        <v>200</v>
      </c>
      <c r="J27" s="39" t="n">
        <v>200</v>
      </c>
      <c r="K27" s="39" t="n">
        <v>0.21</v>
      </c>
      <c r="L27" s="39" t="n">
        <v>42</v>
      </c>
      <c r="M27" t="inlineStr">
        <is>
          <t>612000</t>
        </is>
      </c>
    </row>
    <row r="28">
      <c r="A28" t="inlineStr">
        <is>
          <t>J3A11</t>
        </is>
      </c>
      <c r="B28" t="inlineStr">
        <is>
          <t>AK11</t>
        </is>
      </c>
      <c r="C28" t="inlineStr">
        <is>
          <t>DW-28-0006</t>
        </is>
      </c>
      <c r="D28" s="39" t="n">
        <v>1</v>
      </c>
      <c r="E28" t="inlineStr">
        <is>
          <t>vrij</t>
        </is>
      </c>
      <c r="G28" t="inlineStr">
        <is>
          <t>Wielrichtbank met centreerbank en tweede montagestandaard</t>
        </is>
      </c>
      <c r="H28" s="39" t="n">
        <v>1</v>
      </c>
      <c r="I28" s="39" t="n">
        <v>2000</v>
      </c>
      <c r="J28" s="39" t="n">
        <v>2000</v>
      </c>
      <c r="K28" s="39" t="n">
        <v>0.21</v>
      </c>
      <c r="L28" s="39" t="n">
        <v>420</v>
      </c>
      <c r="M28" t="inlineStr">
        <is>
          <t>232000</t>
        </is>
      </c>
    </row>
    <row r="29">
      <c r="A29" t="inlineStr">
        <is>
          <t>J3A11</t>
        </is>
      </c>
      <c r="B29" t="inlineStr">
        <is>
          <t>AK11</t>
        </is>
      </c>
      <c r="C29" t="inlineStr">
        <is>
          <t>DW-28-0006</t>
        </is>
      </c>
      <c r="D29" s="39" t="n">
        <v>2</v>
      </c>
      <c r="E29" t="inlineStr">
        <is>
          <t>vrij</t>
        </is>
      </c>
      <c r="G29" t="inlineStr">
        <is>
          <t>Levering en montage in de werkplaats</t>
        </is>
      </c>
      <c r="H29" s="39" t="n">
        <v>1</v>
      </c>
      <c r="I29" s="39" t="n">
        <v>200</v>
      </c>
      <c r="J29" s="39" t="n">
        <v>200</v>
      </c>
      <c r="K29" s="39" t="n">
        <v>0.21</v>
      </c>
      <c r="L29" s="39" t="n">
        <v>42</v>
      </c>
      <c r="M29" t="inlineStr">
        <is>
          <t>232000</t>
        </is>
      </c>
    </row>
    <row r="30">
      <c r="A30" t="inlineStr">
        <is>
          <t>J3A12</t>
        </is>
      </c>
      <c r="B30" t="inlineStr">
        <is>
          <t>AK12</t>
        </is>
      </c>
      <c r="C30" t="inlineStr">
        <is>
          <t>KT-2028-118</t>
        </is>
      </c>
      <c r="D30" s="39" t="n">
        <v>1</v>
      </c>
      <c r="E30" t="inlineStr">
        <is>
          <t>vrij</t>
        </is>
      </c>
      <c r="G30" t="inlineStr">
        <is>
          <t>Tablet met werkbonsoftware voor de werkplaats</t>
        </is>
      </c>
      <c r="H30" s="39" t="n">
        <v>1</v>
      </c>
      <c r="I30" s="39" t="n">
        <v>1200</v>
      </c>
      <c r="J30" s="39" t="n">
        <v>1200</v>
      </c>
      <c r="K30" s="39" t="n">
        <v>0.21</v>
      </c>
      <c r="L30" s="39" t="n">
        <v>252</v>
      </c>
      <c r="M30" t="inlineStr">
        <is>
          <t>240200</t>
        </is>
      </c>
    </row>
    <row r="31">
      <c r="A31" t="inlineStr">
        <is>
          <t>J3CA1</t>
        </is>
      </c>
      <c r="B31" t="inlineStr">
        <is>
          <t>AK13</t>
        </is>
      </c>
      <c r="C31" t="inlineStr">
        <is>
          <t>CN-2028-001</t>
        </is>
      </c>
      <c r="D31" s="39" t="n">
        <v>1</v>
      </c>
      <c r="E31" t="inlineStr">
        <is>
          <t>artikel</t>
        </is>
      </c>
      <c r="F31" t="inlineStr">
        <is>
          <t>STAD</t>
        </is>
      </c>
      <c r="G31" t="inlineStr">
        <is>
          <t>Stadsfiets City, 7 versnellingen</t>
        </is>
      </c>
      <c r="H31" s="39" t="n">
        <v>5</v>
      </c>
      <c r="I31" s="39" t="n">
        <v>400</v>
      </c>
      <c r="J31" s="39" t="n">
        <v>2000</v>
      </c>
      <c r="K31" s="39" t="n">
        <v>0.21</v>
      </c>
      <c r="L31" s="39" t="n">
        <v>420</v>
      </c>
    </row>
    <row r="32">
      <c r="A32" t="inlineStr">
        <is>
          <t>J3CA1</t>
        </is>
      </c>
      <c r="B32" t="inlineStr">
        <is>
          <t>AK13</t>
        </is>
      </c>
      <c r="C32" t="inlineStr">
        <is>
          <t>CN-2028-001</t>
        </is>
      </c>
      <c r="D32" s="39" t="n">
        <v>2</v>
      </c>
      <c r="E32" t="inlineStr">
        <is>
          <t>handelskorting</t>
        </is>
      </c>
      <c r="G32" t="inlineStr">
        <is>
          <t>Handelskorting 10% op de goederen</t>
        </is>
      </c>
      <c r="H32" s="39" t="n">
        <v>0.1</v>
      </c>
      <c r="I32" s="39" t="n">
        <v>-2000</v>
      </c>
      <c r="J32" s="39" t="n">
        <v>-200</v>
      </c>
      <c r="K32" s="39" t="n">
        <v>0.21</v>
      </c>
      <c r="L32" s="39" t="n">
        <v>-42</v>
      </c>
    </row>
    <row r="33">
      <c r="A33" t="inlineStr">
        <is>
          <t>J3CA2</t>
        </is>
      </c>
      <c r="B33" t="inlineStr">
        <is>
          <t>AK14</t>
        </is>
      </c>
      <c r="C33" t="inlineStr">
        <is>
          <t>SW-CN-2028-004</t>
        </is>
      </c>
      <c r="D33" s="39" t="n">
        <v>1</v>
      </c>
      <c r="E33" t="inlineStr">
        <is>
          <t>verpakking</t>
        </is>
      </c>
      <c r="G33" t="inlineStr">
        <is>
          <t>Herbruikbare transportkrat (waarborg)</t>
        </is>
      </c>
      <c r="H33" s="39" t="n">
        <v>4</v>
      </c>
      <c r="I33" s="39" t="n">
        <v>25</v>
      </c>
      <c r="J33" s="39" t="n">
        <v>100</v>
      </c>
      <c r="K33" s="39" t="n">
        <v>0</v>
      </c>
      <c r="L33" s="39" t="n">
        <v>0</v>
      </c>
    </row>
    <row r="34">
      <c r="A34" t="inlineStr">
        <is>
          <t>J3CA3</t>
        </is>
      </c>
      <c r="B34" t="inlineStr">
        <is>
          <t>AK15</t>
        </is>
      </c>
      <c r="C34" t="inlineStr">
        <is>
          <t>CN-2028-006</t>
        </is>
      </c>
      <c r="D34" s="39" t="n">
        <v>1</v>
      </c>
      <c r="E34" t="inlineStr">
        <is>
          <t>artikel</t>
        </is>
      </c>
      <c r="F34" t="inlineStr">
        <is>
          <t>BAK</t>
        </is>
      </c>
      <c r="G34" t="inlineStr">
        <is>
          <t>Bakfiets Cargo, 2 wielen</t>
        </is>
      </c>
      <c r="H34" s="39" t="n">
        <v>1</v>
      </c>
      <c r="I34" s="39" t="n">
        <v>1800</v>
      </c>
      <c r="J34" s="39" t="n">
        <v>1800</v>
      </c>
      <c r="K34" s="39" t="n">
        <v>0.21</v>
      </c>
      <c r="L34" s="39" t="n">
        <v>378</v>
      </c>
    </row>
    <row r="35">
      <c r="A35" t="inlineStr">
        <is>
          <t>J3CA3</t>
        </is>
      </c>
      <c r="B35" t="inlineStr">
        <is>
          <t>AK15</t>
        </is>
      </c>
      <c r="C35" t="inlineStr">
        <is>
          <t>CN-2028-006</t>
        </is>
      </c>
      <c r="D35" s="39" t="n">
        <v>2</v>
      </c>
      <c r="E35" t="inlineStr">
        <is>
          <t>verpakking</t>
        </is>
      </c>
      <c r="G35" t="inlineStr">
        <is>
          <t>Herbruikbaar fietsrek (waarborg)</t>
        </is>
      </c>
      <c r="H35" s="39" t="n">
        <v>2</v>
      </c>
      <c r="I35" s="39" t="n">
        <v>50</v>
      </c>
      <c r="J35" s="39" t="n">
        <v>100</v>
      </c>
      <c r="K35" s="39" t="n">
        <v>0</v>
      </c>
      <c r="L35" s="39" t="n">
        <v>0</v>
      </c>
    </row>
    <row r="36">
      <c r="A36" t="inlineStr">
        <is>
          <t>J3A16</t>
        </is>
      </c>
      <c r="B36" t="inlineStr">
        <is>
          <t>AK16</t>
        </is>
      </c>
      <c r="C36" t="inlineStr">
        <is>
          <t>GZ-28-00871</t>
        </is>
      </c>
      <c r="D36" s="39" t="n">
        <v>1</v>
      </c>
      <c r="E36" t="inlineStr">
        <is>
          <t>vrij</t>
        </is>
      </c>
      <c r="G36" t="inlineStr">
        <is>
          <t>Jaarpremie verzekering bestelwagen (BA en omnium), periode 01/01/2028 - 31/12/2028</t>
        </is>
      </c>
      <c r="H36" s="39" t="n">
        <v>1</v>
      </c>
      <c r="I36" s="39" t="n">
        <v>1200</v>
      </c>
      <c r="J36" s="39" t="n">
        <v>1200</v>
      </c>
      <c r="K36" s="39" t="n">
        <v>0</v>
      </c>
      <c r="L36" s="39" t="n">
        <v>0</v>
      </c>
      <c r="M36" t="inlineStr">
        <is>
          <t>614400</t>
        </is>
      </c>
    </row>
    <row r="37">
      <c r="A37" t="inlineStr">
        <is>
          <t>J3A17</t>
        </is>
      </c>
      <c r="B37" t="inlineStr">
        <is>
          <t>AK17</t>
        </is>
      </c>
      <c r="C37" t="inlineStr">
        <is>
          <t>IV-2028-02</t>
        </is>
      </c>
      <c r="D37" s="39" t="n">
        <v>1</v>
      </c>
      <c r="E37" t="inlineStr">
        <is>
          <t>vrij</t>
        </is>
      </c>
      <c r="G37" t="inlineStr">
        <is>
          <t>Huur opslagruimte Vaartkom 30, periode 01/02/2028 - 30/04/2028 (3 maanden x 500)</t>
        </is>
      </c>
      <c r="H37" s="39" t="n">
        <v>3</v>
      </c>
      <c r="I37" s="39" t="n">
        <v>500</v>
      </c>
      <c r="J37" s="39" t="n">
        <v>1500</v>
      </c>
      <c r="K37" s="39" t="n">
        <v>0</v>
      </c>
      <c r="L37" s="39" t="n">
        <v>0</v>
      </c>
      <c r="M37" t="inlineStr">
        <is>
          <t>611000</t>
        </is>
      </c>
    </row>
    <row r="38">
      <c r="A38" t="inlineStr">
        <is>
          <t>J3V01</t>
        </is>
      </c>
      <c r="B38" t="inlineStr">
        <is>
          <t>VK01</t>
        </is>
      </c>
      <c r="C38" t="inlineStr">
        <is>
          <t>2028-001</t>
        </is>
      </c>
      <c r="D38" s="39" t="n">
        <v>1</v>
      </c>
      <c r="E38" t="inlineStr">
        <is>
          <t>artikel</t>
        </is>
      </c>
      <c r="F38" t="inlineStr">
        <is>
          <t>BAK</t>
        </is>
      </c>
      <c r="G38" t="inlineStr">
        <is>
          <t>Bakfiets Cargo, 2 wielen</t>
        </is>
      </c>
      <c r="H38" s="39" t="n">
        <v>3</v>
      </c>
      <c r="I38" s="39" t="n">
        <v>2600</v>
      </c>
      <c r="J38" s="39" t="n">
        <v>7800</v>
      </c>
      <c r="K38" s="39" t="n">
        <v>0.21</v>
      </c>
      <c r="L38" s="39" t="n">
        <v>1638</v>
      </c>
    </row>
    <row r="39">
      <c r="A39" t="inlineStr">
        <is>
          <t>J3V01</t>
        </is>
      </c>
      <c r="B39" t="inlineStr">
        <is>
          <t>VK01</t>
        </is>
      </c>
      <c r="C39" t="inlineStr">
        <is>
          <t>2028-001</t>
        </is>
      </c>
      <c r="D39" s="39" t="n">
        <v>2</v>
      </c>
      <c r="E39" t="inlineStr">
        <is>
          <t>dienst</t>
        </is>
      </c>
      <c r="F39" t="inlineStr">
        <is>
          <t>ONDH</t>
        </is>
      </c>
      <c r="G39" t="inlineStr">
        <is>
          <t>Onderhoudsbeurt koeriersfietsen (arbeid)</t>
        </is>
      </c>
      <c r="H39" s="39" t="n">
        <v>25</v>
      </c>
      <c r="I39" s="39" t="n">
        <v>60</v>
      </c>
      <c r="J39" s="39" t="n">
        <v>1500</v>
      </c>
      <c r="K39" s="39" t="n">
        <v>0.06</v>
      </c>
      <c r="L39" s="39" t="n">
        <v>90</v>
      </c>
    </row>
    <row r="40">
      <c r="A40" t="inlineStr">
        <is>
          <t>J3V02</t>
        </is>
      </c>
      <c r="B40" t="inlineStr">
        <is>
          <t>VK02</t>
        </is>
      </c>
      <c r="C40" t="inlineStr">
        <is>
          <t>2028-002</t>
        </is>
      </c>
      <c r="D40" s="39" t="n">
        <v>1</v>
      </c>
      <c r="E40" t="inlineStr">
        <is>
          <t>dienst</t>
        </is>
      </c>
      <c r="F40" t="inlineStr">
        <is>
          <t>ONDH</t>
        </is>
      </c>
      <c r="G40" t="inlineStr">
        <is>
          <t>Onderhoudsbeurt huurfietsen (arbeid)</t>
        </is>
      </c>
      <c r="H40" s="39" t="n">
        <v>30</v>
      </c>
      <c r="I40" s="39" t="n">
        <v>60</v>
      </c>
      <c r="J40" s="39" t="n">
        <v>1800</v>
      </c>
      <c r="K40" s="39" t="n">
        <v>0.06</v>
      </c>
      <c r="L40" s="39" t="n">
        <v>108</v>
      </c>
    </row>
    <row r="41">
      <c r="A41" t="inlineStr">
        <is>
          <t>J3V02</t>
        </is>
      </c>
      <c r="B41" t="inlineStr">
        <is>
          <t>VK02</t>
        </is>
      </c>
      <c r="C41" t="inlineStr">
        <is>
          <t>2028-002</t>
        </is>
      </c>
      <c r="D41" s="39" t="n">
        <v>2</v>
      </c>
      <c r="E41" t="inlineStr">
        <is>
          <t>artikel</t>
        </is>
      </c>
      <c r="F41" t="inlineStr">
        <is>
          <t>LAMP</t>
        </is>
      </c>
      <c r="G41" t="inlineStr">
        <is>
          <t>Verlichtingsset LED</t>
        </is>
      </c>
      <c r="H41" s="39" t="n">
        <v>10</v>
      </c>
      <c r="I41" s="39" t="n">
        <v>40</v>
      </c>
      <c r="J41" s="39" t="n">
        <v>400</v>
      </c>
      <c r="K41" s="39" t="n">
        <v>0.21</v>
      </c>
      <c r="L41" s="39" t="n">
        <v>84</v>
      </c>
    </row>
    <row r="42">
      <c r="A42" t="inlineStr">
        <is>
          <t>J3V03</t>
        </is>
      </c>
      <c r="B42" t="inlineStr">
        <is>
          <t>VK03</t>
        </is>
      </c>
      <c r="C42" t="inlineStr">
        <is>
          <t>2028-003</t>
        </is>
      </c>
      <c r="D42" s="39" t="n">
        <v>1</v>
      </c>
      <c r="E42" t="inlineStr">
        <is>
          <t>artikel</t>
        </is>
      </c>
      <c r="F42" t="inlineStr">
        <is>
          <t>STAD</t>
        </is>
      </c>
      <c r="G42" t="inlineStr">
        <is>
          <t>Stadsfiets City, 7 versnellingen</t>
        </is>
      </c>
      <c r="H42" s="39" t="n">
        <v>12</v>
      </c>
      <c r="I42" s="39" t="n">
        <v>600</v>
      </c>
      <c r="J42" s="39" t="n">
        <v>7200</v>
      </c>
      <c r="K42" s="39" t="n">
        <v>0.21</v>
      </c>
      <c r="L42" s="39" t="n">
        <v>1512</v>
      </c>
    </row>
    <row r="43">
      <c r="A43" t="inlineStr">
        <is>
          <t>J3V03</t>
        </is>
      </c>
      <c r="B43" t="inlineStr">
        <is>
          <t>VK03</t>
        </is>
      </c>
      <c r="C43" t="inlineStr">
        <is>
          <t>2028-003</t>
        </is>
      </c>
      <c r="D43" s="39" t="n">
        <v>2</v>
      </c>
      <c r="E43" t="inlineStr">
        <is>
          <t>artikel</t>
        </is>
      </c>
      <c r="F43" t="inlineStr">
        <is>
          <t>HELM</t>
        </is>
      </c>
      <c r="G43" t="inlineStr">
        <is>
          <t>Fietshelm Urban</t>
        </is>
      </c>
      <c r="H43" s="39" t="n">
        <v>16</v>
      </c>
      <c r="I43" s="39" t="n">
        <v>50</v>
      </c>
      <c r="J43" s="39" t="n">
        <v>800</v>
      </c>
      <c r="K43" s="39" t="n">
        <v>0.21</v>
      </c>
      <c r="L43" s="39" t="n">
        <v>168</v>
      </c>
    </row>
    <row r="44">
      <c r="A44" t="inlineStr">
        <is>
          <t>J3V03</t>
        </is>
      </c>
      <c r="B44" t="inlineStr">
        <is>
          <t>VK03</t>
        </is>
      </c>
      <c r="C44" t="inlineStr">
        <is>
          <t>2028-003</t>
        </is>
      </c>
      <c r="D44" s="39" t="n">
        <v>3</v>
      </c>
      <c r="E44" t="inlineStr">
        <is>
          <t>handelskorting</t>
        </is>
      </c>
      <c r="G44" t="inlineStr">
        <is>
          <t>Handelskorting 5% op de goederen</t>
        </is>
      </c>
      <c r="H44" s="39" t="n">
        <v>0.05</v>
      </c>
      <c r="I44" s="39" t="n">
        <v>-8000</v>
      </c>
      <c r="J44" s="39" t="n">
        <v>-400</v>
      </c>
      <c r="K44" s="39" t="n">
        <v>0.21</v>
      </c>
      <c r="L44" s="39" t="n">
        <v>-84</v>
      </c>
    </row>
    <row r="45">
      <c r="A45" t="inlineStr">
        <is>
          <t>J3V04</t>
        </is>
      </c>
      <c r="B45" t="inlineStr">
        <is>
          <t>VK04</t>
        </is>
      </c>
      <c r="C45" t="inlineStr">
        <is>
          <t>2028-004</t>
        </is>
      </c>
      <c r="D45" s="39" t="n">
        <v>1</v>
      </c>
      <c r="E45" t="inlineStr">
        <is>
          <t>artikel</t>
        </is>
      </c>
      <c r="F45" t="inlineStr">
        <is>
          <t>EBIKE</t>
        </is>
      </c>
      <c r="G45" t="inlineStr">
        <is>
          <t>E-bike Comfort, 500 Wh</t>
        </is>
      </c>
      <c r="H45" s="39" t="n">
        <v>3</v>
      </c>
      <c r="I45" s="39" t="n">
        <v>2000</v>
      </c>
      <c r="J45" s="39" t="n">
        <v>6000</v>
      </c>
      <c r="K45" s="39" t="n">
        <v>0.21</v>
      </c>
      <c r="L45" s="39" t="n">
        <v>1260</v>
      </c>
    </row>
    <row r="46">
      <c r="A46" t="inlineStr">
        <is>
          <t>J3V04</t>
        </is>
      </c>
      <c r="B46" t="inlineStr">
        <is>
          <t>VK04</t>
        </is>
      </c>
      <c r="C46" t="inlineStr">
        <is>
          <t>2028-004</t>
        </is>
      </c>
      <c r="D46" s="39" t="n">
        <v>2</v>
      </c>
      <c r="E46" t="inlineStr">
        <is>
          <t>kosten</t>
        </is>
      </c>
      <c r="G46" t="inlineStr">
        <is>
          <t>Transportkosten</t>
        </is>
      </c>
      <c r="H46" s="39" t="n">
        <v>1</v>
      </c>
      <c r="I46" s="39" t="n">
        <v>100</v>
      </c>
      <c r="J46" s="39" t="n">
        <v>100</v>
      </c>
      <c r="K46" s="39" t="n">
        <v>0.21</v>
      </c>
      <c r="L46" s="39" t="n">
        <v>21</v>
      </c>
    </row>
    <row r="47">
      <c r="A47" t="inlineStr">
        <is>
          <t>J3V04</t>
        </is>
      </c>
      <c r="B47" t="inlineStr">
        <is>
          <t>VK04</t>
        </is>
      </c>
      <c r="C47" t="inlineStr">
        <is>
          <t>2028-004</t>
        </is>
      </c>
      <c r="D47" s="39" t="n">
        <v>3</v>
      </c>
      <c r="E47" t="inlineStr">
        <is>
          <t>handelskorting</t>
        </is>
      </c>
      <c r="G47" t="inlineStr">
        <is>
          <t>Handelskorting 10% op de goederen</t>
        </is>
      </c>
      <c r="H47" s="39" t="n">
        <v>0.1</v>
      </c>
      <c r="I47" s="39" t="n">
        <v>-6000</v>
      </c>
      <c r="J47" s="39" t="n">
        <v>-600</v>
      </c>
      <c r="K47" s="39" t="n">
        <v>0.21</v>
      </c>
      <c r="L47" s="39" t="n">
        <v>-126</v>
      </c>
    </row>
    <row r="48">
      <c r="A48" t="inlineStr">
        <is>
          <t>J3V05</t>
        </is>
      </c>
      <c r="B48" t="inlineStr">
        <is>
          <t>VK05</t>
        </is>
      </c>
      <c r="C48" t="inlineStr">
        <is>
          <t>2028-006</t>
        </is>
      </c>
      <c r="D48" s="39" t="n">
        <v>1</v>
      </c>
      <c r="E48" t="inlineStr">
        <is>
          <t>artikel</t>
        </is>
      </c>
      <c r="F48" t="inlineStr">
        <is>
          <t>BAK</t>
        </is>
      </c>
      <c r="G48" t="inlineStr">
        <is>
          <t>Bakfiets Cargo, 2 wielen</t>
        </is>
      </c>
      <c r="H48" s="39" t="n">
        <v>3</v>
      </c>
      <c r="I48" s="39" t="n">
        <v>2600</v>
      </c>
      <c r="J48" s="39" t="n">
        <v>7800</v>
      </c>
      <c r="K48" s="39" t="n">
        <v>0.21</v>
      </c>
      <c r="L48" s="39" t="n">
        <v>1638</v>
      </c>
    </row>
    <row r="49">
      <c r="A49" t="inlineStr">
        <is>
          <t>J3V05</t>
        </is>
      </c>
      <c r="B49" t="inlineStr">
        <is>
          <t>VK05</t>
        </is>
      </c>
      <c r="C49" t="inlineStr">
        <is>
          <t>2028-006</t>
        </is>
      </c>
      <c r="D49" s="39" t="n">
        <v>2</v>
      </c>
      <c r="E49" t="inlineStr">
        <is>
          <t>kosten</t>
        </is>
      </c>
      <c r="G49" t="inlineStr">
        <is>
          <t>Leveringskosten</t>
        </is>
      </c>
      <c r="H49" s="39" t="n">
        <v>1</v>
      </c>
      <c r="I49" s="39" t="n">
        <v>200</v>
      </c>
      <c r="J49" s="39" t="n">
        <v>200</v>
      </c>
      <c r="K49" s="39" t="n">
        <v>0.21</v>
      </c>
      <c r="L49" s="39" t="n">
        <v>42</v>
      </c>
    </row>
    <row r="50">
      <c r="A50" t="inlineStr">
        <is>
          <t>J3V06</t>
        </is>
      </c>
      <c r="B50" t="inlineStr">
        <is>
          <t>VK06</t>
        </is>
      </c>
      <c r="C50" t="inlineStr">
        <is>
          <t>2028-009</t>
        </is>
      </c>
      <c r="D50" s="39" t="n">
        <v>1</v>
      </c>
      <c r="E50" t="inlineStr">
        <is>
          <t>artikel</t>
        </is>
      </c>
      <c r="F50" t="inlineStr">
        <is>
          <t>EBIKE</t>
        </is>
      </c>
      <c r="G50" t="inlineStr">
        <is>
          <t>E-bike Comfort, 500 Wh</t>
        </is>
      </c>
      <c r="H50" s="39" t="n">
        <v>5</v>
      </c>
      <c r="I50" s="39" t="n">
        <v>2000</v>
      </c>
      <c r="J50" s="39" t="n">
        <v>10000</v>
      </c>
      <c r="K50" s="39" t="n">
        <v>0.21</v>
      </c>
      <c r="L50" s="39" t="n">
        <v>2100</v>
      </c>
    </row>
    <row r="51">
      <c r="A51" t="inlineStr">
        <is>
          <t>J3V06</t>
        </is>
      </c>
      <c r="B51" t="inlineStr">
        <is>
          <t>VK06</t>
        </is>
      </c>
      <c r="C51" t="inlineStr">
        <is>
          <t>2028-009</t>
        </is>
      </c>
      <c r="D51" s="39" t="n">
        <v>2</v>
      </c>
      <c r="E51" t="inlineStr">
        <is>
          <t>kosten</t>
        </is>
      </c>
      <c r="G51" t="inlineStr">
        <is>
          <t>Transportkosten</t>
        </is>
      </c>
      <c r="H51" s="39" t="n">
        <v>1</v>
      </c>
      <c r="I51" s="39" t="n">
        <v>100</v>
      </c>
      <c r="J51" s="39" t="n">
        <v>100</v>
      </c>
      <c r="K51" s="39" t="n">
        <v>0.21</v>
      </c>
      <c r="L51" s="39" t="n">
        <v>21</v>
      </c>
    </row>
    <row r="52">
      <c r="A52" t="inlineStr">
        <is>
          <t>J3V06</t>
        </is>
      </c>
      <c r="B52" t="inlineStr">
        <is>
          <t>VK06</t>
        </is>
      </c>
      <c r="C52" t="inlineStr">
        <is>
          <t>2028-009</t>
        </is>
      </c>
      <c r="D52" s="39" t="n">
        <v>3</v>
      </c>
      <c r="E52" t="inlineStr">
        <is>
          <t>handelskorting</t>
        </is>
      </c>
      <c r="G52" t="inlineStr">
        <is>
          <t>Handelskorting 5% op de goederen</t>
        </is>
      </c>
      <c r="H52" s="39" t="n">
        <v>0.05</v>
      </c>
      <c r="I52" s="39" t="n">
        <v>-10000</v>
      </c>
      <c r="J52" s="39" t="n">
        <v>-500</v>
      </c>
      <c r="K52" s="39" t="n">
        <v>0.21</v>
      </c>
      <c r="L52" s="39" t="n">
        <v>-105</v>
      </c>
    </row>
    <row r="53">
      <c r="A53" t="inlineStr">
        <is>
          <t>J3V07</t>
        </is>
      </c>
      <c r="B53" t="inlineStr">
        <is>
          <t>VK07</t>
        </is>
      </c>
      <c r="C53" t="inlineStr">
        <is>
          <t>2028-005</t>
        </is>
      </c>
      <c r="D53" s="39" t="n">
        <v>1</v>
      </c>
      <c r="E53" t="inlineStr">
        <is>
          <t>artikel</t>
        </is>
      </c>
      <c r="F53" t="inlineStr">
        <is>
          <t>STAD</t>
        </is>
      </c>
      <c r="G53" t="inlineStr">
        <is>
          <t>Stadsfiets City, 7 versnellingen</t>
        </is>
      </c>
      <c r="H53" s="39" t="n">
        <v>6</v>
      </c>
      <c r="I53" s="39" t="n">
        <v>600</v>
      </c>
      <c r="J53" s="39" t="n">
        <v>3600</v>
      </c>
      <c r="K53" s="39" t="n">
        <v>0.21</v>
      </c>
      <c r="L53" s="39" t="n">
        <v>756</v>
      </c>
    </row>
    <row r="54">
      <c r="A54" t="inlineStr">
        <is>
          <t>J3V07</t>
        </is>
      </c>
      <c r="B54" t="inlineStr">
        <is>
          <t>VK07</t>
        </is>
      </c>
      <c r="C54" t="inlineStr">
        <is>
          <t>2028-005</t>
        </is>
      </c>
      <c r="D54" s="39" t="n">
        <v>2</v>
      </c>
      <c r="E54" t="inlineStr">
        <is>
          <t>artikel</t>
        </is>
      </c>
      <c r="F54" t="inlineStr">
        <is>
          <t>KIND</t>
        </is>
      </c>
      <c r="G54" t="inlineStr">
        <is>
          <t>Kinderfiets 20 inch</t>
        </is>
      </c>
      <c r="H54" s="39" t="n">
        <v>4</v>
      </c>
      <c r="I54" s="39" t="n">
        <v>250</v>
      </c>
      <c r="J54" s="39" t="n">
        <v>1000</v>
      </c>
      <c r="K54" s="39" t="n">
        <v>0.21</v>
      </c>
      <c r="L54" s="39" t="n">
        <v>210</v>
      </c>
    </row>
    <row r="55">
      <c r="A55" t="inlineStr">
        <is>
          <t>J3V07</t>
        </is>
      </c>
      <c r="B55" t="inlineStr">
        <is>
          <t>VK07</t>
        </is>
      </c>
      <c r="C55" t="inlineStr">
        <is>
          <t>2028-005</t>
        </is>
      </c>
      <c r="D55" s="39" t="n">
        <v>3</v>
      </c>
      <c r="E55" t="inlineStr">
        <is>
          <t>verpakking</t>
        </is>
      </c>
      <c r="G55" t="inlineStr">
        <is>
          <t>Herbruikbaar fietsrek (waarborg)</t>
        </is>
      </c>
      <c r="H55" s="39" t="n">
        <v>4</v>
      </c>
      <c r="I55" s="39" t="n">
        <v>50</v>
      </c>
      <c r="J55" s="39" t="n">
        <v>200</v>
      </c>
      <c r="K55" s="39" t="n">
        <v>0</v>
      </c>
      <c r="L55" s="39" t="n">
        <v>0</v>
      </c>
    </row>
    <row r="56">
      <c r="A56" t="inlineStr">
        <is>
          <t>J3CV1</t>
        </is>
      </c>
      <c r="B56" t="inlineStr">
        <is>
          <t>VK08</t>
        </is>
      </c>
      <c r="C56" t="inlineStr">
        <is>
          <t>CN-2028-001</t>
        </is>
      </c>
      <c r="D56" s="39" t="n">
        <v>1</v>
      </c>
      <c r="E56" t="inlineStr">
        <is>
          <t>artikel</t>
        </is>
      </c>
      <c r="F56" t="inlineStr">
        <is>
          <t>EBIKE</t>
        </is>
      </c>
      <c r="G56" t="inlineStr">
        <is>
          <t>E-bike Comfort, 500 Wh</t>
        </is>
      </c>
      <c r="H56" s="39" t="n">
        <v>1</v>
      </c>
      <c r="I56" s="39" t="n">
        <v>2000</v>
      </c>
      <c r="J56" s="39" t="n">
        <v>2000</v>
      </c>
      <c r="K56" s="39" t="n">
        <v>0.21</v>
      </c>
      <c r="L56" s="39" t="n">
        <v>420</v>
      </c>
    </row>
    <row r="57">
      <c r="A57" t="inlineStr">
        <is>
          <t>J3CV1</t>
        </is>
      </c>
      <c r="B57" t="inlineStr">
        <is>
          <t>VK08</t>
        </is>
      </c>
      <c r="C57" t="inlineStr">
        <is>
          <t>CN-2028-001</t>
        </is>
      </c>
      <c r="D57" s="39" t="n">
        <v>2</v>
      </c>
      <c r="E57" t="inlineStr">
        <is>
          <t>handelskorting</t>
        </is>
      </c>
      <c r="G57" t="inlineStr">
        <is>
          <t>Handelskorting 10% op de goederen</t>
        </is>
      </c>
      <c r="H57" s="39" t="n">
        <v>0.1</v>
      </c>
      <c r="I57" s="39" t="n">
        <v>-2000</v>
      </c>
      <c r="J57" s="39" t="n">
        <v>-200</v>
      </c>
      <c r="K57" s="39" t="n">
        <v>0.21</v>
      </c>
      <c r="L57" s="39" t="n">
        <v>-42</v>
      </c>
    </row>
    <row r="58">
      <c r="A58" t="inlineStr">
        <is>
          <t>J3CV2</t>
        </is>
      </c>
      <c r="B58" t="inlineStr">
        <is>
          <t>VK09</t>
        </is>
      </c>
      <c r="C58" t="inlineStr">
        <is>
          <t>CN-2028-002</t>
        </is>
      </c>
      <c r="D58" s="39" t="n">
        <v>1</v>
      </c>
      <c r="E58" t="inlineStr">
        <is>
          <t>verpakking</t>
        </is>
      </c>
      <c r="G58" t="inlineStr">
        <is>
          <t>Herbruikbaar fietsrek (waarborg)</t>
        </is>
      </c>
      <c r="H58" s="39" t="n">
        <v>4</v>
      </c>
      <c r="I58" s="39" t="n">
        <v>50</v>
      </c>
      <c r="J58" s="39" t="n">
        <v>200</v>
      </c>
      <c r="K58" s="39" t="n">
        <v>0</v>
      </c>
      <c r="L58" s="39" t="n">
        <v>0</v>
      </c>
    </row>
    <row r="59">
      <c r="A59" t="inlineStr">
        <is>
          <t>J3V10</t>
        </is>
      </c>
      <c r="B59" t="inlineStr">
        <is>
          <t>VK10</t>
        </is>
      </c>
      <c r="C59" t="inlineStr">
        <is>
          <t>2028-011</t>
        </is>
      </c>
      <c r="D59" s="39" t="n">
        <v>1</v>
      </c>
      <c r="E59" t="inlineStr">
        <is>
          <t>artikel</t>
        </is>
      </c>
      <c r="F59" t="inlineStr">
        <is>
          <t>EBIKE</t>
        </is>
      </c>
      <c r="G59" t="inlineStr">
        <is>
          <t>E-bike Comfort, 500 Wh</t>
        </is>
      </c>
      <c r="H59" s="39" t="n">
        <v>5</v>
      </c>
      <c r="I59" s="39" t="n">
        <v>2000</v>
      </c>
      <c r="J59" s="39" t="n">
        <v>10000</v>
      </c>
      <c r="K59" s="39" t="n">
        <v>0.21</v>
      </c>
      <c r="L59" s="39" t="n">
        <v>2100</v>
      </c>
    </row>
    <row r="60">
      <c r="A60" t="inlineStr">
        <is>
          <t>J3V10</t>
        </is>
      </c>
      <c r="B60" t="inlineStr">
        <is>
          <t>VK10</t>
        </is>
      </c>
      <c r="C60" t="inlineStr">
        <is>
          <t>2028-011</t>
        </is>
      </c>
      <c r="D60" s="39" t="n">
        <v>2</v>
      </c>
      <c r="E60" t="inlineStr">
        <is>
          <t>financiële korting</t>
        </is>
      </c>
      <c r="G60" t="inlineStr">
        <is>
          <t>Financiële korting 2% bij betaling binnen 10 dagen (btw berekend na korting)</t>
        </is>
      </c>
      <c r="H60" s="39" t="n">
        <v>0.02</v>
      </c>
      <c r="I60" s="39" t="n">
        <v>-10000</v>
      </c>
      <c r="J60" s="39" t="n">
        <v>-200</v>
      </c>
      <c r="K60" s="39" t="n">
        <v>0.21</v>
      </c>
      <c r="L60" s="39" t="n">
        <v>-42</v>
      </c>
    </row>
    <row r="61">
      <c r="A61" t="inlineStr">
        <is>
          <t>J3V11</t>
        </is>
      </c>
      <c r="B61" t="inlineStr">
        <is>
          <t>VK11</t>
        </is>
      </c>
      <c r="C61" t="inlineStr">
        <is>
          <t>2028-013</t>
        </is>
      </c>
      <c r="D61" s="39" t="n">
        <v>1</v>
      </c>
      <c r="E61" t="inlineStr">
        <is>
          <t>artikel</t>
        </is>
      </c>
      <c r="F61" t="inlineStr">
        <is>
          <t>EBIKE</t>
        </is>
      </c>
      <c r="G61" t="inlineStr">
        <is>
          <t>E-bike Comfort, 500 Wh</t>
        </is>
      </c>
      <c r="H61" s="39" t="n">
        <v>1</v>
      </c>
      <c r="I61" s="39" t="n">
        <v>2000</v>
      </c>
      <c r="J61" s="39" t="n">
        <v>2000</v>
      </c>
      <c r="K61" s="39" t="n">
        <v>0.21</v>
      </c>
      <c r="L61" s="39" t="n">
        <v>420</v>
      </c>
    </row>
    <row r="62">
      <c r="A62" t="inlineStr">
        <is>
          <t>J3V11</t>
        </is>
      </c>
      <c r="B62" t="inlineStr">
        <is>
          <t>VK11</t>
        </is>
      </c>
      <c r="C62" t="inlineStr">
        <is>
          <t>2028-013</t>
        </is>
      </c>
      <c r="D62" s="39" t="n">
        <v>2</v>
      </c>
      <c r="E62" t="inlineStr">
        <is>
          <t>financiële korting</t>
        </is>
      </c>
      <c r="G62" t="inlineStr">
        <is>
          <t>Financiële korting 5% bij betaling binnen 10 dagen (btw berekend na korting)</t>
        </is>
      </c>
      <c r="H62" s="39" t="n">
        <v>0.05</v>
      </c>
      <c r="I62" s="39" t="n">
        <v>-2000</v>
      </c>
      <c r="J62" s="39" t="n">
        <v>-100</v>
      </c>
      <c r="K62" s="39" t="n">
        <v>0.21</v>
      </c>
      <c r="L62" s="39" t="n">
        <v>-21</v>
      </c>
    </row>
    <row r="63">
      <c r="A63" t="inlineStr">
        <is>
          <t>J3D1</t>
        </is>
      </c>
      <c r="B63" t="inlineStr">
        <is>
          <t>ONTV01</t>
        </is>
      </c>
      <c r="C63" t="inlineStr">
        <is>
          <t>DO-2028-11</t>
        </is>
      </c>
      <c r="D63" s="39" t="n">
        <v>1</v>
      </c>
      <c r="E63" t="inlineStr">
        <is>
          <t>artikel</t>
        </is>
      </c>
      <c r="F63" t="inlineStr">
        <is>
          <t>STAD</t>
        </is>
      </c>
      <c r="G63" t="inlineStr">
        <is>
          <t>Stadsfiets City, 7 versnellingen</t>
        </is>
      </c>
      <c r="H63" s="39" t="n">
        <v>2</v>
      </c>
      <c r="I63" s="39" t="n">
        <v>600</v>
      </c>
      <c r="J63" s="39" t="n">
        <v>1200</v>
      </c>
      <c r="K63" s="39" t="n">
        <v>0.21</v>
      </c>
      <c r="L63" s="39" t="n">
        <v>252</v>
      </c>
    </row>
    <row r="64">
      <c r="A64" t="inlineStr">
        <is>
          <t>J3D1</t>
        </is>
      </c>
      <c r="B64" t="inlineStr">
        <is>
          <t>ONTV01</t>
        </is>
      </c>
      <c r="C64" t="inlineStr">
        <is>
          <t>DO-2028-11</t>
        </is>
      </c>
      <c r="D64" s="39" t="n">
        <v>2</v>
      </c>
      <c r="E64" t="inlineStr">
        <is>
          <t>artikel</t>
        </is>
      </c>
      <c r="F64" t="inlineStr">
        <is>
          <t>EBIKE</t>
        </is>
      </c>
      <c r="G64" t="inlineStr">
        <is>
          <t>E-bike Comfort, 500 Wh</t>
        </is>
      </c>
      <c r="H64" s="39" t="n">
        <v>1</v>
      </c>
      <c r="I64" s="39" t="n">
        <v>2000</v>
      </c>
      <c r="J64" s="39" t="n">
        <v>2000</v>
      </c>
      <c r="K64" s="39" t="n">
        <v>0.21</v>
      </c>
      <c r="L64" s="39" t="n">
        <v>420</v>
      </c>
    </row>
    <row r="65">
      <c r="A65" t="inlineStr">
        <is>
          <t>J3D1</t>
        </is>
      </c>
      <c r="B65" t="inlineStr">
        <is>
          <t>ONTV01</t>
        </is>
      </c>
      <c r="C65" t="inlineStr">
        <is>
          <t>DO-2028-11</t>
        </is>
      </c>
      <c r="D65" s="39" t="n">
        <v>3</v>
      </c>
      <c r="E65" t="inlineStr">
        <is>
          <t>artikel</t>
        </is>
      </c>
      <c r="F65" t="inlineStr">
        <is>
          <t>KIND</t>
        </is>
      </c>
      <c r="G65" t="inlineStr">
        <is>
          <t>Kinderfiets 20 inch</t>
        </is>
      </c>
      <c r="H65" s="39" t="n">
        <v>2</v>
      </c>
      <c r="I65" s="39" t="n">
        <v>250</v>
      </c>
      <c r="J65" s="39" t="n">
        <v>500</v>
      </c>
      <c r="K65" s="39" t="n">
        <v>0.21</v>
      </c>
      <c r="L65" s="39" t="n">
        <v>105</v>
      </c>
    </row>
    <row r="66">
      <c r="A66" t="inlineStr">
        <is>
          <t>J3D1</t>
        </is>
      </c>
      <c r="B66" t="inlineStr">
        <is>
          <t>ONTV01</t>
        </is>
      </c>
      <c r="C66" t="inlineStr">
        <is>
          <t>DO-2028-11</t>
        </is>
      </c>
      <c r="D66" s="39" t="n">
        <v>4</v>
      </c>
      <c r="E66" t="inlineStr">
        <is>
          <t>artikel</t>
        </is>
      </c>
      <c r="F66" t="inlineStr">
        <is>
          <t>HELM</t>
        </is>
      </c>
      <c r="G66" t="inlineStr">
        <is>
          <t>Fietshelm Urban</t>
        </is>
      </c>
      <c r="H66" s="39" t="n">
        <v>8</v>
      </c>
      <c r="I66" s="39" t="n">
        <v>50</v>
      </c>
      <c r="J66" s="39" t="n">
        <v>400</v>
      </c>
      <c r="K66" s="39" t="n">
        <v>0.21</v>
      </c>
      <c r="L66" s="39" t="n">
        <v>84</v>
      </c>
    </row>
    <row r="67">
      <c r="A67" t="inlineStr">
        <is>
          <t>J3D1</t>
        </is>
      </c>
      <c r="B67" t="inlineStr">
        <is>
          <t>ONTV01</t>
        </is>
      </c>
      <c r="C67" t="inlineStr">
        <is>
          <t>DO-2028-11</t>
        </is>
      </c>
      <c r="D67" s="39" t="n">
        <v>5</v>
      </c>
      <c r="E67" t="inlineStr">
        <is>
          <t>artikel</t>
        </is>
      </c>
      <c r="F67" t="inlineStr">
        <is>
          <t>SLOT</t>
        </is>
      </c>
      <c r="G67" t="inlineStr">
        <is>
          <t>Plooislot</t>
        </is>
      </c>
      <c r="H67" s="39" t="n">
        <v>6</v>
      </c>
      <c r="I67" s="39" t="n">
        <v>35</v>
      </c>
      <c r="J67" s="39" t="n">
        <v>210</v>
      </c>
      <c r="K67" s="39" t="n">
        <v>0.21</v>
      </c>
      <c r="L67" s="39" t="n">
        <v>44.1</v>
      </c>
    </row>
    <row r="68">
      <c r="A68" t="inlineStr">
        <is>
          <t>J3D1</t>
        </is>
      </c>
      <c r="B68" t="inlineStr">
        <is>
          <t>ONTV01</t>
        </is>
      </c>
      <c r="C68" t="inlineStr">
        <is>
          <t>DO-2028-11</t>
        </is>
      </c>
      <c r="D68" s="39" t="n">
        <v>6</v>
      </c>
      <c r="E68" t="inlineStr">
        <is>
          <t>artikel</t>
        </is>
      </c>
      <c r="F68" t="inlineStr">
        <is>
          <t>BAND</t>
        </is>
      </c>
      <c r="G68" t="inlineStr">
        <is>
          <t>Buitenband 28 inch</t>
        </is>
      </c>
      <c r="H68" s="39" t="n">
        <v>6</v>
      </c>
      <c r="I68" s="39" t="n">
        <v>25</v>
      </c>
      <c r="J68" s="39" t="n">
        <v>150</v>
      </c>
      <c r="K68" s="39" t="n">
        <v>0.21</v>
      </c>
      <c r="L68" s="39" t="n">
        <v>31.5</v>
      </c>
    </row>
    <row r="69">
      <c r="A69" t="inlineStr">
        <is>
          <t>J3D1</t>
        </is>
      </c>
      <c r="B69" t="inlineStr">
        <is>
          <t>ONTV01</t>
        </is>
      </c>
      <c r="C69" t="inlineStr">
        <is>
          <t>DO-2028-11</t>
        </is>
      </c>
      <c r="D69" s="39" t="n">
        <v>7</v>
      </c>
      <c r="E69" t="inlineStr">
        <is>
          <t>artikel</t>
        </is>
      </c>
      <c r="F69" t="inlineStr">
        <is>
          <t>KET</t>
        </is>
      </c>
      <c r="G69" t="inlineStr">
        <is>
          <t>Fietsketting 8 speed</t>
        </is>
      </c>
      <c r="H69" s="39" t="n">
        <v>9</v>
      </c>
      <c r="I69" s="39" t="n">
        <v>20</v>
      </c>
      <c r="J69" s="39" t="n">
        <v>180</v>
      </c>
      <c r="K69" s="39" t="n">
        <v>0.21</v>
      </c>
      <c r="L69" s="39" t="n">
        <v>37.8</v>
      </c>
    </row>
    <row r="70">
      <c r="A70" t="inlineStr">
        <is>
          <t>J3D1</t>
        </is>
      </c>
      <c r="B70" t="inlineStr">
        <is>
          <t>ONTV01</t>
        </is>
      </c>
      <c r="C70" t="inlineStr">
        <is>
          <t>DO-2028-11</t>
        </is>
      </c>
      <c r="D70" s="39" t="n">
        <v>8</v>
      </c>
      <c r="E70" t="inlineStr">
        <is>
          <t>artikel</t>
        </is>
      </c>
      <c r="F70" t="inlineStr">
        <is>
          <t>LAMP</t>
        </is>
      </c>
      <c r="G70" t="inlineStr">
        <is>
          <t>Verlichtingsset LED</t>
        </is>
      </c>
      <c r="H70" s="39" t="n">
        <v>4</v>
      </c>
      <c r="I70" s="39" t="n">
        <v>40</v>
      </c>
      <c r="J70" s="39" t="n">
        <v>160</v>
      </c>
      <c r="K70" s="39" t="n">
        <v>0.21</v>
      </c>
      <c r="L70" s="39" t="n">
        <v>33.6</v>
      </c>
    </row>
    <row r="71">
      <c r="A71" t="inlineStr">
        <is>
          <t>J3D1</t>
        </is>
      </c>
      <c r="B71" t="inlineStr">
        <is>
          <t>ONTV01</t>
        </is>
      </c>
      <c r="C71" t="inlineStr">
        <is>
          <t>DO-2028-11</t>
        </is>
      </c>
      <c r="D71" s="39" t="n">
        <v>9</v>
      </c>
      <c r="E71" t="inlineStr">
        <is>
          <t>dienst</t>
        </is>
      </c>
      <c r="F71" t="inlineStr">
        <is>
          <t>HERST</t>
        </is>
      </c>
      <c r="G71" t="inlineStr">
        <is>
          <t>Herstelling (arbeid, per stuk)</t>
        </is>
      </c>
      <c r="H71" s="39" t="n">
        <v>50</v>
      </c>
      <c r="I71" s="39" t="n">
        <v>50</v>
      </c>
      <c r="J71" s="39" t="n">
        <v>2500</v>
      </c>
      <c r="K71" s="39" t="n">
        <v>0.06</v>
      </c>
      <c r="L71" s="39" t="n">
        <v>150</v>
      </c>
    </row>
    <row r="72">
      <c r="A72" t="inlineStr">
        <is>
          <t>J3A21</t>
        </is>
      </c>
      <c r="B72" t="inlineStr">
        <is>
          <t>AK21</t>
        </is>
      </c>
      <c r="C72" t="inlineStr">
        <is>
          <t>LW-2028-0332</t>
        </is>
      </c>
      <c r="D72" s="39" t="n">
        <v>1</v>
      </c>
      <c r="E72" t="inlineStr">
        <is>
          <t>vrij</t>
        </is>
      </c>
      <c r="G72" t="inlineStr">
        <is>
          <t>Beheerskosten loonadministratie 1e kwartaal 2028, opstartdossier inbegrepen</t>
        </is>
      </c>
      <c r="H72" s="39" t="n">
        <v>1</v>
      </c>
      <c r="I72" s="39" t="n">
        <v>200</v>
      </c>
      <c r="J72" s="39" t="n">
        <v>200</v>
      </c>
      <c r="K72" s="39" t="n">
        <v>0.21</v>
      </c>
      <c r="L72" s="39" t="n">
        <v>42</v>
      </c>
      <c r="M72" t="inlineStr">
        <is>
          <t>613300</t>
        </is>
      </c>
    </row>
    <row r="73">
      <c r="A73" t="inlineStr">
        <is>
          <t>J3A22</t>
        </is>
      </c>
      <c r="B73" t="inlineStr">
        <is>
          <t>AK22</t>
        </is>
      </c>
      <c r="C73" t="inlineStr">
        <is>
          <t>GZ-28-00872</t>
        </is>
      </c>
      <c r="D73" s="39" t="n">
        <v>1</v>
      </c>
      <c r="E73" t="inlineStr">
        <is>
          <t>vrij</t>
        </is>
      </c>
      <c r="G73" t="inlineStr">
        <is>
          <t>Jaarpremie verzekering arbeidsongevallen, periode 01/01/2028 - 31/12/2028</t>
        </is>
      </c>
      <c r="H73" s="39" t="n">
        <v>1</v>
      </c>
      <c r="I73" s="39" t="n">
        <v>600</v>
      </c>
      <c r="J73" s="39" t="n">
        <v>600</v>
      </c>
      <c r="K73" s="39" t="n">
        <v>0</v>
      </c>
      <c r="L73" s="39" t="n">
        <v>0</v>
      </c>
      <c r="M73" t="inlineStr">
        <is>
          <t>623000</t>
        </is>
      </c>
    </row>
    <row r="74">
      <c r="A74" t="inlineStr">
        <is>
          <t>J3A23</t>
        </is>
      </c>
      <c r="B74" t="inlineStr">
        <is>
          <t>AK23</t>
        </is>
      </c>
      <c r="C74" t="inlineStr">
        <is>
          <t>PV-28-1022</t>
        </is>
      </c>
      <c r="D74" s="39" t="n">
        <v>1</v>
      </c>
      <c r="E74" t="inlineStr">
        <is>
          <t>vrij</t>
        </is>
      </c>
      <c r="G74" t="inlineStr">
        <is>
          <t>Aansluiting 2028 en medisch onderzoek bij indiensttreding (per werknemer)</t>
        </is>
      </c>
      <c r="H74" s="39" t="n">
        <v>2</v>
      </c>
      <c r="I74" s="39" t="n">
        <v>70</v>
      </c>
      <c r="J74" s="39" t="n">
        <v>140</v>
      </c>
      <c r="K74" s="39" t="n">
        <v>0</v>
      </c>
      <c r="L74" s="39" t="n">
        <v>0</v>
      </c>
      <c r="M74" t="inlineStr">
        <is>
          <t>623000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0" customWidth="1" min="3" max="3"/>
    <col width="14" customWidth="1" min="4" max="4"/>
    <col width="38" customWidth="1" min="5" max="5"/>
    <col width="10" customWidth="1" min="6" max="6"/>
    <col width="10" customWidth="1" min="7" max="7"/>
    <col width="16" customWidth="1" min="8" max="8"/>
    <col width="10" customWidth="1" min="9" max="9"/>
    <col width="12" customWidth="1" min="10" max="10"/>
    <col width="11" customWidth="1" min="11" max="11"/>
    <col width="12" customWidth="1" min="12" max="12"/>
    <col width="10" customWidth="1" min="13" max="13"/>
    <col width="12" customWidth="1" min="14" max="14"/>
    <col width="12" customWidth="1" min="15" max="15"/>
  </cols>
  <sheetData>
    <row r="1">
      <c r="A1" s="1" t="inlineStr">
        <is>
          <t>Ref</t>
        </is>
      </c>
      <c r="B1" s="1" t="inlineStr">
        <is>
          <t>Loonstaat</t>
        </is>
      </c>
      <c r="C1" s="1" t="inlineStr">
        <is>
          <t>Statuut</t>
        </is>
      </c>
      <c r="D1" s="1" t="inlineStr">
        <is>
          <t>Periode</t>
        </is>
      </c>
      <c r="E1" s="1" t="inlineStr">
        <is>
          <t>Werknemer</t>
        </is>
      </c>
      <c r="F1" s="1" t="inlineStr">
        <is>
          <t>Basisloon</t>
        </is>
      </c>
      <c r="G1" s="1" t="inlineStr">
        <is>
          <t>Bijkomend</t>
        </is>
      </c>
      <c r="H1" s="1" t="inlineStr">
        <is>
          <t>Wat</t>
        </is>
      </c>
      <c r="I1" s="1" t="inlineStr">
        <is>
          <t>Brutoloon</t>
        </is>
      </c>
      <c r="J1" s="1" t="inlineStr">
        <is>
          <t>RSZ werknemer 13,07%</t>
        </is>
      </c>
      <c r="K1" s="1" t="inlineStr">
        <is>
          <t>Belastbaar</t>
        </is>
      </c>
      <c r="L1" s="1" t="inlineStr">
        <is>
          <t>Bedrijfsvoorheffing</t>
        </is>
      </c>
      <c r="M1" s="1" t="inlineStr">
        <is>
          <t>Netto</t>
        </is>
      </c>
      <c r="N1" s="1" t="inlineStr">
        <is>
          <t>RSZ werkgever 25%</t>
        </is>
      </c>
      <c r="O1" s="1" t="inlineStr">
        <is>
          <t>Totale loonkost</t>
        </is>
      </c>
    </row>
    <row r="2">
      <c r="A2" t="inlineStr">
        <is>
          <t>LOON01</t>
        </is>
      </c>
      <c r="B2" t="inlineStr">
        <is>
          <t>LW-LS-2028-0101</t>
        </is>
      </c>
      <c r="C2" t="inlineStr">
        <is>
          <t>arbeiders</t>
        </is>
      </c>
      <c r="D2" t="inlineStr">
        <is>
          <t>januari 2028</t>
        </is>
      </c>
      <c r="E2" t="inlineStr">
        <is>
          <t>Jonas Claes (fietshersteller)</t>
        </is>
      </c>
      <c r="F2" s="39" t="n">
        <v>2600</v>
      </c>
      <c r="I2" s="39" t="n">
        <v>2600</v>
      </c>
      <c r="J2" s="39" t="n">
        <v>339.82</v>
      </c>
      <c r="K2" s="39" t="n">
        <v>2260.18</v>
      </c>
      <c r="L2" s="39" t="n">
        <v>360.18</v>
      </c>
      <c r="M2" s="39" t="n">
        <v>1900</v>
      </c>
      <c r="N2" s="39" t="n">
        <v>650</v>
      </c>
      <c r="O2" s="39" t="n">
        <v>3250</v>
      </c>
    </row>
    <row r="3">
      <c r="A3" t="inlineStr">
        <is>
          <t>LOON02</t>
        </is>
      </c>
      <c r="B3" t="inlineStr">
        <is>
          <t>LW-LS-2028-0102</t>
        </is>
      </c>
      <c r="C3" t="inlineStr">
        <is>
          <t>bedienden</t>
        </is>
      </c>
      <c r="D3" t="inlineStr">
        <is>
          <t>januari 2028</t>
        </is>
      </c>
      <c r="E3" t="inlineStr">
        <is>
          <t>Lina Vermeulen (verkoopster, deeltijds)</t>
        </is>
      </c>
      <c r="F3" s="39" t="n">
        <v>1600</v>
      </c>
      <c r="I3" s="39" t="n">
        <v>1600</v>
      </c>
      <c r="J3" s="39" t="n">
        <v>209.12</v>
      </c>
      <c r="K3" s="39" t="n">
        <v>1390.88</v>
      </c>
      <c r="L3" s="39" t="n">
        <v>140.88</v>
      </c>
      <c r="M3" s="39" t="n">
        <v>1250</v>
      </c>
      <c r="N3" s="39" t="n">
        <v>400</v>
      </c>
      <c r="O3" s="39" t="n">
        <v>2000</v>
      </c>
    </row>
    <row r="4">
      <c r="A4" t="inlineStr">
        <is>
          <t>LOON03</t>
        </is>
      </c>
      <c r="B4" t="inlineStr">
        <is>
          <t>LW-LS-2028-0201</t>
        </is>
      </c>
      <c r="C4" t="inlineStr">
        <is>
          <t>arbeiders</t>
        </is>
      </c>
      <c r="D4" t="inlineStr">
        <is>
          <t>februari 2028</t>
        </is>
      </c>
      <c r="E4" t="inlineStr">
        <is>
          <t>Jonas Claes (fietshersteller)</t>
        </is>
      </c>
      <c r="F4" s="39" t="n">
        <v>2600</v>
      </c>
      <c r="G4" s="39" t="n">
        <v>200</v>
      </c>
      <c r="H4" t="inlineStr">
        <is>
          <t>overuren</t>
        </is>
      </c>
      <c r="I4" s="39" t="n">
        <v>2800</v>
      </c>
      <c r="J4" s="39" t="n">
        <v>365.96</v>
      </c>
      <c r="K4" s="39" t="n">
        <v>2434.04</v>
      </c>
      <c r="L4" s="39" t="n">
        <v>414.04</v>
      </c>
      <c r="M4" s="39" t="n">
        <v>2020</v>
      </c>
      <c r="N4" s="39" t="n">
        <v>700</v>
      </c>
      <c r="O4" s="39" t="n">
        <v>3500</v>
      </c>
    </row>
    <row r="5">
      <c r="A5" t="inlineStr">
        <is>
          <t>LOON04</t>
        </is>
      </c>
      <c r="B5" t="inlineStr">
        <is>
          <t>LW-LS-2028-0202</t>
        </is>
      </c>
      <c r="C5" t="inlineStr">
        <is>
          <t>bedienden</t>
        </is>
      </c>
      <c r="D5" t="inlineStr">
        <is>
          <t>februari 2028</t>
        </is>
      </c>
      <c r="E5" t="inlineStr">
        <is>
          <t>Lina Vermeulen (verkoopster, deeltijds)</t>
        </is>
      </c>
      <c r="F5" s="39" t="n">
        <v>1800</v>
      </c>
      <c r="I5" s="39" t="n">
        <v>1800</v>
      </c>
      <c r="J5" s="39" t="n">
        <v>235.26</v>
      </c>
      <c r="K5" s="39" t="n">
        <v>1564.74</v>
      </c>
      <c r="L5" s="39" t="n">
        <v>194.74</v>
      </c>
      <c r="M5" s="39" t="n">
        <v>1370</v>
      </c>
      <c r="N5" s="39" t="n">
        <v>450</v>
      </c>
      <c r="O5" s="39" t="n">
        <v>2250</v>
      </c>
    </row>
    <row r="6">
      <c r="A6" t="inlineStr">
        <is>
          <t>LOON05</t>
        </is>
      </c>
      <c r="B6" t="inlineStr">
        <is>
          <t>LW-LS-2028-0301</t>
        </is>
      </c>
      <c r="C6" t="inlineStr">
        <is>
          <t>arbeiders</t>
        </is>
      </c>
      <c r="D6" t="inlineStr">
        <is>
          <t>maart 2028</t>
        </is>
      </c>
      <c r="E6" t="inlineStr">
        <is>
          <t>Jonas Claes (fietshersteller)</t>
        </is>
      </c>
      <c r="F6" s="39" t="n">
        <v>2600</v>
      </c>
      <c r="G6" s="39" t="n">
        <v>100</v>
      </c>
      <c r="H6" t="inlineStr">
        <is>
          <t>overuren</t>
        </is>
      </c>
      <c r="I6" s="39" t="n">
        <v>2700</v>
      </c>
      <c r="J6" s="39" t="n">
        <v>352.89</v>
      </c>
      <c r="K6" s="39" t="n">
        <v>2347.11</v>
      </c>
      <c r="L6" s="39" t="n">
        <v>387.11</v>
      </c>
      <c r="M6" s="39" t="n">
        <v>1960</v>
      </c>
      <c r="N6" s="39" t="n">
        <v>675</v>
      </c>
      <c r="O6" s="39" t="n">
        <v>3375</v>
      </c>
    </row>
    <row r="7">
      <c r="A7" t="inlineStr">
        <is>
          <t>LOON06</t>
        </is>
      </c>
      <c r="B7" t="inlineStr">
        <is>
          <t>LW-LS-2028-0302</t>
        </is>
      </c>
      <c r="C7" t="inlineStr">
        <is>
          <t>bedienden</t>
        </is>
      </c>
      <c r="D7" t="inlineStr">
        <is>
          <t>maart 2028</t>
        </is>
      </c>
      <c r="E7" t="inlineStr">
        <is>
          <t>Lina Vermeulen (verkoopster, deeltijds)</t>
        </is>
      </c>
      <c r="F7" s="39" t="n">
        <v>1600</v>
      </c>
      <c r="G7" s="39" t="n">
        <v>100</v>
      </c>
      <c r="H7" t="inlineStr">
        <is>
          <t>verkoopcommissie</t>
        </is>
      </c>
      <c r="I7" s="39" t="n">
        <v>1700</v>
      </c>
      <c r="J7" s="39" t="n">
        <v>222.19</v>
      </c>
      <c r="K7" s="39" t="n">
        <v>1477.81</v>
      </c>
      <c r="L7" s="39" t="n">
        <v>157.81</v>
      </c>
      <c r="M7" s="39" t="n">
        <v>1320</v>
      </c>
      <c r="N7" s="39" t="n">
        <v>425</v>
      </c>
      <c r="O7" s="39" t="n">
        <v>2125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2" customWidth="1" min="3" max="3"/>
    <col width="12" customWidth="1" min="4" max="4"/>
    <col width="5" customWidth="1" min="5" max="5"/>
    <col width="80" customWidth="1" min="6" max="6"/>
    <col width="18" customWidth="1" min="7" max="7"/>
    <col width="11" customWidth="1" min="8" max="8"/>
    <col width="11" customWidth="1" min="9" max="9"/>
  </cols>
  <sheetData>
    <row r="1">
      <c r="A1" s="1" t="inlineStr">
        <is>
          <t>Ref</t>
        </is>
      </c>
      <c r="B1" s="1" t="inlineStr">
        <is>
          <t>Uittreksel</t>
        </is>
      </c>
      <c r="C1" s="1" t="inlineStr">
        <is>
          <t>Datum uittreksel</t>
        </is>
      </c>
      <c r="D1" s="1" t="inlineStr">
        <is>
          <t>Datum lijn</t>
        </is>
      </c>
      <c r="E1" s="1" t="inlineStr">
        <is>
          <t>Lijn</t>
        </is>
      </c>
      <c r="F1" s="1" t="inlineStr">
        <is>
          <t>Omschrijving op het uittreksel</t>
        </is>
      </c>
      <c r="G1" s="1" t="inlineStr">
        <is>
          <t>Verwijst naar (ID)</t>
        </is>
      </c>
      <c r="H1" s="1" t="inlineStr">
        <is>
          <t>Bedrag</t>
        </is>
      </c>
      <c r="I1" s="1" t="inlineStr">
        <is>
          <t>Saldo na lijn</t>
        </is>
      </c>
    </row>
    <row r="2">
      <c r="F2" t="inlineStr">
        <is>
          <t>Saldo bank bij de start van het jaar</t>
        </is>
      </c>
      <c r="I2" s="39" t="n">
        <v>44997</v>
      </c>
    </row>
    <row r="3">
      <c r="A3" t="inlineStr">
        <is>
          <t>BANK01</t>
        </is>
      </c>
      <c r="B3" s="39" t="n">
        <v>1</v>
      </c>
      <c r="C3" s="40" t="n">
        <v>46783</v>
      </c>
      <c r="D3" s="40" t="n">
        <v>46772</v>
      </c>
      <c r="E3" s="39" t="n">
        <v>1</v>
      </c>
      <c r="F3" t="inlineStr">
        <is>
          <t>Overschrijving van Snelpost bv, factuur 2028-001</t>
        </is>
      </c>
      <c r="G3" t="inlineStr">
        <is>
          <t>J3V01</t>
        </is>
      </c>
      <c r="H3" s="39" t="n">
        <v>11028</v>
      </c>
      <c r="I3" s="39" t="n">
        <v>56025</v>
      </c>
    </row>
    <row r="4">
      <c r="A4" t="inlineStr">
        <is>
          <t>BANK01</t>
        </is>
      </c>
      <c r="B4" s="39" t="n">
        <v>1</v>
      </c>
      <c r="C4" s="40" t="n">
        <v>46783</v>
      </c>
      <c r="D4" s="40" t="n">
        <v>46777</v>
      </c>
      <c r="E4" s="39" t="n">
        <v>2</v>
      </c>
      <c r="F4" t="inlineStr">
        <is>
          <t>Overschrijving naar Velomax bv, factuur 2028-003 - creditnota CN-2028-001</t>
        </is>
      </c>
      <c r="G4" t="inlineStr">
        <is>
          <t>J3A01, J3CA1</t>
        </is>
      </c>
      <c r="H4" s="39" t="n">
        <v>-8712</v>
      </c>
      <c r="I4" s="39" t="n">
        <v>47313</v>
      </c>
    </row>
    <row r="5">
      <c r="A5" t="inlineStr">
        <is>
          <t>BANK01</t>
        </is>
      </c>
      <c r="B5" s="39" t="n">
        <v>1</v>
      </c>
      <c r="C5" s="40" t="n">
        <v>46783</v>
      </c>
      <c r="D5" s="40" t="n">
        <v>46783</v>
      </c>
      <c r="E5" s="39" t="n">
        <v>3</v>
      </c>
      <c r="F5" t="inlineStr">
        <is>
          <t>Nettolonen januari 2028 (loonstaten LW-LS-2028-0101 en -0102)</t>
        </is>
      </c>
      <c r="G5" t="inlineStr">
        <is>
          <t>J3L1, J3L2</t>
        </is>
      </c>
      <c r="H5" s="39" t="n">
        <v>-3150</v>
      </c>
      <c r="I5" s="39" t="n">
        <v>44163</v>
      </c>
    </row>
    <row r="6">
      <c r="A6" t="inlineStr">
        <is>
          <t>BANK02</t>
        </is>
      </c>
      <c r="B6" s="39" t="n">
        <v>2</v>
      </c>
      <c r="C6" s="40" t="n">
        <v>46793</v>
      </c>
      <c r="D6" s="40" t="n">
        <v>46784</v>
      </c>
      <c r="E6" s="39" t="n">
        <v>1</v>
      </c>
      <c r="F6" t="inlineStr">
        <is>
          <t>Aflossing lening nr. 2027-0042: kapitaal 1.500 + intrest 255</t>
        </is>
      </c>
      <c r="G6" t="inlineStr"/>
      <c r="H6" s="39" t="n">
        <v>-1755</v>
      </c>
      <c r="I6" s="39" t="n">
        <v>42408</v>
      </c>
    </row>
    <row r="7">
      <c r="A7" t="inlineStr">
        <is>
          <t>BANK02</t>
        </is>
      </c>
      <c r="B7" s="39" t="n">
        <v>2</v>
      </c>
      <c r="C7" s="40" t="n">
        <v>46793</v>
      </c>
      <c r="D7" s="40" t="n">
        <v>46784</v>
      </c>
      <c r="E7" s="39" t="n">
        <v>2</v>
      </c>
      <c r="F7" t="inlineStr">
        <is>
          <t>Domiciliëring Immo Vaartkom bv, huur februari-april 2028, factuur IV-2028-02</t>
        </is>
      </c>
      <c r="G7" t="inlineStr">
        <is>
          <t>J3A17</t>
        </is>
      </c>
      <c r="H7" s="39" t="n">
        <v>-1500</v>
      </c>
      <c r="I7" s="39" t="n">
        <v>40908</v>
      </c>
    </row>
    <row r="8">
      <c r="A8" t="inlineStr">
        <is>
          <t>BANK02</t>
        </is>
      </c>
      <c r="B8" s="39" t="n">
        <v>2</v>
      </c>
      <c r="C8" s="40" t="n">
        <v>46793</v>
      </c>
      <c r="D8" s="40" t="n">
        <v>46793</v>
      </c>
      <c r="E8" s="39" t="n">
        <v>3</v>
      </c>
      <c r="F8" t="inlineStr">
        <is>
          <t>Overschrijving naar Velomax bv, factuur 2028-047</t>
        </is>
      </c>
      <c r="G8" t="inlineStr">
        <is>
          <t>J3A05</t>
        </is>
      </c>
      <c r="H8" s="39" t="n">
        <v>-16093</v>
      </c>
      <c r="I8" s="39" t="n">
        <v>24815</v>
      </c>
    </row>
    <row r="9">
      <c r="A9" t="inlineStr">
        <is>
          <t>BANK02</t>
        </is>
      </c>
      <c r="B9" s="39" t="n">
        <v>2</v>
      </c>
      <c r="C9" s="40" t="n">
        <v>46793</v>
      </c>
      <c r="D9" s="40" t="n">
        <v>46793</v>
      </c>
      <c r="E9" s="39" t="n">
        <v>4</v>
      </c>
      <c r="F9" t="inlineStr">
        <is>
          <t>Overschrijving naar Loonwijs vzw, factuur LW-2028-0131</t>
        </is>
      </c>
      <c r="G9" t="inlineStr">
        <is>
          <t>J3S1</t>
        </is>
      </c>
      <c r="H9" s="39" t="n">
        <v>-2100</v>
      </c>
      <c r="I9" s="39" t="n">
        <v>22715</v>
      </c>
    </row>
    <row r="10">
      <c r="A10" t="inlineStr">
        <is>
          <t>BANK03</t>
        </is>
      </c>
      <c r="B10" s="39" t="n">
        <v>3</v>
      </c>
      <c r="C10" s="40" t="n">
        <v>46805</v>
      </c>
      <c r="D10" s="40" t="n">
        <v>46798</v>
      </c>
      <c r="E10" s="39" t="n">
        <v>1</v>
      </c>
      <c r="F10" t="inlineStr">
        <is>
          <t>Overschrijving naar Velomax bv, factuur 2028-021</t>
        </is>
      </c>
      <c r="G10" t="inlineStr">
        <is>
          <t>J3A04</t>
        </is>
      </c>
      <c r="H10" s="39" t="n">
        <v>-9596</v>
      </c>
      <c r="I10" s="39" t="n">
        <v>13119</v>
      </c>
    </row>
    <row r="11">
      <c r="A11" t="inlineStr">
        <is>
          <t>BANK03</t>
        </is>
      </c>
      <c r="B11" s="39" t="n">
        <v>3</v>
      </c>
      <c r="C11" s="40" t="n">
        <v>46805</v>
      </c>
      <c r="D11" s="40" t="n">
        <v>46803</v>
      </c>
      <c r="E11" s="39" t="n">
        <v>2</v>
      </c>
      <c r="F11" t="inlineStr">
        <is>
          <t>Overschrijving van Bouwbedrijf Janssens &amp; Zonen bv, factuur 2028-004 - creditnota CN-2028-001</t>
        </is>
      </c>
      <c r="G11" t="inlineStr">
        <is>
          <t>J3V04, J3CV1</t>
        </is>
      </c>
      <c r="H11" s="39" t="n">
        <v>4477</v>
      </c>
      <c r="I11" s="39" t="n">
        <v>17596</v>
      </c>
    </row>
    <row r="12">
      <c r="A12" t="inlineStr">
        <is>
          <t>BANK03</t>
        </is>
      </c>
      <c r="B12" s="39" t="n">
        <v>3</v>
      </c>
      <c r="C12" s="40" t="n">
        <v>46805</v>
      </c>
      <c r="D12" s="40" t="n">
        <v>46805</v>
      </c>
      <c r="E12" s="39" t="n">
        <v>3</v>
      </c>
      <c r="F12" t="inlineStr">
        <is>
          <t>Overschrijving naar Velomax bv, factuur 2028-066</t>
        </is>
      </c>
      <c r="G12" t="inlineStr">
        <is>
          <t>J3A06</t>
        </is>
      </c>
      <c r="H12" s="39" t="n">
        <v>-2299</v>
      </c>
      <c r="I12" s="39" t="n">
        <v>15297</v>
      </c>
    </row>
    <row r="13">
      <c r="A13" t="inlineStr">
        <is>
          <t>BANK04</t>
        </is>
      </c>
      <c r="B13" s="39" t="n">
        <v>4</v>
      </c>
      <c r="C13" s="40" t="n">
        <v>46822</v>
      </c>
      <c r="D13" s="40" t="n">
        <v>46812</v>
      </c>
      <c r="E13" s="39" t="n">
        <v>1</v>
      </c>
      <c r="F13" t="inlineStr">
        <is>
          <t>Nettolonen februari 2028 (loonstaten LW-LS-2028-0201 en -0202)</t>
        </is>
      </c>
      <c r="G13" t="inlineStr">
        <is>
          <t>J3L3, J3L4</t>
        </is>
      </c>
      <c r="H13" s="39" t="n">
        <v>-3390</v>
      </c>
      <c r="I13" s="39" t="n">
        <v>11907</v>
      </c>
    </row>
    <row r="14">
      <c r="A14" t="inlineStr">
        <is>
          <t>BANK04</t>
        </is>
      </c>
      <c r="B14" s="39" t="n">
        <v>4</v>
      </c>
      <c r="C14" s="40" t="n">
        <v>46822</v>
      </c>
      <c r="D14" s="40" t="n">
        <v>46813</v>
      </c>
      <c r="E14" s="39" t="n">
        <v>2</v>
      </c>
      <c r="F14" t="inlineStr">
        <is>
          <t>Overschrijving van Camping De Vlinder bv, factuur 2028-005 - creditnota CN-2028-002</t>
        </is>
      </c>
      <c r="G14" t="inlineStr">
        <is>
          <t>J3V07, J3CV2</t>
        </is>
      </c>
      <c r="H14" s="39" t="n">
        <v>5566</v>
      </c>
      <c r="I14" s="39" t="n">
        <v>17473</v>
      </c>
    </row>
    <row r="15">
      <c r="A15" t="inlineStr">
        <is>
          <t>BANK04</t>
        </is>
      </c>
      <c r="B15" s="39" t="n">
        <v>4</v>
      </c>
      <c r="C15" s="40" t="n">
        <v>46822</v>
      </c>
      <c r="D15" s="40" t="n">
        <v>46817</v>
      </c>
      <c r="E15" s="39" t="n">
        <v>3</v>
      </c>
      <c r="F15" t="inlineStr">
        <is>
          <t>Overschrijving naar Velomax bv, factuur 2028-058 - creditnota CN-2028-006</t>
        </is>
      </c>
      <c r="G15" t="inlineStr">
        <is>
          <t>J3A07, J3CA3</t>
        </is>
      </c>
      <c r="H15" s="39" t="n">
        <v>-2520</v>
      </c>
      <c r="I15" s="39" t="n">
        <v>14953</v>
      </c>
    </row>
    <row r="16">
      <c r="A16" t="inlineStr">
        <is>
          <t>BANK04</t>
        </is>
      </c>
      <c r="B16" s="39" t="n">
        <v>4</v>
      </c>
      <c r="C16" s="40" t="n">
        <v>46822</v>
      </c>
      <c r="D16" s="40" t="n">
        <v>46821</v>
      </c>
      <c r="E16" s="39" t="n">
        <v>4</v>
      </c>
      <c r="F16" t="inlineStr">
        <is>
          <t>Overschrijving van Woonzorgcentrum Zonnehof vzw, factuur 2028-011</t>
        </is>
      </c>
      <c r="G16" t="inlineStr">
        <is>
          <t>J3V10</t>
        </is>
      </c>
      <c r="H16" s="39" t="n">
        <v>11858</v>
      </c>
      <c r="I16" s="39" t="n">
        <v>26811</v>
      </c>
    </row>
    <row r="17">
      <c r="A17" t="inlineStr">
        <is>
          <t>BANK04</t>
        </is>
      </c>
      <c r="B17" s="39" t="n">
        <v>4</v>
      </c>
      <c r="C17" s="40" t="n">
        <v>46822</v>
      </c>
      <c r="D17" s="40" t="n">
        <v>46822</v>
      </c>
      <c r="E17" s="39" t="n">
        <v>5</v>
      </c>
      <c r="F17" t="inlineStr">
        <is>
          <t>Overschrijving naar Loonwijs vzw, factuur LW-2028-0229</t>
        </is>
      </c>
      <c r="G17" t="inlineStr">
        <is>
          <t>J3S2</t>
        </is>
      </c>
      <c r="H17" s="39" t="n">
        <v>-2360</v>
      </c>
      <c r="I17" s="39" t="n">
        <v>24451</v>
      </c>
    </row>
    <row r="18">
      <c r="A18" t="inlineStr">
        <is>
          <t>BANK05</t>
        </is>
      </c>
      <c r="B18" s="39" t="n">
        <v>5</v>
      </c>
      <c r="C18" s="40" t="n">
        <v>46843</v>
      </c>
      <c r="D18" s="40" t="n">
        <v>46832</v>
      </c>
      <c r="E18" s="39" t="n">
        <v>1</v>
      </c>
      <c r="F18" t="inlineStr">
        <is>
          <t>Bancontact-ontvangsten 18/03/2028</t>
        </is>
      </c>
      <c r="G18" t="inlineStr">
        <is>
          <t>J3D1</t>
        </is>
      </c>
      <c r="H18" s="39" t="n">
        <v>3000</v>
      </c>
      <c r="I18" s="39" t="n">
        <v>27451</v>
      </c>
    </row>
    <row r="19">
      <c r="A19" t="inlineStr">
        <is>
          <t>BANK05</t>
        </is>
      </c>
      <c r="B19" s="39" t="n">
        <v>5</v>
      </c>
      <c r="C19" s="40" t="n">
        <v>46843</v>
      </c>
      <c r="D19" s="40" t="n">
        <v>46834</v>
      </c>
      <c r="E19" s="39" t="n">
        <v>2</v>
      </c>
      <c r="F19" t="inlineStr">
        <is>
          <t>Storting contanten</t>
        </is>
      </c>
      <c r="G19" t="inlineStr">
        <is>
          <t>J3K2</t>
        </is>
      </c>
      <c r="H19" s="39" t="n">
        <v>3500</v>
      </c>
      <c r="I19" s="39" t="n">
        <v>30951</v>
      </c>
    </row>
    <row r="20">
      <c r="A20" t="inlineStr">
        <is>
          <t>BANK05</t>
        </is>
      </c>
      <c r="B20" s="39" t="n">
        <v>5</v>
      </c>
      <c r="C20" s="40" t="n">
        <v>46843</v>
      </c>
      <c r="D20" s="40" t="n">
        <v>46837</v>
      </c>
      <c r="E20" s="39" t="n">
        <v>3</v>
      </c>
      <c r="F20" t="inlineStr">
        <is>
          <t>Overschrijving van Studio Kowalski bv, factuur 2028-013</t>
        </is>
      </c>
      <c r="G20" t="inlineStr">
        <is>
          <t>J3V11</t>
        </is>
      </c>
      <c r="H20" s="39" t="n">
        <v>2399</v>
      </c>
      <c r="I20" s="39" t="n">
        <v>33350</v>
      </c>
    </row>
    <row r="21">
      <c r="A21" t="inlineStr">
        <is>
          <t>BANK05</t>
        </is>
      </c>
      <c r="B21" s="39" t="n">
        <v>5</v>
      </c>
      <c r="C21" s="40" t="n">
        <v>46843</v>
      </c>
      <c r="D21" s="40" t="n">
        <v>46843</v>
      </c>
      <c r="E21" s="39" t="n">
        <v>4</v>
      </c>
      <c r="F21" t="inlineStr">
        <is>
          <t>Nettolonen maart 2028 (loonstaten LW-LS-2028-0301 en -0302)</t>
        </is>
      </c>
      <c r="G21" t="inlineStr">
        <is>
          <t>J3L5, J3L6</t>
        </is>
      </c>
      <c r="H21" s="39" t="n">
        <v>-3280</v>
      </c>
      <c r="I21" s="39" t="n">
        <v>30070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235"/>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8" customWidth="1" min="3" max="3"/>
    <col width="11" customWidth="1" min="4" max="4"/>
    <col width="34" customWidth="1" min="5" max="5"/>
    <col width="9" customWidth="1" min="6" max="6"/>
    <col width="40" customWidth="1" min="7" max="7"/>
    <col width="11" customWidth="1" min="8" max="8"/>
    <col width="11" customWidth="1" min="9" max="9"/>
    <col width="26" customWidth="1" min="10" max="10"/>
    <col width="70" customWidth="1" min="11" max="11"/>
  </cols>
  <sheetData>
    <row r="1">
      <c r="A1" s="1" t="inlineStr">
        <is>
          <t>Volgnr</t>
        </is>
      </c>
      <c r="B1" s="1" t="inlineStr">
        <is>
          <t>Ref</t>
        </is>
      </c>
      <c r="C1" s="1" t="inlineStr">
        <is>
          <t>Document</t>
        </is>
      </c>
      <c r="D1" s="1" t="inlineStr">
        <is>
          <t>Datum</t>
        </is>
      </c>
      <c r="E1" s="1" t="inlineStr">
        <is>
          <t>Les</t>
        </is>
      </c>
      <c r="F1" s="1" t="inlineStr">
        <is>
          <t>Rekening</t>
        </is>
      </c>
      <c r="G1" s="1" t="inlineStr">
        <is>
          <t>Rekeningnaam</t>
        </is>
      </c>
      <c r="H1" s="1" t="inlineStr">
        <is>
          <t>Debet</t>
        </is>
      </c>
      <c r="I1" s="1" t="inlineStr">
        <is>
          <t>Credit</t>
        </is>
      </c>
      <c r="J1" s="1" t="inlineStr">
        <is>
          <t>Relatie</t>
        </is>
      </c>
      <c r="K1" s="1" t="inlineStr">
        <is>
          <t>Omschrijving</t>
        </is>
      </c>
    </row>
    <row r="2">
      <c r="A2" s="24" t="n">
        <v>1</v>
      </c>
      <c r="B2" s="22" t="inlineStr">
        <is>
          <t>AK01</t>
        </is>
      </c>
      <c r="C2" s="22" t="inlineStr">
        <is>
          <t>J3A01</t>
        </is>
      </c>
      <c r="D2" s="23" t="n">
        <v>46755</v>
      </c>
      <c r="E2" s="22" t="inlineStr">
        <is>
          <t>Aankopen 1 · kortingen</t>
        </is>
      </c>
      <c r="F2" s="22" t="inlineStr">
        <is>
          <t>604000</t>
        </is>
      </c>
      <c r="G2" s="22" t="inlineStr">
        <is>
          <t>Aankopen handelsgoederen</t>
        </is>
      </c>
      <c r="H2" s="24" t="n">
        <v>2800</v>
      </c>
      <c r="I2" s="22" t="n"/>
      <c r="J2" s="22" t="n"/>
      <c r="K2" s="22" t="inlineStr">
        <is>
          <t>Aankoopfactuur 2028-003 - Velomax bv</t>
        </is>
      </c>
    </row>
    <row r="3">
      <c r="A3" s="24" t="n">
        <v>2</v>
      </c>
      <c r="B3" s="22" t="inlineStr">
        <is>
          <t>AK01</t>
        </is>
      </c>
      <c r="C3" s="22" t="inlineStr">
        <is>
          <t>J3A01</t>
        </is>
      </c>
      <c r="D3" s="23" t="n">
        <v>46755</v>
      </c>
      <c r="E3" s="22" t="inlineStr">
        <is>
          <t>Aankopen 1 · kortingen</t>
        </is>
      </c>
      <c r="F3" s="22" t="inlineStr">
        <is>
          <t>604000</t>
        </is>
      </c>
      <c r="G3" s="22" t="inlineStr">
        <is>
          <t>Aankopen handelsgoederen</t>
        </is>
      </c>
      <c r="H3" s="24" t="n">
        <v>7200</v>
      </c>
      <c r="I3" s="22" t="n"/>
      <c r="J3" s="22" t="n"/>
      <c r="K3" s="22" t="inlineStr">
        <is>
          <t>Aankoopfactuur 2028-003 - Velomax bv</t>
        </is>
      </c>
    </row>
    <row r="4">
      <c r="A4" s="24" t="n">
        <v>3</v>
      </c>
      <c r="B4" s="22" t="inlineStr">
        <is>
          <t>AK01</t>
        </is>
      </c>
      <c r="C4" s="22" t="inlineStr">
        <is>
          <t>J3A01</t>
        </is>
      </c>
      <c r="D4" s="23" t="n">
        <v>46755</v>
      </c>
      <c r="E4" s="22" t="inlineStr">
        <is>
          <t>Aankopen 1 · kortingen</t>
        </is>
      </c>
      <c r="F4" s="22" t="inlineStr">
        <is>
          <t>604020</t>
        </is>
      </c>
      <c r="G4" s="22" t="inlineStr">
        <is>
          <t>Handelskorting op aankopen (-)</t>
        </is>
      </c>
      <c r="H4" s="22" t="n"/>
      <c r="I4" s="24" t="n">
        <v>1000</v>
      </c>
      <c r="J4" s="22" t="n"/>
      <c r="K4" s="22" t="inlineStr">
        <is>
          <t>Aankoopfactuur 2028-003 - Velomax bv</t>
        </is>
      </c>
    </row>
    <row r="5">
      <c r="A5" s="24" t="n">
        <v>4</v>
      </c>
      <c r="B5" s="22" t="inlineStr">
        <is>
          <t>AK01</t>
        </is>
      </c>
      <c r="C5" s="22" t="inlineStr">
        <is>
          <t>J3A01</t>
        </is>
      </c>
      <c r="D5" s="23" t="n">
        <v>46755</v>
      </c>
      <c r="E5" s="22" t="inlineStr">
        <is>
          <t>Aankopen 1 · kortingen</t>
        </is>
      </c>
      <c r="F5" s="22" t="inlineStr">
        <is>
          <t>411100</t>
        </is>
      </c>
      <c r="G5" s="22" t="inlineStr">
        <is>
          <t>Aftrekbare btw</t>
        </is>
      </c>
      <c r="H5" s="24" t="n">
        <v>1890</v>
      </c>
      <c r="I5" s="22" t="n"/>
      <c r="J5" s="22" t="n"/>
      <c r="K5" s="22" t="inlineStr">
        <is>
          <t>Aankoopfactuur 2028-003 - Velomax bv</t>
        </is>
      </c>
    </row>
    <row r="6">
      <c r="A6" s="24" t="n">
        <v>5</v>
      </c>
      <c r="B6" s="22" t="inlineStr">
        <is>
          <t>AK01</t>
        </is>
      </c>
      <c r="C6" s="22" t="inlineStr">
        <is>
          <t>J3A01</t>
        </is>
      </c>
      <c r="D6" s="23" t="n">
        <v>46755</v>
      </c>
      <c r="E6" s="22" t="inlineStr">
        <is>
          <t>Aankopen 1 · kortingen</t>
        </is>
      </c>
      <c r="F6" s="22" t="inlineStr">
        <is>
          <t>440000</t>
        </is>
      </c>
      <c r="G6" s="22" t="inlineStr">
        <is>
          <t>Leveranciers</t>
        </is>
      </c>
      <c r="H6" s="22" t="n"/>
      <c r="I6" s="24" t="n">
        <v>10890</v>
      </c>
      <c r="J6" s="22" t="inlineStr">
        <is>
          <t>Velomax bv</t>
        </is>
      </c>
      <c r="K6" s="22" t="inlineStr">
        <is>
          <t>Aankoopfactuur 2028-003 - Velomax bv</t>
        </is>
      </c>
    </row>
    <row r="7">
      <c r="A7" s="24" t="n">
        <v>6</v>
      </c>
      <c r="B7" s="22" t="inlineStr">
        <is>
          <t>AK02</t>
        </is>
      </c>
      <c r="C7" s="22" t="inlineStr">
        <is>
          <t>J3A02</t>
        </is>
      </c>
      <c r="D7" s="23" t="n">
        <v>46761</v>
      </c>
      <c r="E7" s="22" t="inlineStr">
        <is>
          <t>Aankopen 1 · kortingen</t>
        </is>
      </c>
      <c r="F7" s="22" t="inlineStr">
        <is>
          <t>604000</t>
        </is>
      </c>
      <c r="G7" s="22" t="inlineStr">
        <is>
          <t>Aankopen handelsgoederen</t>
        </is>
      </c>
      <c r="H7" s="24" t="n">
        <v>900</v>
      </c>
      <c r="I7" s="22" t="n"/>
      <c r="J7" s="22" t="n"/>
      <c r="K7" s="22" t="inlineStr">
        <is>
          <t>Aankoopfactuur HH-28-002 - HelmHuis bv</t>
        </is>
      </c>
    </row>
    <row r="8">
      <c r="A8" s="24" t="n">
        <v>7</v>
      </c>
      <c r="B8" s="22" t="inlineStr">
        <is>
          <t>AK02</t>
        </is>
      </c>
      <c r="C8" s="22" t="inlineStr">
        <is>
          <t>J3A02</t>
        </is>
      </c>
      <c r="D8" s="23" t="n">
        <v>46761</v>
      </c>
      <c r="E8" s="22" t="inlineStr">
        <is>
          <t>Aankopen 1 · kortingen</t>
        </is>
      </c>
      <c r="F8" s="22" t="inlineStr">
        <is>
          <t>604000</t>
        </is>
      </c>
      <c r="G8" s="22" t="inlineStr">
        <is>
          <t>Aankopen handelsgoederen</t>
        </is>
      </c>
      <c r="H8" s="24" t="n">
        <v>100</v>
      </c>
      <c r="I8" s="22" t="n"/>
      <c r="J8" s="22" t="n"/>
      <c r="K8" s="22" t="inlineStr">
        <is>
          <t>Aankoopfactuur HH-28-002 - HelmHuis bv</t>
        </is>
      </c>
    </row>
    <row r="9">
      <c r="A9" s="24" t="n">
        <v>8</v>
      </c>
      <c r="B9" s="22" t="inlineStr">
        <is>
          <t>AK02</t>
        </is>
      </c>
      <c r="C9" s="22" t="inlineStr">
        <is>
          <t>J3A02</t>
        </is>
      </c>
      <c r="D9" s="23" t="n">
        <v>46761</v>
      </c>
      <c r="E9" s="22" t="inlineStr">
        <is>
          <t>Aankopen 1 · kortingen</t>
        </is>
      </c>
      <c r="F9" s="22" t="inlineStr">
        <is>
          <t>604020</t>
        </is>
      </c>
      <c r="G9" s="22" t="inlineStr">
        <is>
          <t>Handelskorting op aankopen (-)</t>
        </is>
      </c>
      <c r="H9" s="22" t="n"/>
      <c r="I9" s="24" t="n">
        <v>100</v>
      </c>
      <c r="J9" s="22" t="n"/>
      <c r="K9" s="22" t="inlineStr">
        <is>
          <t>Aankoopfactuur HH-28-002 - HelmHuis bv</t>
        </is>
      </c>
    </row>
    <row r="10">
      <c r="A10" s="24" t="n">
        <v>9</v>
      </c>
      <c r="B10" s="22" t="inlineStr">
        <is>
          <t>AK02</t>
        </is>
      </c>
      <c r="C10" s="22" t="inlineStr">
        <is>
          <t>J3A02</t>
        </is>
      </c>
      <c r="D10" s="23" t="n">
        <v>46761</v>
      </c>
      <c r="E10" s="22" t="inlineStr">
        <is>
          <t>Aankopen 1 · kortingen</t>
        </is>
      </c>
      <c r="F10" s="22" t="inlineStr">
        <is>
          <t>411100</t>
        </is>
      </c>
      <c r="G10" s="22" t="inlineStr">
        <is>
          <t>Aftrekbare btw</t>
        </is>
      </c>
      <c r="H10" s="24" t="n">
        <v>189</v>
      </c>
      <c r="I10" s="22" t="n"/>
      <c r="J10" s="22" t="n"/>
      <c r="K10" s="22" t="inlineStr">
        <is>
          <t>Aankoopfactuur HH-28-002 - HelmHuis bv</t>
        </is>
      </c>
    </row>
    <row r="11">
      <c r="A11" s="24" t="n">
        <v>10</v>
      </c>
      <c r="B11" s="22" t="inlineStr">
        <is>
          <t>AK02</t>
        </is>
      </c>
      <c r="C11" s="22" t="inlineStr">
        <is>
          <t>J3A02</t>
        </is>
      </c>
      <c r="D11" s="23" t="n">
        <v>46761</v>
      </c>
      <c r="E11" s="22" t="inlineStr">
        <is>
          <t>Aankopen 1 · kortingen</t>
        </is>
      </c>
      <c r="F11" s="22" t="inlineStr">
        <is>
          <t>440000</t>
        </is>
      </c>
      <c r="G11" s="22" t="inlineStr">
        <is>
          <t>Leveranciers</t>
        </is>
      </c>
      <c r="H11" s="22" t="n"/>
      <c r="I11" s="24" t="n">
        <v>1089</v>
      </c>
      <c r="J11" s="22" t="inlineStr">
        <is>
          <t>HelmHuis bv</t>
        </is>
      </c>
      <c r="K11" s="22" t="inlineStr">
        <is>
          <t>Aankoopfactuur HH-28-002 - HelmHuis bv</t>
        </is>
      </c>
    </row>
    <row r="12">
      <c r="A12" s="24" t="n">
        <v>11</v>
      </c>
      <c r="B12" s="22" t="inlineStr">
        <is>
          <t>AK03</t>
        </is>
      </c>
      <c r="C12" s="22" t="inlineStr">
        <is>
          <t>J3A03</t>
        </is>
      </c>
      <c r="D12" s="23" t="n">
        <v>46764</v>
      </c>
      <c r="E12" s="22" t="inlineStr">
        <is>
          <t>Aankopen 1 · kortingen</t>
        </is>
      </c>
      <c r="F12" s="22" t="inlineStr">
        <is>
          <t>604000</t>
        </is>
      </c>
      <c r="G12" s="22" t="inlineStr">
        <is>
          <t>Aankopen handelsgoederen</t>
        </is>
      </c>
      <c r="H12" s="24" t="n">
        <v>375</v>
      </c>
      <c r="I12" s="22" t="n"/>
      <c r="J12" s="22" t="n"/>
      <c r="K12" s="22" t="inlineStr">
        <is>
          <t>Aankoopfactuur SW-2028-014 - Spaakwerk bv</t>
        </is>
      </c>
    </row>
    <row r="13">
      <c r="A13" s="24" t="n">
        <v>12</v>
      </c>
      <c r="B13" s="22" t="inlineStr">
        <is>
          <t>AK03</t>
        </is>
      </c>
      <c r="C13" s="22" t="inlineStr">
        <is>
          <t>J3A03</t>
        </is>
      </c>
      <c r="D13" s="23" t="n">
        <v>46764</v>
      </c>
      <c r="E13" s="22" t="inlineStr">
        <is>
          <t>Aankopen 1 · kortingen</t>
        </is>
      </c>
      <c r="F13" s="22" t="inlineStr">
        <is>
          <t>604020</t>
        </is>
      </c>
      <c r="G13" s="22" t="inlineStr">
        <is>
          <t>Handelskorting op aankopen (-)</t>
        </is>
      </c>
      <c r="H13" s="22" t="n"/>
      <c r="I13" s="24" t="n">
        <v>75</v>
      </c>
      <c r="J13" s="22" t="n"/>
      <c r="K13" s="22" t="inlineStr">
        <is>
          <t>Aankoopfactuur SW-2028-014 - Spaakwerk bv</t>
        </is>
      </c>
    </row>
    <row r="14">
      <c r="A14" s="24" t="n">
        <v>13</v>
      </c>
      <c r="B14" s="22" t="inlineStr">
        <is>
          <t>AK03</t>
        </is>
      </c>
      <c r="C14" s="22" t="inlineStr">
        <is>
          <t>J3A03</t>
        </is>
      </c>
      <c r="D14" s="23" t="n">
        <v>46764</v>
      </c>
      <c r="E14" s="22" t="inlineStr">
        <is>
          <t>Aankopen 1 · kortingen</t>
        </is>
      </c>
      <c r="F14" s="22" t="inlineStr">
        <is>
          <t>411100</t>
        </is>
      </c>
      <c r="G14" s="22" t="inlineStr">
        <is>
          <t>Aftrekbare btw</t>
        </is>
      </c>
      <c r="H14" s="24" t="n">
        <v>63</v>
      </c>
      <c r="I14" s="22" t="n"/>
      <c r="J14" s="22" t="n"/>
      <c r="K14" s="22" t="inlineStr">
        <is>
          <t>Aankoopfactuur SW-2028-014 - Spaakwerk bv</t>
        </is>
      </c>
    </row>
    <row r="15">
      <c r="A15" s="24" t="n">
        <v>14</v>
      </c>
      <c r="B15" s="22" t="inlineStr">
        <is>
          <t>AK03</t>
        </is>
      </c>
      <c r="C15" s="22" t="inlineStr">
        <is>
          <t>J3A03</t>
        </is>
      </c>
      <c r="D15" s="23" t="n">
        <v>46764</v>
      </c>
      <c r="E15" s="22" t="inlineStr">
        <is>
          <t>Aankopen 1 · kortingen</t>
        </is>
      </c>
      <c r="F15" s="22" t="inlineStr">
        <is>
          <t>440000</t>
        </is>
      </c>
      <c r="G15" s="22" t="inlineStr">
        <is>
          <t>Leveranciers</t>
        </is>
      </c>
      <c r="H15" s="22" t="n"/>
      <c r="I15" s="24" t="n">
        <v>363</v>
      </c>
      <c r="J15" s="22" t="inlineStr">
        <is>
          <t>Spaakwerk bv</t>
        </is>
      </c>
      <c r="K15" s="22" t="inlineStr">
        <is>
          <t>Aankoopfactuur SW-2028-014 - Spaakwerk bv</t>
        </is>
      </c>
    </row>
    <row r="16">
      <c r="A16" s="24" t="n">
        <v>15</v>
      </c>
      <c r="B16" s="22" t="inlineStr">
        <is>
          <t>AK04</t>
        </is>
      </c>
      <c r="C16" s="22" t="inlineStr">
        <is>
          <t>J3A04</t>
        </is>
      </c>
      <c r="D16" s="23" t="n">
        <v>46770</v>
      </c>
      <c r="E16" s="22" t="inlineStr">
        <is>
          <t>Aankopen 1 · kortingen</t>
        </is>
      </c>
      <c r="F16" s="22" t="inlineStr">
        <is>
          <t>604000</t>
        </is>
      </c>
      <c r="G16" s="22" t="inlineStr">
        <is>
          <t>Aankopen handelsgoederen</t>
        </is>
      </c>
      <c r="H16" s="24" t="n">
        <v>4000</v>
      </c>
      <c r="I16" s="22" t="n"/>
      <c r="J16" s="22" t="n"/>
      <c r="K16" s="22" t="inlineStr">
        <is>
          <t>Aankoopfactuur 2028-021 - Velomax bv</t>
        </is>
      </c>
    </row>
    <row r="17">
      <c r="A17" s="24" t="n">
        <v>16</v>
      </c>
      <c r="B17" s="22" t="inlineStr">
        <is>
          <t>AK04</t>
        </is>
      </c>
      <c r="C17" s="22" t="inlineStr">
        <is>
          <t>J3A04</t>
        </is>
      </c>
      <c r="D17" s="23" t="n">
        <v>46770</v>
      </c>
      <c r="E17" s="22" t="inlineStr">
        <is>
          <t>Aankopen 1 · kortingen</t>
        </is>
      </c>
      <c r="F17" s="22" t="inlineStr">
        <is>
          <t>604000</t>
        </is>
      </c>
      <c r="G17" s="22" t="inlineStr">
        <is>
          <t>Aankopen handelsgoederen</t>
        </is>
      </c>
      <c r="H17" s="24" t="n">
        <v>4200</v>
      </c>
      <c r="I17" s="22" t="n"/>
      <c r="J17" s="22" t="n"/>
      <c r="K17" s="22" t="inlineStr">
        <is>
          <t>Aankoopfactuur 2028-021 - Velomax bv</t>
        </is>
      </c>
    </row>
    <row r="18">
      <c r="A18" s="24" t="n">
        <v>17</v>
      </c>
      <c r="B18" s="22" t="inlineStr">
        <is>
          <t>AK04</t>
        </is>
      </c>
      <c r="C18" s="22" t="inlineStr">
        <is>
          <t>J3A04</t>
        </is>
      </c>
      <c r="D18" s="23" t="n">
        <v>46770</v>
      </c>
      <c r="E18" s="22" t="inlineStr">
        <is>
          <t>Aankopen 1 · kortingen</t>
        </is>
      </c>
      <c r="F18" s="22" t="inlineStr">
        <is>
          <t>604000</t>
        </is>
      </c>
      <c r="G18" s="22" t="inlineStr">
        <is>
          <t>Aankopen handelsgoederen</t>
        </is>
      </c>
      <c r="H18" s="24" t="n">
        <v>1800</v>
      </c>
      <c r="I18" s="22" t="n"/>
      <c r="J18" s="22" t="n"/>
      <c r="K18" s="22" t="inlineStr">
        <is>
          <t>Aankoopfactuur 2028-021 - Velomax bv</t>
        </is>
      </c>
    </row>
    <row r="19">
      <c r="A19" s="24" t="n">
        <v>18</v>
      </c>
      <c r="B19" s="22" t="inlineStr">
        <is>
          <t>AK04</t>
        </is>
      </c>
      <c r="C19" s="22" t="inlineStr">
        <is>
          <t>J3A04</t>
        </is>
      </c>
      <c r="D19" s="23" t="n">
        <v>46770</v>
      </c>
      <c r="E19" s="22" t="inlineStr">
        <is>
          <t>Aankopen 1 · kortingen</t>
        </is>
      </c>
      <c r="F19" s="22" t="inlineStr">
        <is>
          <t>604020</t>
        </is>
      </c>
      <c r="G19" s="22" t="inlineStr">
        <is>
          <t>Handelskorting op aankopen (-)</t>
        </is>
      </c>
      <c r="H19" s="22" t="n"/>
      <c r="I19" s="24" t="n">
        <v>2000</v>
      </c>
      <c r="J19" s="22" t="n"/>
      <c r="K19" s="22" t="inlineStr">
        <is>
          <t>Aankoopfactuur 2028-021 - Velomax bv</t>
        </is>
      </c>
    </row>
    <row r="20">
      <c r="A20" s="24" t="n">
        <v>19</v>
      </c>
      <c r="B20" s="22" t="inlineStr">
        <is>
          <t>AK04</t>
        </is>
      </c>
      <c r="C20" s="22" t="inlineStr">
        <is>
          <t>J3A04</t>
        </is>
      </c>
      <c r="D20" s="23" t="n">
        <v>46770</v>
      </c>
      <c r="E20" s="22" t="inlineStr">
        <is>
          <t>Aankopen 1 · kortingen</t>
        </is>
      </c>
      <c r="F20" s="22" t="inlineStr">
        <is>
          <t>411100</t>
        </is>
      </c>
      <c r="G20" s="22" t="inlineStr">
        <is>
          <t>Aftrekbare btw</t>
        </is>
      </c>
      <c r="H20" s="24" t="n">
        <v>1596</v>
      </c>
      <c r="I20" s="22" t="n"/>
      <c r="J20" s="22" t="n"/>
      <c r="K20" s="22" t="inlineStr">
        <is>
          <t>Aankoopfactuur 2028-021 - Velomax bv</t>
        </is>
      </c>
    </row>
    <row r="21">
      <c r="A21" s="24" t="n">
        <v>20</v>
      </c>
      <c r="B21" s="22" t="inlineStr">
        <is>
          <t>AK04</t>
        </is>
      </c>
      <c r="C21" s="22" t="inlineStr">
        <is>
          <t>J3A04</t>
        </is>
      </c>
      <c r="D21" s="23" t="n">
        <v>46770</v>
      </c>
      <c r="E21" s="22" t="inlineStr">
        <is>
          <t>Aankopen 1 · kortingen</t>
        </is>
      </c>
      <c r="F21" s="22" t="inlineStr">
        <is>
          <t>440000</t>
        </is>
      </c>
      <c r="G21" s="22" t="inlineStr">
        <is>
          <t>Leveranciers</t>
        </is>
      </c>
      <c r="H21" s="22" t="n"/>
      <c r="I21" s="24" t="n">
        <v>9596</v>
      </c>
      <c r="J21" s="22" t="inlineStr">
        <is>
          <t>Velomax bv</t>
        </is>
      </c>
      <c r="K21" s="22" t="inlineStr">
        <is>
          <t>Aankoopfactuur 2028-021 - Velomax bv</t>
        </is>
      </c>
    </row>
    <row r="22">
      <c r="A22" s="24" t="n">
        <v>21</v>
      </c>
      <c r="B22" s="22" t="inlineStr">
        <is>
          <t>AK05</t>
        </is>
      </c>
      <c r="C22" s="22" t="inlineStr">
        <is>
          <t>J3A05</t>
        </is>
      </c>
      <c r="D22" s="23" t="n">
        <v>46784</v>
      </c>
      <c r="E22" s="22" t="inlineStr">
        <is>
          <t>Aankopen 1 · kortingen</t>
        </is>
      </c>
      <c r="F22" s="22" t="inlineStr">
        <is>
          <t>604000</t>
        </is>
      </c>
      <c r="G22" s="22" t="inlineStr">
        <is>
          <t>Aankopen handelsgoederen</t>
        </is>
      </c>
      <c r="H22" s="24" t="n">
        <v>14000</v>
      </c>
      <c r="I22" s="22" t="n"/>
      <c r="J22" s="22" t="n"/>
      <c r="K22" s="22" t="inlineStr">
        <is>
          <t>Aankoopfactuur 2028-047 - Velomax bv</t>
        </is>
      </c>
    </row>
    <row r="23">
      <c r="A23" s="24" t="n">
        <v>22</v>
      </c>
      <c r="B23" s="22" t="inlineStr">
        <is>
          <t>AK05</t>
        </is>
      </c>
      <c r="C23" s="22" t="inlineStr">
        <is>
          <t>J3A05</t>
        </is>
      </c>
      <c r="D23" s="23" t="n">
        <v>46784</v>
      </c>
      <c r="E23" s="22" t="inlineStr">
        <is>
          <t>Aankopen 1 · kortingen</t>
        </is>
      </c>
      <c r="F23" s="22" t="inlineStr">
        <is>
          <t>411100</t>
        </is>
      </c>
      <c r="G23" s="22" t="inlineStr">
        <is>
          <t>Aftrekbare btw</t>
        </is>
      </c>
      <c r="H23" s="24" t="n">
        <v>2793</v>
      </c>
      <c r="I23" s="22" t="n"/>
      <c r="J23" s="22" t="n"/>
      <c r="K23" s="22" t="inlineStr">
        <is>
          <t>Aankoopfactuur 2028-047 - Velomax bv</t>
        </is>
      </c>
    </row>
    <row r="24">
      <c r="A24" s="24" t="n">
        <v>23</v>
      </c>
      <c r="B24" s="22" t="inlineStr">
        <is>
          <t>AK05</t>
        </is>
      </c>
      <c r="C24" s="22" t="inlineStr">
        <is>
          <t>J3A05</t>
        </is>
      </c>
      <c r="D24" s="23" t="n">
        <v>46784</v>
      </c>
      <c r="E24" s="22" t="inlineStr">
        <is>
          <t>Aankopen 1 · kortingen</t>
        </is>
      </c>
      <c r="F24" s="22" t="inlineStr">
        <is>
          <t>440000</t>
        </is>
      </c>
      <c r="G24" s="22" t="inlineStr">
        <is>
          <t>Leveranciers</t>
        </is>
      </c>
      <c r="H24" s="22" t="n"/>
      <c r="I24" s="24" t="n">
        <v>16793</v>
      </c>
      <c r="J24" s="22" t="inlineStr">
        <is>
          <t>Velomax bv</t>
        </is>
      </c>
      <c r="K24" s="22" t="inlineStr">
        <is>
          <t>Aankoopfactuur 2028-047 - Velomax bv</t>
        </is>
      </c>
    </row>
    <row r="25">
      <c r="A25" s="24" t="n">
        <v>24</v>
      </c>
      <c r="B25" s="22" t="inlineStr">
        <is>
          <t>AK06</t>
        </is>
      </c>
      <c r="C25" s="22" t="inlineStr">
        <is>
          <t>J3A06</t>
        </is>
      </c>
      <c r="D25" s="23" t="n">
        <v>46798</v>
      </c>
      <c r="E25" s="22" t="inlineStr">
        <is>
          <t>Aankopen 1 · kortingen</t>
        </is>
      </c>
      <c r="F25" s="22" t="inlineStr">
        <is>
          <t>604000</t>
        </is>
      </c>
      <c r="G25" s="22" t="inlineStr">
        <is>
          <t>Aankopen handelsgoederen</t>
        </is>
      </c>
      <c r="H25" s="24" t="n">
        <v>2000</v>
      </c>
      <c r="I25" s="22" t="n"/>
      <c r="J25" s="22" t="n"/>
      <c r="K25" s="22" t="inlineStr">
        <is>
          <t>Aankoopfactuur 2028-066 - Velomax bv</t>
        </is>
      </c>
    </row>
    <row r="26">
      <c r="A26" s="24" t="n">
        <v>25</v>
      </c>
      <c r="B26" s="22" t="inlineStr">
        <is>
          <t>AK06</t>
        </is>
      </c>
      <c r="C26" s="22" t="inlineStr">
        <is>
          <t>J3A06</t>
        </is>
      </c>
      <c r="D26" s="23" t="n">
        <v>46798</v>
      </c>
      <c r="E26" s="22" t="inlineStr">
        <is>
          <t>Aankopen 1 · kortingen</t>
        </is>
      </c>
      <c r="F26" s="22" t="inlineStr">
        <is>
          <t>411100</t>
        </is>
      </c>
      <c r="G26" s="22" t="inlineStr">
        <is>
          <t>Aftrekbare btw</t>
        </is>
      </c>
      <c r="H26" s="24" t="n">
        <v>399</v>
      </c>
      <c r="I26" s="22" t="n"/>
      <c r="J26" s="22" t="n"/>
      <c r="K26" s="22" t="inlineStr">
        <is>
          <t>Aankoopfactuur 2028-066 - Velomax bv</t>
        </is>
      </c>
    </row>
    <row r="27">
      <c r="A27" s="24" t="n">
        <v>26</v>
      </c>
      <c r="B27" s="22" t="inlineStr">
        <is>
          <t>AK06</t>
        </is>
      </c>
      <c r="C27" s="22" t="inlineStr">
        <is>
          <t>J3A06</t>
        </is>
      </c>
      <c r="D27" s="23" t="n">
        <v>46798</v>
      </c>
      <c r="E27" s="22" t="inlineStr">
        <is>
          <t>Aankopen 1 · kortingen</t>
        </is>
      </c>
      <c r="F27" s="22" t="inlineStr">
        <is>
          <t>440000</t>
        </is>
      </c>
      <c r="G27" s="22" t="inlineStr">
        <is>
          <t>Leveranciers</t>
        </is>
      </c>
      <c r="H27" s="22" t="n"/>
      <c r="I27" s="24" t="n">
        <v>2399</v>
      </c>
      <c r="J27" s="22" t="inlineStr">
        <is>
          <t>Velomax bv</t>
        </is>
      </c>
      <c r="K27" s="22" t="inlineStr">
        <is>
          <t>Aankoopfactuur 2028-066 - Velomax bv</t>
        </is>
      </c>
    </row>
    <row r="28">
      <c r="A28" s="27" t="n">
        <v>27</v>
      </c>
      <c r="B28" s="25" t="inlineStr">
        <is>
          <t>AK07</t>
        </is>
      </c>
      <c r="C28" s="25" t="inlineStr">
        <is>
          <t>J3A07</t>
        </is>
      </c>
      <c r="D28" s="26" t="n">
        <v>46791</v>
      </c>
      <c r="E28" s="25" t="inlineStr">
        <is>
          <t>Aankopen 2 · kosten, verpakking en investeringen</t>
        </is>
      </c>
      <c r="F28" s="25" t="inlineStr">
        <is>
          <t>604000</t>
        </is>
      </c>
      <c r="G28" s="25" t="inlineStr">
        <is>
          <t>Aankopen handelsgoederen</t>
        </is>
      </c>
      <c r="H28" s="27" t="n">
        <v>3600</v>
      </c>
      <c r="I28" s="25" t="n"/>
      <c r="J28" s="25" t="n"/>
      <c r="K28" s="25" t="inlineStr">
        <is>
          <t>Aankoopfactuur 2028-058 - Velomax bv</t>
        </is>
      </c>
    </row>
    <row r="29">
      <c r="A29" s="27" t="n">
        <v>28</v>
      </c>
      <c r="B29" s="25" t="inlineStr">
        <is>
          <t>AK07</t>
        </is>
      </c>
      <c r="C29" s="25" t="inlineStr">
        <is>
          <t>J3A07</t>
        </is>
      </c>
      <c r="D29" s="26" t="n">
        <v>46791</v>
      </c>
      <c r="E29" s="25" t="inlineStr">
        <is>
          <t>Aankopen 2 · kosten, verpakking en investeringen</t>
        </is>
      </c>
      <c r="F29" s="25" t="inlineStr">
        <is>
          <t>604030</t>
        </is>
      </c>
      <c r="G29" s="25" t="inlineStr">
        <is>
          <t>Aankoopkosten</t>
        </is>
      </c>
      <c r="H29" s="27" t="n">
        <v>200</v>
      </c>
      <c r="I29" s="25" t="n"/>
      <c r="J29" s="25" t="n"/>
      <c r="K29" s="25" t="inlineStr">
        <is>
          <t>Aankoopfactuur 2028-058 - Velomax bv</t>
        </is>
      </c>
    </row>
    <row r="30">
      <c r="A30" s="27" t="n">
        <v>29</v>
      </c>
      <c r="B30" s="25" t="inlineStr">
        <is>
          <t>AK07</t>
        </is>
      </c>
      <c r="C30" s="25" t="inlineStr">
        <is>
          <t>J3A07</t>
        </is>
      </c>
      <c r="D30" s="26" t="n">
        <v>46791</v>
      </c>
      <c r="E30" s="25" t="inlineStr">
        <is>
          <t>Aankopen 2 · kosten, verpakking en investeringen</t>
        </is>
      </c>
      <c r="F30" s="25" t="inlineStr">
        <is>
          <t>418000</t>
        </is>
      </c>
      <c r="G30" s="25" t="inlineStr">
        <is>
          <t>Terug te vorderen verpakking</t>
        </is>
      </c>
      <c r="H30" s="27" t="n">
        <v>200</v>
      </c>
      <c r="I30" s="25" t="n"/>
      <c r="J30" s="25" t="n"/>
      <c r="K30" s="25" t="inlineStr">
        <is>
          <t>Aankoopfactuur 2028-058 - Velomax bv</t>
        </is>
      </c>
    </row>
    <row r="31">
      <c r="A31" s="27" t="n">
        <v>30</v>
      </c>
      <c r="B31" s="25" t="inlineStr">
        <is>
          <t>AK07</t>
        </is>
      </c>
      <c r="C31" s="25" t="inlineStr">
        <is>
          <t>J3A07</t>
        </is>
      </c>
      <c r="D31" s="26" t="n">
        <v>46791</v>
      </c>
      <c r="E31" s="25" t="inlineStr">
        <is>
          <t>Aankopen 2 · kosten, verpakking en investeringen</t>
        </is>
      </c>
      <c r="F31" s="25" t="inlineStr">
        <is>
          <t>411100</t>
        </is>
      </c>
      <c r="G31" s="25" t="inlineStr">
        <is>
          <t>Aftrekbare btw</t>
        </is>
      </c>
      <c r="H31" s="27" t="n">
        <v>798</v>
      </c>
      <c r="I31" s="25" t="n"/>
      <c r="J31" s="25" t="n"/>
      <c r="K31" s="25" t="inlineStr">
        <is>
          <t>Aankoopfactuur 2028-058 - Velomax bv</t>
        </is>
      </c>
    </row>
    <row r="32">
      <c r="A32" s="27" t="n">
        <v>31</v>
      </c>
      <c r="B32" s="25" t="inlineStr">
        <is>
          <t>AK07</t>
        </is>
      </c>
      <c r="C32" s="25" t="inlineStr">
        <is>
          <t>J3A07</t>
        </is>
      </c>
      <c r="D32" s="26" t="n">
        <v>46791</v>
      </c>
      <c r="E32" s="25" t="inlineStr">
        <is>
          <t>Aankopen 2 · kosten, verpakking en investeringen</t>
        </is>
      </c>
      <c r="F32" s="25" t="inlineStr">
        <is>
          <t>440000</t>
        </is>
      </c>
      <c r="G32" s="25" t="inlineStr">
        <is>
          <t>Leveranciers</t>
        </is>
      </c>
      <c r="H32" s="25" t="n"/>
      <c r="I32" s="27" t="n">
        <v>4798</v>
      </c>
      <c r="J32" s="25" t="inlineStr">
        <is>
          <t>Velomax bv</t>
        </is>
      </c>
      <c r="K32" s="25" t="inlineStr">
        <is>
          <t>Aankoopfactuur 2028-058 - Velomax bv</t>
        </is>
      </c>
    </row>
    <row r="33">
      <c r="A33" s="27" t="n">
        <v>32</v>
      </c>
      <c r="B33" s="25" t="inlineStr">
        <is>
          <t>AK08</t>
        </is>
      </c>
      <c r="C33" s="25" t="inlineStr">
        <is>
          <t>J3A08</t>
        </is>
      </c>
      <c r="D33" s="26" t="n">
        <v>46805</v>
      </c>
      <c r="E33" s="25" t="inlineStr">
        <is>
          <t>Aankopen 2 · kosten, verpakking en investeringen</t>
        </is>
      </c>
      <c r="F33" s="25" t="inlineStr">
        <is>
          <t>604000</t>
        </is>
      </c>
      <c r="G33" s="25" t="inlineStr">
        <is>
          <t>Aankopen handelsgoederen</t>
        </is>
      </c>
      <c r="H33" s="27" t="n">
        <v>200</v>
      </c>
      <c r="I33" s="25" t="n"/>
      <c r="J33" s="25" t="n"/>
      <c r="K33" s="25" t="inlineStr">
        <is>
          <t>Aankoopfactuur SW-2028-077 - Spaakwerk bv</t>
        </is>
      </c>
    </row>
    <row r="34">
      <c r="A34" s="27" t="n">
        <v>33</v>
      </c>
      <c r="B34" s="25" t="inlineStr">
        <is>
          <t>AK08</t>
        </is>
      </c>
      <c r="C34" s="25" t="inlineStr">
        <is>
          <t>J3A08</t>
        </is>
      </c>
      <c r="D34" s="26" t="n">
        <v>46805</v>
      </c>
      <c r="E34" s="25" t="inlineStr">
        <is>
          <t>Aankopen 2 · kosten, verpakking en investeringen</t>
        </is>
      </c>
      <c r="F34" s="25" t="inlineStr">
        <is>
          <t>604030</t>
        </is>
      </c>
      <c r="G34" s="25" t="inlineStr">
        <is>
          <t>Aankoopkosten</t>
        </is>
      </c>
      <c r="H34" s="27" t="n">
        <v>100</v>
      </c>
      <c r="I34" s="25" t="n"/>
      <c r="J34" s="25" t="n"/>
      <c r="K34" s="25" t="inlineStr">
        <is>
          <t>Aankoopfactuur SW-2028-077 - Spaakwerk bv</t>
        </is>
      </c>
    </row>
    <row r="35">
      <c r="A35" s="27" t="n">
        <v>34</v>
      </c>
      <c r="B35" s="25" t="inlineStr">
        <is>
          <t>AK08</t>
        </is>
      </c>
      <c r="C35" s="25" t="inlineStr">
        <is>
          <t>J3A08</t>
        </is>
      </c>
      <c r="D35" s="26" t="n">
        <v>46805</v>
      </c>
      <c r="E35" s="25" t="inlineStr">
        <is>
          <t>Aankopen 2 · kosten, verpakking en investeringen</t>
        </is>
      </c>
      <c r="F35" s="25" t="inlineStr">
        <is>
          <t>418000</t>
        </is>
      </c>
      <c r="G35" s="25" t="inlineStr">
        <is>
          <t>Terug te vorderen verpakking</t>
        </is>
      </c>
      <c r="H35" s="27" t="n">
        <v>100</v>
      </c>
      <c r="I35" s="25" t="n"/>
      <c r="J35" s="25" t="n"/>
      <c r="K35" s="25" t="inlineStr">
        <is>
          <t>Aankoopfactuur SW-2028-077 - Spaakwerk bv</t>
        </is>
      </c>
    </row>
    <row r="36">
      <c r="A36" s="27" t="n">
        <v>35</v>
      </c>
      <c r="B36" s="25" t="inlineStr">
        <is>
          <t>AK08</t>
        </is>
      </c>
      <c r="C36" s="25" t="inlineStr">
        <is>
          <t>J3A08</t>
        </is>
      </c>
      <c r="D36" s="26" t="n">
        <v>46805</v>
      </c>
      <c r="E36" s="25" t="inlineStr">
        <is>
          <t>Aankopen 2 · kosten, verpakking en investeringen</t>
        </is>
      </c>
      <c r="F36" s="25" t="inlineStr">
        <is>
          <t>411100</t>
        </is>
      </c>
      <c r="G36" s="25" t="inlineStr">
        <is>
          <t>Aftrekbare btw</t>
        </is>
      </c>
      <c r="H36" s="27" t="n">
        <v>63</v>
      </c>
      <c r="I36" s="25" t="n"/>
      <c r="J36" s="25" t="n"/>
      <c r="K36" s="25" t="inlineStr">
        <is>
          <t>Aankoopfactuur SW-2028-077 - Spaakwerk bv</t>
        </is>
      </c>
    </row>
    <row r="37">
      <c r="A37" s="27" t="n">
        <v>36</v>
      </c>
      <c r="B37" s="25" t="inlineStr">
        <is>
          <t>AK08</t>
        </is>
      </c>
      <c r="C37" s="25" t="inlineStr">
        <is>
          <t>J3A08</t>
        </is>
      </c>
      <c r="D37" s="26" t="n">
        <v>46805</v>
      </c>
      <c r="E37" s="25" t="inlineStr">
        <is>
          <t>Aankopen 2 · kosten, verpakking en investeringen</t>
        </is>
      </c>
      <c r="F37" s="25" t="inlineStr">
        <is>
          <t>440000</t>
        </is>
      </c>
      <c r="G37" s="25" t="inlineStr">
        <is>
          <t>Leveranciers</t>
        </is>
      </c>
      <c r="H37" s="25" t="n"/>
      <c r="I37" s="27" t="n">
        <v>463</v>
      </c>
      <c r="J37" s="25" t="inlineStr">
        <is>
          <t>Spaakwerk bv</t>
        </is>
      </c>
      <c r="K37" s="25" t="inlineStr">
        <is>
          <t>Aankoopfactuur SW-2028-077 - Spaakwerk bv</t>
        </is>
      </c>
    </row>
    <row r="38">
      <c r="A38" s="27" t="n">
        <v>37</v>
      </c>
      <c r="B38" s="25" t="inlineStr">
        <is>
          <t>AK09</t>
        </is>
      </c>
      <c r="C38" s="25" t="inlineStr">
        <is>
          <t>J3A09</t>
        </is>
      </c>
      <c r="D38" s="26" t="n">
        <v>46762</v>
      </c>
      <c r="E38" s="25" t="inlineStr">
        <is>
          <t>Aankopen 2 · kosten, verpakking en investeringen</t>
        </is>
      </c>
      <c r="F38" s="25" t="inlineStr">
        <is>
          <t>612700</t>
        </is>
      </c>
      <c r="G38" s="25" t="inlineStr">
        <is>
          <t>Verbruik elektriciteit</t>
        </is>
      </c>
      <c r="H38" s="27" t="n">
        <v>800</v>
      </c>
      <c r="I38" s="25" t="n"/>
      <c r="J38" s="25" t="n"/>
      <c r="K38" s="25" t="inlineStr">
        <is>
          <t>Aankoopfactuur SK-28-0412 - Stroomkracht nv</t>
        </is>
      </c>
    </row>
    <row r="39">
      <c r="A39" s="27" t="n">
        <v>38</v>
      </c>
      <c r="B39" s="25" t="inlineStr">
        <is>
          <t>AK09</t>
        </is>
      </c>
      <c r="C39" s="25" t="inlineStr">
        <is>
          <t>J3A09</t>
        </is>
      </c>
      <c r="D39" s="26" t="n">
        <v>46762</v>
      </c>
      <c r="E39" s="25" t="inlineStr">
        <is>
          <t>Aankopen 2 · kosten, verpakking en investeringen</t>
        </is>
      </c>
      <c r="F39" s="25" t="inlineStr">
        <is>
          <t>411100</t>
        </is>
      </c>
      <c r="G39" s="25" t="inlineStr">
        <is>
          <t>Aftrekbare btw</t>
        </is>
      </c>
      <c r="H39" s="27" t="n">
        <v>168</v>
      </c>
      <c r="I39" s="25" t="n"/>
      <c r="J39" s="25" t="n"/>
      <c r="K39" s="25" t="inlineStr">
        <is>
          <t>Aankoopfactuur SK-28-0412 - Stroomkracht nv</t>
        </is>
      </c>
    </row>
    <row r="40">
      <c r="A40" s="27" t="n">
        <v>39</v>
      </c>
      <c r="B40" s="25" t="inlineStr">
        <is>
          <t>AK09</t>
        </is>
      </c>
      <c r="C40" s="25" t="inlineStr">
        <is>
          <t>J3A09</t>
        </is>
      </c>
      <c r="D40" s="26" t="n">
        <v>46762</v>
      </c>
      <c r="E40" s="25" t="inlineStr">
        <is>
          <t>Aankopen 2 · kosten, verpakking en investeringen</t>
        </is>
      </c>
      <c r="F40" s="25" t="inlineStr">
        <is>
          <t>440000</t>
        </is>
      </c>
      <c r="G40" s="25" t="inlineStr">
        <is>
          <t>Leveranciers</t>
        </is>
      </c>
      <c r="H40" s="25" t="n"/>
      <c r="I40" s="27" t="n">
        <v>968</v>
      </c>
      <c r="J40" s="25" t="inlineStr">
        <is>
          <t>Stroomkracht nv</t>
        </is>
      </c>
      <c r="K40" s="25" t="inlineStr">
        <is>
          <t>Aankoopfactuur SK-28-0412 - Stroomkracht nv</t>
        </is>
      </c>
    </row>
    <row r="41">
      <c r="A41" s="27" t="n">
        <v>40</v>
      </c>
      <c r="B41" s="25" t="inlineStr">
        <is>
          <t>AK10</t>
        </is>
      </c>
      <c r="C41" s="25" t="inlineStr">
        <is>
          <t>J3A10</t>
        </is>
      </c>
      <c r="D41" s="26" t="n">
        <v>46776</v>
      </c>
      <c r="E41" s="25" t="inlineStr">
        <is>
          <t>Aankopen 2 · kosten, verpakking en investeringen</t>
        </is>
      </c>
      <c r="F41" s="25" t="inlineStr">
        <is>
          <t>616520</t>
        </is>
      </c>
      <c r="G41" s="25" t="inlineStr">
        <is>
          <t>Publiciteitskosten</t>
        </is>
      </c>
      <c r="H41" s="27" t="n">
        <v>400</v>
      </c>
      <c r="I41" s="25" t="n"/>
      <c r="J41" s="25" t="n"/>
      <c r="K41" s="25" t="inlineStr">
        <is>
          <t>Aankoopfactuur DP-2028-031 - Drukkerij Peeters bv</t>
        </is>
      </c>
    </row>
    <row r="42">
      <c r="A42" s="27" t="n">
        <v>41</v>
      </c>
      <c r="B42" s="25" t="inlineStr">
        <is>
          <t>AK10</t>
        </is>
      </c>
      <c r="C42" s="25" t="inlineStr">
        <is>
          <t>J3A10</t>
        </is>
      </c>
      <c r="D42" s="26" t="n">
        <v>46776</v>
      </c>
      <c r="E42" s="25" t="inlineStr">
        <is>
          <t>Aankopen 2 · kosten, verpakking en investeringen</t>
        </is>
      </c>
      <c r="F42" s="25" t="inlineStr">
        <is>
          <t>612000</t>
        </is>
      </c>
      <c r="G42" s="25" t="inlineStr">
        <is>
          <t>Kantoorbenodigdheden en drukwerk</t>
        </is>
      </c>
      <c r="H42" s="27" t="n">
        <v>200</v>
      </c>
      <c r="I42" s="25" t="n"/>
      <c r="J42" s="25" t="n"/>
      <c r="K42" s="25" t="inlineStr">
        <is>
          <t>Aankoopfactuur DP-2028-031 - Drukkerij Peeters bv</t>
        </is>
      </c>
    </row>
    <row r="43">
      <c r="A43" s="27" t="n">
        <v>42</v>
      </c>
      <c r="B43" s="25" t="inlineStr">
        <is>
          <t>AK10</t>
        </is>
      </c>
      <c r="C43" s="25" t="inlineStr">
        <is>
          <t>J3A10</t>
        </is>
      </c>
      <c r="D43" s="26" t="n">
        <v>46776</v>
      </c>
      <c r="E43" s="25" t="inlineStr">
        <is>
          <t>Aankopen 2 · kosten, verpakking en investeringen</t>
        </is>
      </c>
      <c r="F43" s="25" t="inlineStr">
        <is>
          <t>411100</t>
        </is>
      </c>
      <c r="G43" s="25" t="inlineStr">
        <is>
          <t>Aftrekbare btw</t>
        </is>
      </c>
      <c r="H43" s="27" t="n">
        <v>126</v>
      </c>
      <c r="I43" s="25" t="n"/>
      <c r="J43" s="25" t="n"/>
      <c r="K43" s="25" t="inlineStr">
        <is>
          <t>Aankoopfactuur DP-2028-031 - Drukkerij Peeters bv</t>
        </is>
      </c>
    </row>
    <row r="44">
      <c r="A44" s="27" t="n">
        <v>43</v>
      </c>
      <c r="B44" s="25" t="inlineStr">
        <is>
          <t>AK10</t>
        </is>
      </c>
      <c r="C44" s="25" t="inlineStr">
        <is>
          <t>J3A10</t>
        </is>
      </c>
      <c r="D44" s="26" t="n">
        <v>46776</v>
      </c>
      <c r="E44" s="25" t="inlineStr">
        <is>
          <t>Aankopen 2 · kosten, verpakking en investeringen</t>
        </is>
      </c>
      <c r="F44" s="25" t="inlineStr">
        <is>
          <t>440000</t>
        </is>
      </c>
      <c r="G44" s="25" t="inlineStr">
        <is>
          <t>Leveranciers</t>
        </is>
      </c>
      <c r="H44" s="25" t="n"/>
      <c r="I44" s="27" t="n">
        <v>726</v>
      </c>
      <c r="J44" s="25" t="inlineStr">
        <is>
          <t>Drukkerij Peeters bv</t>
        </is>
      </c>
      <c r="K44" s="25" t="inlineStr">
        <is>
          <t>Aankoopfactuur DP-2028-031 - Drukkerij Peeters bv</t>
        </is>
      </c>
    </row>
    <row r="45">
      <c r="A45" s="27" t="n">
        <v>44</v>
      </c>
      <c r="B45" s="25" t="inlineStr">
        <is>
          <t>AK11</t>
        </is>
      </c>
      <c r="C45" s="25" t="inlineStr">
        <is>
          <t>J3A11</t>
        </is>
      </c>
      <c r="D45" s="26" t="n">
        <v>46767</v>
      </c>
      <c r="E45" s="25" t="inlineStr">
        <is>
          <t>Aankopen 2 · kosten, verpakking en investeringen</t>
        </is>
      </c>
      <c r="F45" s="25" t="inlineStr">
        <is>
          <t>232000</t>
        </is>
      </c>
      <c r="G45" s="25" t="inlineStr">
        <is>
          <t>Uitrusting</t>
        </is>
      </c>
      <c r="H45" s="27" t="n">
        <v>2000</v>
      </c>
      <c r="I45" s="25" t="n"/>
      <c r="J45" s="25" t="n"/>
      <c r="K45" s="25" t="inlineStr">
        <is>
          <t>Aankoopfactuur DW-28-0006 - Deprez Werkplaatsinrichting bv</t>
        </is>
      </c>
    </row>
    <row r="46">
      <c r="A46" s="27" t="n">
        <v>45</v>
      </c>
      <c r="B46" s="25" t="inlineStr">
        <is>
          <t>AK11</t>
        </is>
      </c>
      <c r="C46" s="25" t="inlineStr">
        <is>
          <t>J3A11</t>
        </is>
      </c>
      <c r="D46" s="26" t="n">
        <v>46767</v>
      </c>
      <c r="E46" s="25" t="inlineStr">
        <is>
          <t>Aankopen 2 · kosten, verpakking en investeringen</t>
        </is>
      </c>
      <c r="F46" s="25" t="inlineStr">
        <is>
          <t>232000</t>
        </is>
      </c>
      <c r="G46" s="25" t="inlineStr">
        <is>
          <t>Uitrusting</t>
        </is>
      </c>
      <c r="H46" s="27" t="n">
        <v>200</v>
      </c>
      <c r="I46" s="25" t="n"/>
      <c r="J46" s="25" t="n"/>
      <c r="K46" s="25" t="inlineStr">
        <is>
          <t>Aankoopfactuur DW-28-0006 - Deprez Werkplaatsinrichting bv</t>
        </is>
      </c>
    </row>
    <row r="47">
      <c r="A47" s="27" t="n">
        <v>46</v>
      </c>
      <c r="B47" s="25" t="inlineStr">
        <is>
          <t>AK11</t>
        </is>
      </c>
      <c r="C47" s="25" t="inlineStr">
        <is>
          <t>J3A11</t>
        </is>
      </c>
      <c r="D47" s="26" t="n">
        <v>46767</v>
      </c>
      <c r="E47" s="25" t="inlineStr">
        <is>
          <t>Aankopen 2 · kosten, verpakking en investeringen</t>
        </is>
      </c>
      <c r="F47" s="25" t="inlineStr">
        <is>
          <t>411100</t>
        </is>
      </c>
      <c r="G47" s="25" t="inlineStr">
        <is>
          <t>Aftrekbare btw</t>
        </is>
      </c>
      <c r="H47" s="27" t="n">
        <v>462</v>
      </c>
      <c r="I47" s="25" t="n"/>
      <c r="J47" s="25" t="n"/>
      <c r="K47" s="25" t="inlineStr">
        <is>
          <t>Aankoopfactuur DW-28-0006 - Deprez Werkplaatsinrichting bv</t>
        </is>
      </c>
    </row>
    <row r="48">
      <c r="A48" s="27" t="n">
        <v>47</v>
      </c>
      <c r="B48" s="25" t="inlineStr">
        <is>
          <t>AK11</t>
        </is>
      </c>
      <c r="C48" s="25" t="inlineStr">
        <is>
          <t>J3A11</t>
        </is>
      </c>
      <c r="D48" s="26" t="n">
        <v>46767</v>
      </c>
      <c r="E48" s="25" t="inlineStr">
        <is>
          <t>Aankopen 2 · kosten, verpakking en investeringen</t>
        </is>
      </c>
      <c r="F48" s="25" t="inlineStr">
        <is>
          <t>440000</t>
        </is>
      </c>
      <c r="G48" s="25" t="inlineStr">
        <is>
          <t>Leveranciers</t>
        </is>
      </c>
      <c r="H48" s="25" t="n"/>
      <c r="I48" s="27" t="n">
        <v>2662</v>
      </c>
      <c r="J48" s="25" t="inlineStr">
        <is>
          <t>Deprez Werkplaatsinrichting bv</t>
        </is>
      </c>
      <c r="K48" s="25" t="inlineStr">
        <is>
          <t>Aankoopfactuur DW-28-0006 - Deprez Werkplaatsinrichting bv</t>
        </is>
      </c>
    </row>
    <row r="49">
      <c r="A49" s="27" t="n">
        <v>48</v>
      </c>
      <c r="B49" s="25" t="inlineStr">
        <is>
          <t>AK12</t>
        </is>
      </c>
      <c r="C49" s="25" t="inlineStr">
        <is>
          <t>J3A12</t>
        </is>
      </c>
      <c r="D49" s="26" t="n">
        <v>46812</v>
      </c>
      <c r="E49" s="25" t="inlineStr">
        <is>
          <t>Aankopen 2 · kosten, verpakking en investeringen</t>
        </is>
      </c>
      <c r="F49" s="25" t="inlineStr">
        <is>
          <t>240200</t>
        </is>
      </c>
      <c r="G49" s="25" t="inlineStr">
        <is>
          <t>Computers</t>
        </is>
      </c>
      <c r="H49" s="27" t="n">
        <v>1200</v>
      </c>
      <c r="I49" s="25" t="n"/>
      <c r="J49" s="25" t="n"/>
      <c r="K49" s="25" t="inlineStr">
        <is>
          <t>Aankoopfactuur KT-2028-118 - Kassatech bv</t>
        </is>
      </c>
    </row>
    <row r="50">
      <c r="A50" s="27" t="n">
        <v>49</v>
      </c>
      <c r="B50" s="25" t="inlineStr">
        <is>
          <t>AK12</t>
        </is>
      </c>
      <c r="C50" s="25" t="inlineStr">
        <is>
          <t>J3A12</t>
        </is>
      </c>
      <c r="D50" s="26" t="n">
        <v>46812</v>
      </c>
      <c r="E50" s="25" t="inlineStr">
        <is>
          <t>Aankopen 2 · kosten, verpakking en investeringen</t>
        </is>
      </c>
      <c r="F50" s="25" t="inlineStr">
        <is>
          <t>411100</t>
        </is>
      </c>
      <c r="G50" s="25" t="inlineStr">
        <is>
          <t>Aftrekbare btw</t>
        </is>
      </c>
      <c r="H50" s="27" t="n">
        <v>252</v>
      </c>
      <c r="I50" s="25" t="n"/>
      <c r="J50" s="25" t="n"/>
      <c r="K50" s="25" t="inlineStr">
        <is>
          <t>Aankoopfactuur KT-2028-118 - Kassatech bv</t>
        </is>
      </c>
    </row>
    <row r="51">
      <c r="A51" s="27" t="n">
        <v>50</v>
      </c>
      <c r="B51" s="25" t="inlineStr">
        <is>
          <t>AK12</t>
        </is>
      </c>
      <c r="C51" s="25" t="inlineStr">
        <is>
          <t>J3A12</t>
        </is>
      </c>
      <c r="D51" s="26" t="n">
        <v>46812</v>
      </c>
      <c r="E51" s="25" t="inlineStr">
        <is>
          <t>Aankopen 2 · kosten, verpakking en investeringen</t>
        </is>
      </c>
      <c r="F51" s="25" t="inlineStr">
        <is>
          <t>440000</t>
        </is>
      </c>
      <c r="G51" s="25" t="inlineStr">
        <is>
          <t>Leveranciers</t>
        </is>
      </c>
      <c r="H51" s="25" t="n"/>
      <c r="I51" s="27" t="n">
        <v>1452</v>
      </c>
      <c r="J51" s="25" t="inlineStr">
        <is>
          <t>Kassatech bv</t>
        </is>
      </c>
      <c r="K51" s="25" t="inlineStr">
        <is>
          <t>Aankoopfactuur KT-2028-118 - Kassatech bv</t>
        </is>
      </c>
    </row>
    <row r="52">
      <c r="A52" s="30" t="n">
        <v>51</v>
      </c>
      <c r="B52" s="28" t="inlineStr">
        <is>
          <t>AK13</t>
        </is>
      </c>
      <c r="C52" s="28" t="inlineStr">
        <is>
          <t>J3CA1</t>
        </is>
      </c>
      <c r="D52" s="29" t="n">
        <v>46762</v>
      </c>
      <c r="E52" s="28" t="inlineStr">
        <is>
          <t>Aankopen 3 · creditnota's en over te dragen kosten</t>
        </is>
      </c>
      <c r="F52" s="28" t="inlineStr">
        <is>
          <t>604010</t>
        </is>
      </c>
      <c r="G52" s="28" t="inlineStr">
        <is>
          <t>Retours op aankopen (-)</t>
        </is>
      </c>
      <c r="H52" s="28" t="n"/>
      <c r="I52" s="30" t="n">
        <v>2000</v>
      </c>
      <c r="J52" s="28" t="n"/>
      <c r="K52" s="28" t="inlineStr">
        <is>
          <t>Creditnota CN-2028-001 - Velomax bv</t>
        </is>
      </c>
    </row>
    <row r="53">
      <c r="A53" s="30" t="n">
        <v>52</v>
      </c>
      <c r="B53" s="28" t="inlineStr">
        <is>
          <t>AK13</t>
        </is>
      </c>
      <c r="C53" s="28" t="inlineStr">
        <is>
          <t>J3CA1</t>
        </is>
      </c>
      <c r="D53" s="29" t="n">
        <v>46762</v>
      </c>
      <c r="E53" s="28" t="inlineStr">
        <is>
          <t>Aankopen 3 · creditnota's en over te dragen kosten</t>
        </is>
      </c>
      <c r="F53" s="28" t="inlineStr">
        <is>
          <t>604020</t>
        </is>
      </c>
      <c r="G53" s="28" t="inlineStr">
        <is>
          <t>Handelskorting op aankopen (-)</t>
        </is>
      </c>
      <c r="H53" s="30" t="n">
        <v>200</v>
      </c>
      <c r="I53" s="28" t="n"/>
      <c r="J53" s="28" t="n"/>
      <c r="K53" s="28" t="inlineStr">
        <is>
          <t>Creditnota CN-2028-001 - Velomax bv</t>
        </is>
      </c>
    </row>
    <row r="54">
      <c r="A54" s="30" t="n">
        <v>53</v>
      </c>
      <c r="B54" s="28" t="inlineStr">
        <is>
          <t>AK13</t>
        </is>
      </c>
      <c r="C54" s="28" t="inlineStr">
        <is>
          <t>J3CA1</t>
        </is>
      </c>
      <c r="D54" s="29" t="n">
        <v>46762</v>
      </c>
      <c r="E54" s="28" t="inlineStr">
        <is>
          <t>Aankopen 3 · creditnota's en over te dragen kosten</t>
        </is>
      </c>
      <c r="F54" s="28" t="inlineStr">
        <is>
          <t>451200</t>
        </is>
      </c>
      <c r="G54" s="28" t="inlineStr">
        <is>
          <t>Verschuldigde btw op inkomende creditnota’s</t>
        </is>
      </c>
      <c r="H54" s="28" t="n"/>
      <c r="I54" s="30" t="n">
        <v>378</v>
      </c>
      <c r="J54" s="28" t="n"/>
      <c r="K54" s="28" t="inlineStr">
        <is>
          <t>Creditnota CN-2028-001 - Velomax bv</t>
        </is>
      </c>
    </row>
    <row r="55">
      <c r="A55" s="30" t="n">
        <v>54</v>
      </c>
      <c r="B55" s="28" t="inlineStr">
        <is>
          <t>AK13</t>
        </is>
      </c>
      <c r="C55" s="28" t="inlineStr">
        <is>
          <t>J3CA1</t>
        </is>
      </c>
      <c r="D55" s="29" t="n">
        <v>46762</v>
      </c>
      <c r="E55" s="28" t="inlineStr">
        <is>
          <t>Aankopen 3 · creditnota's en over te dragen kosten</t>
        </is>
      </c>
      <c r="F55" s="28" t="inlineStr">
        <is>
          <t>440000</t>
        </is>
      </c>
      <c r="G55" s="28" t="inlineStr">
        <is>
          <t>Leveranciers</t>
        </is>
      </c>
      <c r="H55" s="30" t="n">
        <v>2178</v>
      </c>
      <c r="I55" s="28" t="n"/>
      <c r="J55" s="28" t="inlineStr">
        <is>
          <t>Velomax bv</t>
        </is>
      </c>
      <c r="K55" s="28" t="inlineStr">
        <is>
          <t>Creditnota CN-2028-001 - Velomax bv</t>
        </is>
      </c>
    </row>
    <row r="56">
      <c r="A56" s="30" t="n">
        <v>55</v>
      </c>
      <c r="B56" s="28" t="inlineStr">
        <is>
          <t>AK14</t>
        </is>
      </c>
      <c r="C56" s="28" t="inlineStr">
        <is>
          <t>J3CA2</t>
        </is>
      </c>
      <c r="D56" s="29" t="n">
        <v>46813</v>
      </c>
      <c r="E56" s="28" t="inlineStr">
        <is>
          <t>Aankopen 3 · creditnota's en over te dragen kosten</t>
        </is>
      </c>
      <c r="F56" s="28" t="inlineStr">
        <is>
          <t>418000</t>
        </is>
      </c>
      <c r="G56" s="28" t="inlineStr">
        <is>
          <t>Terug te vorderen verpakking</t>
        </is>
      </c>
      <c r="H56" s="28" t="n"/>
      <c r="I56" s="30" t="n">
        <v>100</v>
      </c>
      <c r="J56" s="28" t="n"/>
      <c r="K56" s="28" t="inlineStr">
        <is>
          <t>Creditnota SW-CN-2028-004 - Spaakwerk bv</t>
        </is>
      </c>
    </row>
    <row r="57">
      <c r="A57" s="30" t="n">
        <v>56</v>
      </c>
      <c r="B57" s="28" t="inlineStr">
        <is>
          <t>AK14</t>
        </is>
      </c>
      <c r="C57" s="28" t="inlineStr">
        <is>
          <t>J3CA2</t>
        </is>
      </c>
      <c r="D57" s="29" t="n">
        <v>46813</v>
      </c>
      <c r="E57" s="28" t="inlineStr">
        <is>
          <t>Aankopen 3 · creditnota's en over te dragen kosten</t>
        </is>
      </c>
      <c r="F57" s="28" t="inlineStr">
        <is>
          <t>440000</t>
        </is>
      </c>
      <c r="G57" s="28" t="inlineStr">
        <is>
          <t>Leveranciers</t>
        </is>
      </c>
      <c r="H57" s="30" t="n">
        <v>100</v>
      </c>
      <c r="I57" s="28" t="n"/>
      <c r="J57" s="28" t="inlineStr">
        <is>
          <t>Spaakwerk bv</t>
        </is>
      </c>
      <c r="K57" s="28" t="inlineStr">
        <is>
          <t>Creditnota SW-CN-2028-004 - Spaakwerk bv</t>
        </is>
      </c>
    </row>
    <row r="58">
      <c r="A58" s="30" t="n">
        <v>57</v>
      </c>
      <c r="B58" s="28" t="inlineStr">
        <is>
          <t>AK15</t>
        </is>
      </c>
      <c r="C58" s="28" t="inlineStr">
        <is>
          <t>J3CA3</t>
        </is>
      </c>
      <c r="D58" s="29" t="n">
        <v>46803</v>
      </c>
      <c r="E58" s="28" t="inlineStr">
        <is>
          <t>Aankopen 3 · creditnota's en over te dragen kosten</t>
        </is>
      </c>
      <c r="F58" s="28" t="inlineStr">
        <is>
          <t>604010</t>
        </is>
      </c>
      <c r="G58" s="28" t="inlineStr">
        <is>
          <t>Retours op aankopen (-)</t>
        </is>
      </c>
      <c r="H58" s="28" t="n"/>
      <c r="I58" s="30" t="n">
        <v>1800</v>
      </c>
      <c r="J58" s="28" t="n"/>
      <c r="K58" s="28" t="inlineStr">
        <is>
          <t>Creditnota CN-2028-006 - Velomax bv</t>
        </is>
      </c>
    </row>
    <row r="59">
      <c r="A59" s="30" t="n">
        <v>58</v>
      </c>
      <c r="B59" s="28" t="inlineStr">
        <is>
          <t>AK15</t>
        </is>
      </c>
      <c r="C59" s="28" t="inlineStr">
        <is>
          <t>J3CA3</t>
        </is>
      </c>
      <c r="D59" s="29" t="n">
        <v>46803</v>
      </c>
      <c r="E59" s="28" t="inlineStr">
        <is>
          <t>Aankopen 3 · creditnota's en over te dragen kosten</t>
        </is>
      </c>
      <c r="F59" s="28" t="inlineStr">
        <is>
          <t>418000</t>
        </is>
      </c>
      <c r="G59" s="28" t="inlineStr">
        <is>
          <t>Terug te vorderen verpakking</t>
        </is>
      </c>
      <c r="H59" s="28" t="n"/>
      <c r="I59" s="30" t="n">
        <v>100</v>
      </c>
      <c r="J59" s="28" t="n"/>
      <c r="K59" s="28" t="inlineStr">
        <is>
          <t>Creditnota CN-2028-006 - Velomax bv</t>
        </is>
      </c>
    </row>
    <row r="60">
      <c r="A60" s="30" t="n">
        <v>59</v>
      </c>
      <c r="B60" s="28" t="inlineStr">
        <is>
          <t>AK15</t>
        </is>
      </c>
      <c r="C60" s="28" t="inlineStr">
        <is>
          <t>J3CA3</t>
        </is>
      </c>
      <c r="D60" s="29" t="n">
        <v>46803</v>
      </c>
      <c r="E60" s="28" t="inlineStr">
        <is>
          <t>Aankopen 3 · creditnota's en over te dragen kosten</t>
        </is>
      </c>
      <c r="F60" s="28" t="inlineStr">
        <is>
          <t>451200</t>
        </is>
      </c>
      <c r="G60" s="28" t="inlineStr">
        <is>
          <t>Verschuldigde btw op inkomende creditnota’s</t>
        </is>
      </c>
      <c r="H60" s="28" t="n"/>
      <c r="I60" s="30" t="n">
        <v>378</v>
      </c>
      <c r="J60" s="28" t="n"/>
      <c r="K60" s="28" t="inlineStr">
        <is>
          <t>Creditnota CN-2028-006 - Velomax bv</t>
        </is>
      </c>
    </row>
    <row r="61">
      <c r="A61" s="30" t="n">
        <v>60</v>
      </c>
      <c r="B61" s="28" t="inlineStr">
        <is>
          <t>AK15</t>
        </is>
      </c>
      <c r="C61" s="28" t="inlineStr">
        <is>
          <t>J3CA3</t>
        </is>
      </c>
      <c r="D61" s="29" t="n">
        <v>46803</v>
      </c>
      <c r="E61" s="28" t="inlineStr">
        <is>
          <t>Aankopen 3 · creditnota's en over te dragen kosten</t>
        </is>
      </c>
      <c r="F61" s="28" t="inlineStr">
        <is>
          <t>440000</t>
        </is>
      </c>
      <c r="G61" s="28" t="inlineStr">
        <is>
          <t>Leveranciers</t>
        </is>
      </c>
      <c r="H61" s="30" t="n">
        <v>2278</v>
      </c>
      <c r="I61" s="28" t="n"/>
      <c r="J61" s="28" t="inlineStr">
        <is>
          <t>Velomax bv</t>
        </is>
      </c>
      <c r="K61" s="28" t="inlineStr">
        <is>
          <t>Creditnota CN-2028-006 - Velomax bv</t>
        </is>
      </c>
    </row>
    <row r="62">
      <c r="A62" s="30" t="n">
        <v>61</v>
      </c>
      <c r="B62" s="28" t="inlineStr">
        <is>
          <t>AK16</t>
        </is>
      </c>
      <c r="C62" s="28" t="inlineStr">
        <is>
          <t>J3A16</t>
        </is>
      </c>
      <c r="D62" s="29" t="n">
        <v>46754</v>
      </c>
      <c r="E62" s="28" t="inlineStr">
        <is>
          <t>Aankopen 3 · creditnota's en over te dragen kosten</t>
        </is>
      </c>
      <c r="F62" s="28" t="inlineStr">
        <is>
          <t>614400</t>
        </is>
      </c>
      <c r="G62" s="28" t="inlineStr">
        <is>
          <t>Verzekering rollend materieel</t>
        </is>
      </c>
      <c r="H62" s="30" t="n">
        <v>1200</v>
      </c>
      <c r="I62" s="28" t="n"/>
      <c r="J62" s="28" t="n"/>
      <c r="K62" s="28" t="inlineStr">
        <is>
          <t>Aankoopfactuur GZ-28-00871 - Gerzo Verzekeringen nv</t>
        </is>
      </c>
    </row>
    <row r="63">
      <c r="A63" s="30" t="n">
        <v>62</v>
      </c>
      <c r="B63" s="28" t="inlineStr">
        <is>
          <t>AK16</t>
        </is>
      </c>
      <c r="C63" s="28" t="inlineStr">
        <is>
          <t>J3A16</t>
        </is>
      </c>
      <c r="D63" s="29" t="n">
        <v>46754</v>
      </c>
      <c r="E63" s="28" t="inlineStr">
        <is>
          <t>Aankopen 3 · creditnota's en over te dragen kosten</t>
        </is>
      </c>
      <c r="F63" s="28" t="inlineStr">
        <is>
          <t>440000</t>
        </is>
      </c>
      <c r="G63" s="28" t="inlineStr">
        <is>
          <t>Leveranciers</t>
        </is>
      </c>
      <c r="H63" s="28" t="n"/>
      <c r="I63" s="30" t="n">
        <v>1200</v>
      </c>
      <c r="J63" s="28" t="inlineStr">
        <is>
          <t>Gerzo Verzekeringen nv</t>
        </is>
      </c>
      <c r="K63" s="28" t="inlineStr">
        <is>
          <t>Aankoopfactuur GZ-28-00871 - Gerzo Verzekeringen nv</t>
        </is>
      </c>
    </row>
    <row r="64">
      <c r="A64" s="30" t="n">
        <v>63</v>
      </c>
      <c r="B64" s="28" t="inlineStr">
        <is>
          <t>AK17</t>
        </is>
      </c>
      <c r="C64" s="28" t="inlineStr">
        <is>
          <t>J3A17</t>
        </is>
      </c>
      <c r="D64" s="29" t="n">
        <v>46784</v>
      </c>
      <c r="E64" s="28" t="inlineStr">
        <is>
          <t>Aankopen 3 · creditnota's en over te dragen kosten</t>
        </is>
      </c>
      <c r="F64" s="28" t="inlineStr">
        <is>
          <t>611000</t>
        </is>
      </c>
      <c r="G64" s="28" t="inlineStr">
        <is>
          <t>Huur en huurlasten</t>
        </is>
      </c>
      <c r="H64" s="30" t="n">
        <v>1500</v>
      </c>
      <c r="I64" s="28" t="n"/>
      <c r="J64" s="28" t="n"/>
      <c r="K64" s="28" t="inlineStr">
        <is>
          <t>Aankoopfactuur IV-2028-02 - Immo Vaartkom bv</t>
        </is>
      </c>
    </row>
    <row r="65">
      <c r="A65" s="30" t="n">
        <v>64</v>
      </c>
      <c r="B65" s="28" t="inlineStr">
        <is>
          <t>AK17</t>
        </is>
      </c>
      <c r="C65" s="28" t="inlineStr">
        <is>
          <t>J3A17</t>
        </is>
      </c>
      <c r="D65" s="29" t="n">
        <v>46784</v>
      </c>
      <c r="E65" s="28" t="inlineStr">
        <is>
          <t>Aankopen 3 · creditnota's en over te dragen kosten</t>
        </is>
      </c>
      <c r="F65" s="28" t="inlineStr">
        <is>
          <t>440000</t>
        </is>
      </c>
      <c r="G65" s="28" t="inlineStr">
        <is>
          <t>Leveranciers</t>
        </is>
      </c>
      <c r="H65" s="28" t="n"/>
      <c r="I65" s="30" t="n">
        <v>1500</v>
      </c>
      <c r="J65" s="28" t="inlineStr">
        <is>
          <t>Immo Vaartkom bv</t>
        </is>
      </c>
      <c r="K65" s="28" t="inlineStr">
        <is>
          <t>Aankoopfactuur IV-2028-02 - Immo Vaartkom bv</t>
        </is>
      </c>
    </row>
    <row r="66">
      <c r="A66" s="33" t="n">
        <v>65</v>
      </c>
      <c r="B66" s="31" t="inlineStr">
        <is>
          <t>VK01</t>
        </is>
      </c>
      <c r="C66" s="31" t="inlineStr">
        <is>
          <t>J3V01</t>
        </is>
      </c>
      <c r="D66" s="32" t="n">
        <v>46760</v>
      </c>
      <c r="E66" s="31" t="inlineStr">
        <is>
          <t>Verkopen 1 · handelskorting en kosten</t>
        </is>
      </c>
      <c r="F66" s="31" t="inlineStr">
        <is>
          <t>704000</t>
        </is>
      </c>
      <c r="G66" s="31" t="inlineStr">
        <is>
          <t>Verkopen handelsgoederen</t>
        </is>
      </c>
      <c r="H66" s="31" t="n"/>
      <c r="I66" s="33" t="n">
        <v>7800</v>
      </c>
      <c r="J66" s="31" t="n"/>
      <c r="K66" s="31" t="inlineStr">
        <is>
          <t>Verkoopfactuur 2028-001 - Snelpost bv</t>
        </is>
      </c>
    </row>
    <row r="67">
      <c r="A67" s="33" t="n">
        <v>66</v>
      </c>
      <c r="B67" s="31" t="inlineStr">
        <is>
          <t>VK01</t>
        </is>
      </c>
      <c r="C67" s="31" t="inlineStr">
        <is>
          <t>J3V01</t>
        </is>
      </c>
      <c r="D67" s="32" t="n">
        <v>46760</v>
      </c>
      <c r="E67" s="31" t="inlineStr">
        <is>
          <t>Verkopen 1 · handelskorting en kosten</t>
        </is>
      </c>
      <c r="F67" s="31" t="inlineStr">
        <is>
          <t>700000</t>
        </is>
      </c>
      <c r="G67" s="31" t="inlineStr">
        <is>
          <t>Verkopen en dienstprestaties</t>
        </is>
      </c>
      <c r="H67" s="31" t="n"/>
      <c r="I67" s="33" t="n">
        <v>1500</v>
      </c>
      <c r="J67" s="31" t="n"/>
      <c r="K67" s="31" t="inlineStr">
        <is>
          <t>Verkoopfactuur 2028-001 - Snelpost bv</t>
        </is>
      </c>
    </row>
    <row r="68">
      <c r="A68" s="33" t="n">
        <v>67</v>
      </c>
      <c r="B68" s="31" t="inlineStr">
        <is>
          <t>VK01</t>
        </is>
      </c>
      <c r="C68" s="31" t="inlineStr">
        <is>
          <t>J3V01</t>
        </is>
      </c>
      <c r="D68" s="32" t="n">
        <v>46760</v>
      </c>
      <c r="E68" s="31" t="inlineStr">
        <is>
          <t>Verkopen 1 · handelskorting en kosten</t>
        </is>
      </c>
      <c r="F68" s="31" t="inlineStr">
        <is>
          <t>451100</t>
        </is>
      </c>
      <c r="G68" s="31" t="inlineStr">
        <is>
          <t>Verschuldigde btw</t>
        </is>
      </c>
      <c r="H68" s="31" t="n"/>
      <c r="I68" s="33" t="n">
        <v>1728</v>
      </c>
      <c r="J68" s="31" t="n"/>
      <c r="K68" s="31" t="inlineStr">
        <is>
          <t>Verkoopfactuur 2028-001 - Snelpost bv</t>
        </is>
      </c>
    </row>
    <row r="69">
      <c r="A69" s="33" t="n">
        <v>68</v>
      </c>
      <c r="B69" s="31" t="inlineStr">
        <is>
          <t>VK01</t>
        </is>
      </c>
      <c r="C69" s="31" t="inlineStr">
        <is>
          <t>J3V01</t>
        </is>
      </c>
      <c r="D69" s="32" t="n">
        <v>46760</v>
      </c>
      <c r="E69" s="31" t="inlineStr">
        <is>
          <t>Verkopen 1 · handelskorting en kosten</t>
        </is>
      </c>
      <c r="F69" s="31" t="inlineStr">
        <is>
          <t>400000</t>
        </is>
      </c>
      <c r="G69" s="31" t="inlineStr">
        <is>
          <t>Handelsdebiteuren</t>
        </is>
      </c>
      <c r="H69" s="33" t="n">
        <v>11028</v>
      </c>
      <c r="I69" s="31" t="n"/>
      <c r="J69" s="31" t="inlineStr">
        <is>
          <t>Snelpost bv</t>
        </is>
      </c>
      <c r="K69" s="31" t="inlineStr">
        <is>
          <t>Verkoopfactuur 2028-001 - Snelpost bv</t>
        </is>
      </c>
    </row>
    <row r="70">
      <c r="A70" s="33" t="n">
        <v>69</v>
      </c>
      <c r="B70" s="31" t="inlineStr">
        <is>
          <t>VK02</t>
        </is>
      </c>
      <c r="C70" s="31" t="inlineStr">
        <is>
          <t>J3V02</t>
        </is>
      </c>
      <c r="D70" s="32" t="n">
        <v>46763</v>
      </c>
      <c r="E70" s="31" t="inlineStr">
        <is>
          <t>Verkopen 1 · handelskorting en kosten</t>
        </is>
      </c>
      <c r="F70" s="31" t="inlineStr">
        <is>
          <t>700000</t>
        </is>
      </c>
      <c r="G70" s="31" t="inlineStr">
        <is>
          <t>Verkopen en dienstprestaties</t>
        </is>
      </c>
      <c r="H70" s="31" t="n"/>
      <c r="I70" s="33" t="n">
        <v>1800</v>
      </c>
      <c r="J70" s="31" t="n"/>
      <c r="K70" s="31" t="inlineStr">
        <is>
          <t>Verkoopfactuur 2028-002 - Hotel De Linde bv</t>
        </is>
      </c>
    </row>
    <row r="71">
      <c r="A71" s="33" t="n">
        <v>70</v>
      </c>
      <c r="B71" s="31" t="inlineStr">
        <is>
          <t>VK02</t>
        </is>
      </c>
      <c r="C71" s="31" t="inlineStr">
        <is>
          <t>J3V02</t>
        </is>
      </c>
      <c r="D71" s="32" t="n">
        <v>46763</v>
      </c>
      <c r="E71" s="31" t="inlineStr">
        <is>
          <t>Verkopen 1 · handelskorting en kosten</t>
        </is>
      </c>
      <c r="F71" s="31" t="inlineStr">
        <is>
          <t>704000</t>
        </is>
      </c>
      <c r="G71" s="31" t="inlineStr">
        <is>
          <t>Verkopen handelsgoederen</t>
        </is>
      </c>
      <c r="H71" s="31" t="n"/>
      <c r="I71" s="33" t="n">
        <v>400</v>
      </c>
      <c r="J71" s="31" t="n"/>
      <c r="K71" s="31" t="inlineStr">
        <is>
          <t>Verkoopfactuur 2028-002 - Hotel De Linde bv</t>
        </is>
      </c>
    </row>
    <row r="72">
      <c r="A72" s="33" t="n">
        <v>71</v>
      </c>
      <c r="B72" s="31" t="inlineStr">
        <is>
          <t>VK02</t>
        </is>
      </c>
      <c r="C72" s="31" t="inlineStr">
        <is>
          <t>J3V02</t>
        </is>
      </c>
      <c r="D72" s="32" t="n">
        <v>46763</v>
      </c>
      <c r="E72" s="31" t="inlineStr">
        <is>
          <t>Verkopen 1 · handelskorting en kosten</t>
        </is>
      </c>
      <c r="F72" s="31" t="inlineStr">
        <is>
          <t>451100</t>
        </is>
      </c>
      <c r="G72" s="31" t="inlineStr">
        <is>
          <t>Verschuldigde btw</t>
        </is>
      </c>
      <c r="H72" s="31" t="n"/>
      <c r="I72" s="33" t="n">
        <v>192</v>
      </c>
      <c r="J72" s="31" t="n"/>
      <c r="K72" s="31" t="inlineStr">
        <is>
          <t>Verkoopfactuur 2028-002 - Hotel De Linde bv</t>
        </is>
      </c>
    </row>
    <row r="73">
      <c r="A73" s="33" t="n">
        <v>72</v>
      </c>
      <c r="B73" s="31" t="inlineStr">
        <is>
          <t>VK02</t>
        </is>
      </c>
      <c r="C73" s="31" t="inlineStr">
        <is>
          <t>J3V02</t>
        </is>
      </c>
      <c r="D73" s="32" t="n">
        <v>46763</v>
      </c>
      <c r="E73" s="31" t="inlineStr">
        <is>
          <t>Verkopen 1 · handelskorting en kosten</t>
        </is>
      </c>
      <c r="F73" s="31" t="inlineStr">
        <is>
          <t>400000</t>
        </is>
      </c>
      <c r="G73" s="31" t="inlineStr">
        <is>
          <t>Handelsdebiteuren</t>
        </is>
      </c>
      <c r="H73" s="33" t="n">
        <v>2392</v>
      </c>
      <c r="I73" s="31" t="n"/>
      <c r="J73" s="31" t="inlineStr">
        <is>
          <t>Hotel De Linde bv</t>
        </is>
      </c>
      <c r="K73" s="31" t="inlineStr">
        <is>
          <t>Verkoopfactuur 2028-002 - Hotel De Linde bv</t>
        </is>
      </c>
    </row>
    <row r="74">
      <c r="A74" s="33" t="n">
        <v>73</v>
      </c>
      <c r="B74" s="31" t="inlineStr">
        <is>
          <t>VK03</t>
        </is>
      </c>
      <c r="C74" s="31" t="inlineStr">
        <is>
          <t>J3V03</t>
        </is>
      </c>
      <c r="D74" s="32" t="n">
        <v>46769</v>
      </c>
      <c r="E74" s="31" t="inlineStr">
        <is>
          <t>Verkopen 1 · handelskorting en kosten</t>
        </is>
      </c>
      <c r="F74" s="31" t="inlineStr">
        <is>
          <t>704000</t>
        </is>
      </c>
      <c r="G74" s="31" t="inlineStr">
        <is>
          <t>Verkopen handelsgoederen</t>
        </is>
      </c>
      <c r="H74" s="31" t="n"/>
      <c r="I74" s="33" t="n">
        <v>7200</v>
      </c>
      <c r="J74" s="31" t="n"/>
      <c r="K74" s="31" t="inlineStr">
        <is>
          <t>Verkoopfactuur 2028-003 - Velocity Deelfietsen bv</t>
        </is>
      </c>
    </row>
    <row r="75">
      <c r="A75" s="33" t="n">
        <v>74</v>
      </c>
      <c r="B75" s="31" t="inlineStr">
        <is>
          <t>VK03</t>
        </is>
      </c>
      <c r="C75" s="31" t="inlineStr">
        <is>
          <t>J3V03</t>
        </is>
      </c>
      <c r="D75" s="32" t="n">
        <v>46769</v>
      </c>
      <c r="E75" s="31" t="inlineStr">
        <is>
          <t>Verkopen 1 · handelskorting en kosten</t>
        </is>
      </c>
      <c r="F75" s="31" t="inlineStr">
        <is>
          <t>704000</t>
        </is>
      </c>
      <c r="G75" s="31" t="inlineStr">
        <is>
          <t>Verkopen handelsgoederen</t>
        </is>
      </c>
      <c r="H75" s="31" t="n"/>
      <c r="I75" s="33" t="n">
        <v>800</v>
      </c>
      <c r="J75" s="31" t="n"/>
      <c r="K75" s="31" t="inlineStr">
        <is>
          <t>Verkoopfactuur 2028-003 - Velocity Deelfietsen bv</t>
        </is>
      </c>
    </row>
    <row r="76">
      <c r="A76" s="33" t="n">
        <v>75</v>
      </c>
      <c r="B76" s="31" t="inlineStr">
        <is>
          <t>VK03</t>
        </is>
      </c>
      <c r="C76" s="31" t="inlineStr">
        <is>
          <t>J3V03</t>
        </is>
      </c>
      <c r="D76" s="32" t="n">
        <v>46769</v>
      </c>
      <c r="E76" s="31" t="inlineStr">
        <is>
          <t>Verkopen 1 · handelskorting en kosten</t>
        </is>
      </c>
      <c r="F76" s="31" t="inlineStr">
        <is>
          <t>704020</t>
        </is>
      </c>
      <c r="G76" s="31" t="inlineStr">
        <is>
          <t>Handelskorting op verkopen (-)</t>
        </is>
      </c>
      <c r="H76" s="33" t="n">
        <v>400</v>
      </c>
      <c r="I76" s="31" t="n"/>
      <c r="J76" s="31" t="n"/>
      <c r="K76" s="31" t="inlineStr">
        <is>
          <t>Verkoopfactuur 2028-003 - Velocity Deelfietsen bv</t>
        </is>
      </c>
    </row>
    <row r="77">
      <c r="A77" s="33" t="n">
        <v>76</v>
      </c>
      <c r="B77" s="31" t="inlineStr">
        <is>
          <t>VK03</t>
        </is>
      </c>
      <c r="C77" s="31" t="inlineStr">
        <is>
          <t>J3V03</t>
        </is>
      </c>
      <c r="D77" s="32" t="n">
        <v>46769</v>
      </c>
      <c r="E77" s="31" t="inlineStr">
        <is>
          <t>Verkopen 1 · handelskorting en kosten</t>
        </is>
      </c>
      <c r="F77" s="31" t="inlineStr">
        <is>
          <t>451100</t>
        </is>
      </c>
      <c r="G77" s="31" t="inlineStr">
        <is>
          <t>Verschuldigde btw</t>
        </is>
      </c>
      <c r="H77" s="31" t="n"/>
      <c r="I77" s="33" t="n">
        <v>1596</v>
      </c>
      <c r="J77" s="31" t="n"/>
      <c r="K77" s="31" t="inlineStr">
        <is>
          <t>Verkoopfactuur 2028-003 - Velocity Deelfietsen bv</t>
        </is>
      </c>
    </row>
    <row r="78">
      <c r="A78" s="33" t="n">
        <v>77</v>
      </c>
      <c r="B78" s="31" t="inlineStr">
        <is>
          <t>VK03</t>
        </is>
      </c>
      <c r="C78" s="31" t="inlineStr">
        <is>
          <t>J3V03</t>
        </is>
      </c>
      <c r="D78" s="32" t="n">
        <v>46769</v>
      </c>
      <c r="E78" s="31" t="inlineStr">
        <is>
          <t>Verkopen 1 · handelskorting en kosten</t>
        </is>
      </c>
      <c r="F78" s="31" t="inlineStr">
        <is>
          <t>400000</t>
        </is>
      </c>
      <c r="G78" s="31" t="inlineStr">
        <is>
          <t>Handelsdebiteuren</t>
        </is>
      </c>
      <c r="H78" s="33" t="n">
        <v>9196</v>
      </c>
      <c r="I78" s="31" t="n"/>
      <c r="J78" s="31" t="inlineStr">
        <is>
          <t>Velocity Deelfietsen bv</t>
        </is>
      </c>
      <c r="K78" s="31" t="inlineStr">
        <is>
          <t>Verkoopfactuur 2028-003 - Velocity Deelfietsen bv</t>
        </is>
      </c>
    </row>
    <row r="79">
      <c r="A79" s="33" t="n">
        <v>78</v>
      </c>
      <c r="B79" s="31" t="inlineStr">
        <is>
          <t>VK04</t>
        </is>
      </c>
      <c r="C79" s="31" t="inlineStr">
        <is>
          <t>J3V04</t>
        </is>
      </c>
      <c r="D79" s="32" t="n">
        <v>46777</v>
      </c>
      <c r="E79" s="31" t="inlineStr">
        <is>
          <t>Verkopen 1 · handelskorting en kosten</t>
        </is>
      </c>
      <c r="F79" s="31" t="inlineStr">
        <is>
          <t>704000</t>
        </is>
      </c>
      <c r="G79" s="31" t="inlineStr">
        <is>
          <t>Verkopen handelsgoederen</t>
        </is>
      </c>
      <c r="H79" s="31" t="n"/>
      <c r="I79" s="33" t="n">
        <v>6000</v>
      </c>
      <c r="J79" s="31" t="n"/>
      <c r="K79" s="31" t="inlineStr">
        <is>
          <t>Verkoopfactuur 2028-004 - Bouwbedrijf Janssens &amp; Zonen bv</t>
        </is>
      </c>
    </row>
    <row r="80">
      <c r="A80" s="33" t="n">
        <v>79</v>
      </c>
      <c r="B80" s="31" t="inlineStr">
        <is>
          <t>VK04</t>
        </is>
      </c>
      <c r="C80" s="31" t="inlineStr">
        <is>
          <t>J3V04</t>
        </is>
      </c>
      <c r="D80" s="32" t="n">
        <v>46777</v>
      </c>
      <c r="E80" s="31" t="inlineStr">
        <is>
          <t>Verkopen 1 · handelskorting en kosten</t>
        </is>
      </c>
      <c r="F80" s="31" t="inlineStr">
        <is>
          <t>746000</t>
        </is>
      </c>
      <c r="G80" s="31" t="inlineStr">
        <is>
          <t>Doorgerekende kosten</t>
        </is>
      </c>
      <c r="H80" s="31" t="n"/>
      <c r="I80" s="33" t="n">
        <v>100</v>
      </c>
      <c r="J80" s="31" t="n"/>
      <c r="K80" s="31" t="inlineStr">
        <is>
          <t>Verkoopfactuur 2028-004 - Bouwbedrijf Janssens &amp; Zonen bv</t>
        </is>
      </c>
    </row>
    <row r="81">
      <c r="A81" s="33" t="n">
        <v>80</v>
      </c>
      <c r="B81" s="31" t="inlineStr">
        <is>
          <t>VK04</t>
        </is>
      </c>
      <c r="C81" s="31" t="inlineStr">
        <is>
          <t>J3V04</t>
        </is>
      </c>
      <c r="D81" s="32" t="n">
        <v>46777</v>
      </c>
      <c r="E81" s="31" t="inlineStr">
        <is>
          <t>Verkopen 1 · handelskorting en kosten</t>
        </is>
      </c>
      <c r="F81" s="31" t="inlineStr">
        <is>
          <t>704020</t>
        </is>
      </c>
      <c r="G81" s="31" t="inlineStr">
        <is>
          <t>Handelskorting op verkopen (-)</t>
        </is>
      </c>
      <c r="H81" s="33" t="n">
        <v>600</v>
      </c>
      <c r="I81" s="31" t="n"/>
      <c r="J81" s="31" t="n"/>
      <c r="K81" s="31" t="inlineStr">
        <is>
          <t>Verkoopfactuur 2028-004 - Bouwbedrijf Janssens &amp; Zonen bv</t>
        </is>
      </c>
    </row>
    <row r="82">
      <c r="A82" s="33" t="n">
        <v>81</v>
      </c>
      <c r="B82" s="31" t="inlineStr">
        <is>
          <t>VK04</t>
        </is>
      </c>
      <c r="C82" s="31" t="inlineStr">
        <is>
          <t>J3V04</t>
        </is>
      </c>
      <c r="D82" s="32" t="n">
        <v>46777</v>
      </c>
      <c r="E82" s="31" t="inlineStr">
        <is>
          <t>Verkopen 1 · handelskorting en kosten</t>
        </is>
      </c>
      <c r="F82" s="31" t="inlineStr">
        <is>
          <t>451100</t>
        </is>
      </c>
      <c r="G82" s="31" t="inlineStr">
        <is>
          <t>Verschuldigde btw</t>
        </is>
      </c>
      <c r="H82" s="31" t="n"/>
      <c r="I82" s="33" t="n">
        <v>1155</v>
      </c>
      <c r="J82" s="31" t="n"/>
      <c r="K82" s="31" t="inlineStr">
        <is>
          <t>Verkoopfactuur 2028-004 - Bouwbedrijf Janssens &amp; Zonen bv</t>
        </is>
      </c>
    </row>
    <row r="83">
      <c r="A83" s="33" t="n">
        <v>82</v>
      </c>
      <c r="B83" s="31" t="inlineStr">
        <is>
          <t>VK04</t>
        </is>
      </c>
      <c r="C83" s="31" t="inlineStr">
        <is>
          <t>J3V04</t>
        </is>
      </c>
      <c r="D83" s="32" t="n">
        <v>46777</v>
      </c>
      <c r="E83" s="31" t="inlineStr">
        <is>
          <t>Verkopen 1 · handelskorting en kosten</t>
        </is>
      </c>
      <c r="F83" s="31" t="inlineStr">
        <is>
          <t>400000</t>
        </is>
      </c>
      <c r="G83" s="31" t="inlineStr">
        <is>
          <t>Handelsdebiteuren</t>
        </is>
      </c>
      <c r="H83" s="33" t="n">
        <v>6655</v>
      </c>
      <c r="I83" s="31" t="n"/>
      <c r="J83" s="31" t="inlineStr">
        <is>
          <t>Bouwbedrijf Janssens &amp; Zonen bv</t>
        </is>
      </c>
      <c r="K83" s="31" t="inlineStr">
        <is>
          <t>Verkoopfactuur 2028-004 - Bouwbedrijf Janssens &amp; Zonen bv</t>
        </is>
      </c>
    </row>
    <row r="84">
      <c r="A84" s="33" t="n">
        <v>83</v>
      </c>
      <c r="B84" s="31" t="inlineStr">
        <is>
          <t>VK05</t>
        </is>
      </c>
      <c r="C84" s="31" t="inlineStr">
        <is>
          <t>J3V05</t>
        </is>
      </c>
      <c r="D84" s="32" t="n">
        <v>46790</v>
      </c>
      <c r="E84" s="31" t="inlineStr">
        <is>
          <t>Verkopen 1 · handelskorting en kosten</t>
        </is>
      </c>
      <c r="F84" s="31" t="inlineStr">
        <is>
          <t>704000</t>
        </is>
      </c>
      <c r="G84" s="31" t="inlineStr">
        <is>
          <t>Verkopen handelsgoederen</t>
        </is>
      </c>
      <c r="H84" s="31" t="n"/>
      <c r="I84" s="33" t="n">
        <v>7800</v>
      </c>
      <c r="J84" s="31" t="n"/>
      <c r="K84" s="31" t="inlineStr">
        <is>
          <t>Verkoopfactuur 2028-006 - Brouwerij Van Acker bv</t>
        </is>
      </c>
    </row>
    <row r="85">
      <c r="A85" s="33" t="n">
        <v>84</v>
      </c>
      <c r="B85" s="31" t="inlineStr">
        <is>
          <t>VK05</t>
        </is>
      </c>
      <c r="C85" s="31" t="inlineStr">
        <is>
          <t>J3V05</t>
        </is>
      </c>
      <c r="D85" s="32" t="n">
        <v>46790</v>
      </c>
      <c r="E85" s="31" t="inlineStr">
        <is>
          <t>Verkopen 1 · handelskorting en kosten</t>
        </is>
      </c>
      <c r="F85" s="31" t="inlineStr">
        <is>
          <t>746000</t>
        </is>
      </c>
      <c r="G85" s="31" t="inlineStr">
        <is>
          <t>Doorgerekende kosten</t>
        </is>
      </c>
      <c r="H85" s="31" t="n"/>
      <c r="I85" s="33" t="n">
        <v>200</v>
      </c>
      <c r="J85" s="31" t="n"/>
      <c r="K85" s="31" t="inlineStr">
        <is>
          <t>Verkoopfactuur 2028-006 - Brouwerij Van Acker bv</t>
        </is>
      </c>
    </row>
    <row r="86">
      <c r="A86" s="33" t="n">
        <v>85</v>
      </c>
      <c r="B86" s="31" t="inlineStr">
        <is>
          <t>VK05</t>
        </is>
      </c>
      <c r="C86" s="31" t="inlineStr">
        <is>
          <t>J3V05</t>
        </is>
      </c>
      <c r="D86" s="32" t="n">
        <v>46790</v>
      </c>
      <c r="E86" s="31" t="inlineStr">
        <is>
          <t>Verkopen 1 · handelskorting en kosten</t>
        </is>
      </c>
      <c r="F86" s="31" t="inlineStr">
        <is>
          <t>451100</t>
        </is>
      </c>
      <c r="G86" s="31" t="inlineStr">
        <is>
          <t>Verschuldigde btw</t>
        </is>
      </c>
      <c r="H86" s="31" t="n"/>
      <c r="I86" s="33" t="n">
        <v>1680</v>
      </c>
      <c r="J86" s="31" t="n"/>
      <c r="K86" s="31" t="inlineStr">
        <is>
          <t>Verkoopfactuur 2028-006 - Brouwerij Van Acker bv</t>
        </is>
      </c>
    </row>
    <row r="87">
      <c r="A87" s="33" t="n">
        <v>86</v>
      </c>
      <c r="B87" s="31" t="inlineStr">
        <is>
          <t>VK05</t>
        </is>
      </c>
      <c r="C87" s="31" t="inlineStr">
        <is>
          <t>J3V05</t>
        </is>
      </c>
      <c r="D87" s="32" t="n">
        <v>46790</v>
      </c>
      <c r="E87" s="31" t="inlineStr">
        <is>
          <t>Verkopen 1 · handelskorting en kosten</t>
        </is>
      </c>
      <c r="F87" s="31" t="inlineStr">
        <is>
          <t>400000</t>
        </is>
      </c>
      <c r="G87" s="31" t="inlineStr">
        <is>
          <t>Handelsdebiteuren</t>
        </is>
      </c>
      <c r="H87" s="33" t="n">
        <v>9680</v>
      </c>
      <c r="I87" s="31" t="n"/>
      <c r="J87" s="31" t="inlineStr">
        <is>
          <t>Brouwerij Van Acker bv</t>
        </is>
      </c>
      <c r="K87" s="31" t="inlineStr">
        <is>
          <t>Verkoopfactuur 2028-006 - Brouwerij Van Acker bv</t>
        </is>
      </c>
    </row>
    <row r="88">
      <c r="A88" s="33" t="n">
        <v>87</v>
      </c>
      <c r="B88" s="31" t="inlineStr">
        <is>
          <t>VK06</t>
        </is>
      </c>
      <c r="C88" s="31" t="inlineStr">
        <is>
          <t>J3V06</t>
        </is>
      </c>
      <c r="D88" s="32" t="n">
        <v>46804</v>
      </c>
      <c r="E88" s="31" t="inlineStr">
        <is>
          <t>Verkopen 1 · handelskorting en kosten</t>
        </is>
      </c>
      <c r="F88" s="31" t="inlineStr">
        <is>
          <t>704000</t>
        </is>
      </c>
      <c r="G88" s="31" t="inlineStr">
        <is>
          <t>Verkopen handelsgoederen</t>
        </is>
      </c>
      <c r="H88" s="31" t="n"/>
      <c r="I88" s="33" t="n">
        <v>10000</v>
      </c>
      <c r="J88" s="31" t="n"/>
      <c r="K88" s="31" t="inlineStr">
        <is>
          <t>Verkoopfactuur 2028-009 - Bytewise bv</t>
        </is>
      </c>
    </row>
    <row r="89">
      <c r="A89" s="33" t="n">
        <v>88</v>
      </c>
      <c r="B89" s="31" t="inlineStr">
        <is>
          <t>VK06</t>
        </is>
      </c>
      <c r="C89" s="31" t="inlineStr">
        <is>
          <t>J3V06</t>
        </is>
      </c>
      <c r="D89" s="32" t="n">
        <v>46804</v>
      </c>
      <c r="E89" s="31" t="inlineStr">
        <is>
          <t>Verkopen 1 · handelskorting en kosten</t>
        </is>
      </c>
      <c r="F89" s="31" t="inlineStr">
        <is>
          <t>746000</t>
        </is>
      </c>
      <c r="G89" s="31" t="inlineStr">
        <is>
          <t>Doorgerekende kosten</t>
        </is>
      </c>
      <c r="H89" s="31" t="n"/>
      <c r="I89" s="33" t="n">
        <v>100</v>
      </c>
      <c r="J89" s="31" t="n"/>
      <c r="K89" s="31" t="inlineStr">
        <is>
          <t>Verkoopfactuur 2028-009 - Bytewise bv</t>
        </is>
      </c>
    </row>
    <row r="90">
      <c r="A90" s="33" t="n">
        <v>89</v>
      </c>
      <c r="B90" s="31" t="inlineStr">
        <is>
          <t>VK06</t>
        </is>
      </c>
      <c r="C90" s="31" t="inlineStr">
        <is>
          <t>J3V06</t>
        </is>
      </c>
      <c r="D90" s="32" t="n">
        <v>46804</v>
      </c>
      <c r="E90" s="31" t="inlineStr">
        <is>
          <t>Verkopen 1 · handelskorting en kosten</t>
        </is>
      </c>
      <c r="F90" s="31" t="inlineStr">
        <is>
          <t>704020</t>
        </is>
      </c>
      <c r="G90" s="31" t="inlineStr">
        <is>
          <t>Handelskorting op verkopen (-)</t>
        </is>
      </c>
      <c r="H90" s="33" t="n">
        <v>500</v>
      </c>
      <c r="I90" s="31" t="n"/>
      <c r="J90" s="31" t="n"/>
      <c r="K90" s="31" t="inlineStr">
        <is>
          <t>Verkoopfactuur 2028-009 - Bytewise bv</t>
        </is>
      </c>
    </row>
    <row r="91">
      <c r="A91" s="33" t="n">
        <v>90</v>
      </c>
      <c r="B91" s="31" t="inlineStr">
        <is>
          <t>VK06</t>
        </is>
      </c>
      <c r="C91" s="31" t="inlineStr">
        <is>
          <t>J3V06</t>
        </is>
      </c>
      <c r="D91" s="32" t="n">
        <v>46804</v>
      </c>
      <c r="E91" s="31" t="inlineStr">
        <is>
          <t>Verkopen 1 · handelskorting en kosten</t>
        </is>
      </c>
      <c r="F91" s="31" t="inlineStr">
        <is>
          <t>451100</t>
        </is>
      </c>
      <c r="G91" s="31" t="inlineStr">
        <is>
          <t>Verschuldigde btw</t>
        </is>
      </c>
      <c r="H91" s="31" t="n"/>
      <c r="I91" s="33" t="n">
        <v>2016</v>
      </c>
      <c r="J91" s="31" t="n"/>
      <c r="K91" s="31" t="inlineStr">
        <is>
          <t>Verkoopfactuur 2028-009 - Bytewise bv</t>
        </is>
      </c>
    </row>
    <row r="92">
      <c r="A92" s="33" t="n">
        <v>91</v>
      </c>
      <c r="B92" s="31" t="inlineStr">
        <is>
          <t>VK06</t>
        </is>
      </c>
      <c r="C92" s="31" t="inlineStr">
        <is>
          <t>J3V06</t>
        </is>
      </c>
      <c r="D92" s="32" t="n">
        <v>46804</v>
      </c>
      <c r="E92" s="31" t="inlineStr">
        <is>
          <t>Verkopen 1 · handelskorting en kosten</t>
        </is>
      </c>
      <c r="F92" s="31" t="inlineStr">
        <is>
          <t>400000</t>
        </is>
      </c>
      <c r="G92" s="31" t="inlineStr">
        <is>
          <t>Handelsdebiteuren</t>
        </is>
      </c>
      <c r="H92" s="33" t="n">
        <v>11616</v>
      </c>
      <c r="I92" s="31" t="n"/>
      <c r="J92" s="31" t="inlineStr">
        <is>
          <t>Bytewise bv</t>
        </is>
      </c>
      <c r="K92" s="31" t="inlineStr">
        <is>
          <t>Verkoopfactuur 2028-009 - Bytewise bv</t>
        </is>
      </c>
    </row>
    <row r="93">
      <c r="A93" s="36" t="n">
        <v>92</v>
      </c>
      <c r="B93" s="34" t="inlineStr">
        <is>
          <t>VK07</t>
        </is>
      </c>
      <c r="C93" s="34" t="inlineStr">
        <is>
          <t>J3V07</t>
        </is>
      </c>
      <c r="D93" s="35" t="n">
        <v>46786</v>
      </c>
      <c r="E93" s="34" t="inlineStr">
        <is>
          <t>Verkopen 2 · verpakking, creditnota's, financiële korting</t>
        </is>
      </c>
      <c r="F93" s="34" t="inlineStr">
        <is>
          <t>704000</t>
        </is>
      </c>
      <c r="G93" s="34" t="inlineStr">
        <is>
          <t>Verkopen handelsgoederen</t>
        </is>
      </c>
      <c r="H93" s="34" t="n"/>
      <c r="I93" s="36" t="n">
        <v>3600</v>
      </c>
      <c r="J93" s="34" t="n"/>
      <c r="K93" s="34" t="inlineStr">
        <is>
          <t>Verkoopfactuur 2028-005 - Camping De Vlinder bv</t>
        </is>
      </c>
    </row>
    <row r="94">
      <c r="A94" s="36" t="n">
        <v>93</v>
      </c>
      <c r="B94" s="34" t="inlineStr">
        <is>
          <t>VK07</t>
        </is>
      </c>
      <c r="C94" s="34" t="inlineStr">
        <is>
          <t>J3V07</t>
        </is>
      </c>
      <c r="D94" s="35" t="n">
        <v>46786</v>
      </c>
      <c r="E94" s="34" t="inlineStr">
        <is>
          <t>Verkopen 2 · verpakking, creditnota's, financiële korting</t>
        </is>
      </c>
      <c r="F94" s="34" t="inlineStr">
        <is>
          <t>704000</t>
        </is>
      </c>
      <c r="G94" s="34" t="inlineStr">
        <is>
          <t>Verkopen handelsgoederen</t>
        </is>
      </c>
      <c r="H94" s="34" t="n"/>
      <c r="I94" s="36" t="n">
        <v>1000</v>
      </c>
      <c r="J94" s="34" t="n"/>
      <c r="K94" s="34" t="inlineStr">
        <is>
          <t>Verkoopfactuur 2028-005 - Camping De Vlinder bv</t>
        </is>
      </c>
    </row>
    <row r="95">
      <c r="A95" s="36" t="n">
        <v>94</v>
      </c>
      <c r="B95" s="34" t="inlineStr">
        <is>
          <t>VK07</t>
        </is>
      </c>
      <c r="C95" s="34" t="inlineStr">
        <is>
          <t>J3V07</t>
        </is>
      </c>
      <c r="D95" s="35" t="n">
        <v>46786</v>
      </c>
      <c r="E95" s="34" t="inlineStr">
        <is>
          <t>Verkopen 2 · verpakking, creditnota's, financiële korting</t>
        </is>
      </c>
      <c r="F95" s="34" t="inlineStr">
        <is>
          <t>488000</t>
        </is>
      </c>
      <c r="G95" s="34" t="inlineStr">
        <is>
          <t>Terug te betalen verpakking</t>
        </is>
      </c>
      <c r="H95" s="34" t="n"/>
      <c r="I95" s="36" t="n">
        <v>200</v>
      </c>
      <c r="J95" s="34" t="n"/>
      <c r="K95" s="34" t="inlineStr">
        <is>
          <t>Verkoopfactuur 2028-005 - Camping De Vlinder bv</t>
        </is>
      </c>
    </row>
    <row r="96">
      <c r="A96" s="36" t="n">
        <v>95</v>
      </c>
      <c r="B96" s="34" t="inlineStr">
        <is>
          <t>VK07</t>
        </is>
      </c>
      <c r="C96" s="34" t="inlineStr">
        <is>
          <t>J3V07</t>
        </is>
      </c>
      <c r="D96" s="35" t="n">
        <v>46786</v>
      </c>
      <c r="E96" s="34" t="inlineStr">
        <is>
          <t>Verkopen 2 · verpakking, creditnota's, financiële korting</t>
        </is>
      </c>
      <c r="F96" s="34" t="inlineStr">
        <is>
          <t>451100</t>
        </is>
      </c>
      <c r="G96" s="34" t="inlineStr">
        <is>
          <t>Verschuldigde btw</t>
        </is>
      </c>
      <c r="H96" s="34" t="n"/>
      <c r="I96" s="36" t="n">
        <v>966</v>
      </c>
      <c r="J96" s="34" t="n"/>
      <c r="K96" s="34" t="inlineStr">
        <is>
          <t>Verkoopfactuur 2028-005 - Camping De Vlinder bv</t>
        </is>
      </c>
    </row>
    <row r="97">
      <c r="A97" s="36" t="n">
        <v>96</v>
      </c>
      <c r="B97" s="34" t="inlineStr">
        <is>
          <t>VK07</t>
        </is>
      </c>
      <c r="C97" s="34" t="inlineStr">
        <is>
          <t>J3V07</t>
        </is>
      </c>
      <c r="D97" s="35" t="n">
        <v>46786</v>
      </c>
      <c r="E97" s="34" t="inlineStr">
        <is>
          <t>Verkopen 2 · verpakking, creditnota's, financiële korting</t>
        </is>
      </c>
      <c r="F97" s="34" t="inlineStr">
        <is>
          <t>400000</t>
        </is>
      </c>
      <c r="G97" s="34" t="inlineStr">
        <is>
          <t>Handelsdebiteuren</t>
        </is>
      </c>
      <c r="H97" s="36" t="n">
        <v>5766</v>
      </c>
      <c r="I97" s="34" t="n"/>
      <c r="J97" s="34" t="inlineStr">
        <is>
          <t>Camping De Vlinder bv</t>
        </is>
      </c>
      <c r="K97" s="34" t="inlineStr">
        <is>
          <t>Verkoopfactuur 2028-005 - Camping De Vlinder bv</t>
        </is>
      </c>
    </row>
    <row r="98">
      <c r="A98" s="36" t="n">
        <v>97</v>
      </c>
      <c r="B98" s="34" t="inlineStr">
        <is>
          <t>VK08</t>
        </is>
      </c>
      <c r="C98" s="34" t="inlineStr">
        <is>
          <t>J3CV1</t>
        </is>
      </c>
      <c r="D98" s="35" t="n">
        <v>46797</v>
      </c>
      <c r="E98" s="34" t="inlineStr">
        <is>
          <t>Verkopen 2 · verpakking, creditnota's, financiële korting</t>
        </is>
      </c>
      <c r="F98" s="34" t="inlineStr">
        <is>
          <t>704010</t>
        </is>
      </c>
      <c r="G98" s="34" t="inlineStr">
        <is>
          <t>Retours op verkopen (-)</t>
        </is>
      </c>
      <c r="H98" s="36" t="n">
        <v>2000</v>
      </c>
      <c r="I98" s="34" t="n"/>
      <c r="J98" s="34" t="n"/>
      <c r="K98" s="34" t="inlineStr">
        <is>
          <t>Creditnota CN-2028-001 - Bouwbedrijf Janssens &amp; Zonen bv</t>
        </is>
      </c>
    </row>
    <row r="99">
      <c r="A99" s="36" t="n">
        <v>98</v>
      </c>
      <c r="B99" s="34" t="inlineStr">
        <is>
          <t>VK08</t>
        </is>
      </c>
      <c r="C99" s="34" t="inlineStr">
        <is>
          <t>J3CV1</t>
        </is>
      </c>
      <c r="D99" s="35" t="n">
        <v>46797</v>
      </c>
      <c r="E99" s="34" t="inlineStr">
        <is>
          <t>Verkopen 2 · verpakking, creditnota's, financiële korting</t>
        </is>
      </c>
      <c r="F99" s="34" t="inlineStr">
        <is>
          <t>704020</t>
        </is>
      </c>
      <c r="G99" s="34" t="inlineStr">
        <is>
          <t>Handelskorting op verkopen (-)</t>
        </is>
      </c>
      <c r="H99" s="34" t="n"/>
      <c r="I99" s="36" t="n">
        <v>200</v>
      </c>
      <c r="J99" s="34" t="n"/>
      <c r="K99" s="34" t="inlineStr">
        <is>
          <t>Creditnota CN-2028-001 - Bouwbedrijf Janssens &amp; Zonen bv</t>
        </is>
      </c>
    </row>
    <row r="100">
      <c r="A100" s="36" t="n">
        <v>99</v>
      </c>
      <c r="B100" s="34" t="inlineStr">
        <is>
          <t>VK08</t>
        </is>
      </c>
      <c r="C100" s="34" t="inlineStr">
        <is>
          <t>J3CV1</t>
        </is>
      </c>
      <c r="D100" s="35" t="n">
        <v>46797</v>
      </c>
      <c r="E100" s="34" t="inlineStr">
        <is>
          <t>Verkopen 2 · verpakking, creditnota's, financiële korting</t>
        </is>
      </c>
      <c r="F100" s="34" t="inlineStr">
        <is>
          <t>411200</t>
        </is>
      </c>
      <c r="G100" s="34" t="inlineStr">
        <is>
          <t>Aftrekbare btw op uitgaande creditnota’s</t>
        </is>
      </c>
      <c r="H100" s="36" t="n">
        <v>378</v>
      </c>
      <c r="I100" s="34" t="n"/>
      <c r="J100" s="34" t="n"/>
      <c r="K100" s="34" t="inlineStr">
        <is>
          <t>Creditnota CN-2028-001 - Bouwbedrijf Janssens &amp; Zonen bv</t>
        </is>
      </c>
    </row>
    <row r="101">
      <c r="A101" s="36" t="n">
        <v>100</v>
      </c>
      <c r="B101" s="34" t="inlineStr">
        <is>
          <t>VK08</t>
        </is>
      </c>
      <c r="C101" s="34" t="inlineStr">
        <is>
          <t>J3CV1</t>
        </is>
      </c>
      <c r="D101" s="35" t="n">
        <v>46797</v>
      </c>
      <c r="E101" s="34" t="inlineStr">
        <is>
          <t>Verkopen 2 · verpakking, creditnota's, financiële korting</t>
        </is>
      </c>
      <c r="F101" s="34" t="inlineStr">
        <is>
          <t>400000</t>
        </is>
      </c>
      <c r="G101" s="34" t="inlineStr">
        <is>
          <t>Handelsdebiteuren</t>
        </is>
      </c>
      <c r="H101" s="34" t="n"/>
      <c r="I101" s="36" t="n">
        <v>2178</v>
      </c>
      <c r="J101" s="34" t="inlineStr">
        <is>
          <t>Bouwbedrijf Janssens &amp; Zonen bv</t>
        </is>
      </c>
      <c r="K101" s="34" t="inlineStr">
        <is>
          <t>Creditnota CN-2028-001 - Bouwbedrijf Janssens &amp; Zonen bv</t>
        </is>
      </c>
    </row>
    <row r="102">
      <c r="A102" s="36" t="n">
        <v>101</v>
      </c>
      <c r="B102" s="34" t="inlineStr">
        <is>
          <t>VK09</t>
        </is>
      </c>
      <c r="C102" s="34" t="inlineStr">
        <is>
          <t>J3CV2</t>
        </is>
      </c>
      <c r="D102" s="35" t="n">
        <v>46807</v>
      </c>
      <c r="E102" s="34" t="inlineStr">
        <is>
          <t>Verkopen 2 · verpakking, creditnota's, financiële korting</t>
        </is>
      </c>
      <c r="F102" s="34" t="inlineStr">
        <is>
          <t>488000</t>
        </is>
      </c>
      <c r="G102" s="34" t="inlineStr">
        <is>
          <t>Terug te betalen verpakking</t>
        </is>
      </c>
      <c r="H102" s="36" t="n">
        <v>200</v>
      </c>
      <c r="I102" s="34" t="n"/>
      <c r="J102" s="34" t="n"/>
      <c r="K102" s="34" t="inlineStr">
        <is>
          <t>Creditnota CN-2028-002 - Camping De Vlinder bv</t>
        </is>
      </c>
    </row>
    <row r="103">
      <c r="A103" s="36" t="n">
        <v>102</v>
      </c>
      <c r="B103" s="34" t="inlineStr">
        <is>
          <t>VK09</t>
        </is>
      </c>
      <c r="C103" s="34" t="inlineStr">
        <is>
          <t>J3CV2</t>
        </is>
      </c>
      <c r="D103" s="35" t="n">
        <v>46807</v>
      </c>
      <c r="E103" s="34" t="inlineStr">
        <is>
          <t>Verkopen 2 · verpakking, creditnota's, financiële korting</t>
        </is>
      </c>
      <c r="F103" s="34" t="inlineStr">
        <is>
          <t>400000</t>
        </is>
      </c>
      <c r="G103" s="34" t="inlineStr">
        <is>
          <t>Handelsdebiteuren</t>
        </is>
      </c>
      <c r="H103" s="34" t="n"/>
      <c r="I103" s="36" t="n">
        <v>200</v>
      </c>
      <c r="J103" s="34" t="inlineStr">
        <is>
          <t>Camping De Vlinder bv</t>
        </is>
      </c>
      <c r="K103" s="34" t="inlineStr">
        <is>
          <t>Creditnota CN-2028-002 - Camping De Vlinder bv</t>
        </is>
      </c>
    </row>
    <row r="104">
      <c r="A104" s="36" t="n">
        <v>103</v>
      </c>
      <c r="B104" s="34" t="inlineStr">
        <is>
          <t>VK10</t>
        </is>
      </c>
      <c r="C104" s="34" t="inlineStr">
        <is>
          <t>J3V10</t>
        </is>
      </c>
      <c r="D104" s="35" t="n">
        <v>46813</v>
      </c>
      <c r="E104" s="34" t="inlineStr">
        <is>
          <t>Verkopen 2 · verpakking, creditnota's, financiële korting</t>
        </is>
      </c>
      <c r="F104" s="34" t="inlineStr">
        <is>
          <t>704000</t>
        </is>
      </c>
      <c r="G104" s="34" t="inlineStr">
        <is>
          <t>Verkopen handelsgoederen</t>
        </is>
      </c>
      <c r="H104" s="34" t="n"/>
      <c r="I104" s="36" t="n">
        <v>10000</v>
      </c>
      <c r="J104" s="34" t="n"/>
      <c r="K104" s="34" t="inlineStr">
        <is>
          <t>Verkoopfactuur 2028-011 - Woonzorgcentrum Zonnehof vzw</t>
        </is>
      </c>
    </row>
    <row r="105">
      <c r="A105" s="36" t="n">
        <v>104</v>
      </c>
      <c r="B105" s="34" t="inlineStr">
        <is>
          <t>VK10</t>
        </is>
      </c>
      <c r="C105" s="34" t="inlineStr">
        <is>
          <t>J3V10</t>
        </is>
      </c>
      <c r="D105" s="35" t="n">
        <v>46813</v>
      </c>
      <c r="E105" s="34" t="inlineStr">
        <is>
          <t>Verkopen 2 · verpakking, creditnota's, financiële korting</t>
        </is>
      </c>
      <c r="F105" s="34" t="inlineStr">
        <is>
          <t>451100</t>
        </is>
      </c>
      <c r="G105" s="34" t="inlineStr">
        <is>
          <t>Verschuldigde btw</t>
        </is>
      </c>
      <c r="H105" s="34" t="n"/>
      <c r="I105" s="36" t="n">
        <v>2058</v>
      </c>
      <c r="J105" s="34" t="n"/>
      <c r="K105" s="34" t="inlineStr">
        <is>
          <t>Verkoopfactuur 2028-011 - Woonzorgcentrum Zonnehof vzw</t>
        </is>
      </c>
    </row>
    <row r="106">
      <c r="A106" s="36" t="n">
        <v>105</v>
      </c>
      <c r="B106" s="34" t="inlineStr">
        <is>
          <t>VK10</t>
        </is>
      </c>
      <c r="C106" s="34" t="inlineStr">
        <is>
          <t>J3V10</t>
        </is>
      </c>
      <c r="D106" s="35" t="n">
        <v>46813</v>
      </c>
      <c r="E106" s="34" t="inlineStr">
        <is>
          <t>Verkopen 2 · verpakking, creditnota's, financiële korting</t>
        </is>
      </c>
      <c r="F106" s="34" t="inlineStr">
        <is>
          <t>400000</t>
        </is>
      </c>
      <c r="G106" s="34" t="inlineStr">
        <is>
          <t>Handelsdebiteuren</t>
        </is>
      </c>
      <c r="H106" s="36" t="n">
        <v>12058</v>
      </c>
      <c r="I106" s="34" t="n"/>
      <c r="J106" s="34" t="inlineStr">
        <is>
          <t>Woonzorgcentrum Zonnehof vzw</t>
        </is>
      </c>
      <c r="K106" s="34" t="inlineStr">
        <is>
          <t>Verkoopfactuur 2028-011 - Woonzorgcentrum Zonnehof vzw</t>
        </is>
      </c>
    </row>
    <row r="107">
      <c r="A107" s="36" t="n">
        <v>106</v>
      </c>
      <c r="B107" s="34" t="inlineStr">
        <is>
          <t>VK11</t>
        </is>
      </c>
      <c r="C107" s="34" t="inlineStr">
        <is>
          <t>J3V11</t>
        </is>
      </c>
      <c r="D107" s="35" t="n">
        <v>46821</v>
      </c>
      <c r="E107" s="34" t="inlineStr">
        <is>
          <t>Verkopen 2 · verpakking, creditnota's, financiële korting</t>
        </is>
      </c>
      <c r="F107" s="34" t="inlineStr">
        <is>
          <t>704000</t>
        </is>
      </c>
      <c r="G107" s="34" t="inlineStr">
        <is>
          <t>Verkopen handelsgoederen</t>
        </is>
      </c>
      <c r="H107" s="34" t="n"/>
      <c r="I107" s="36" t="n">
        <v>2000</v>
      </c>
      <c r="J107" s="34" t="n"/>
      <c r="K107" s="34" t="inlineStr">
        <is>
          <t>Verkoopfactuur 2028-013 - Studio Kowalski bv</t>
        </is>
      </c>
    </row>
    <row r="108">
      <c r="A108" s="36" t="n">
        <v>107</v>
      </c>
      <c r="B108" s="34" t="inlineStr">
        <is>
          <t>VK11</t>
        </is>
      </c>
      <c r="C108" s="34" t="inlineStr">
        <is>
          <t>J3V11</t>
        </is>
      </c>
      <c r="D108" s="35" t="n">
        <v>46821</v>
      </c>
      <c r="E108" s="34" t="inlineStr">
        <is>
          <t>Verkopen 2 · verpakking, creditnota's, financiële korting</t>
        </is>
      </c>
      <c r="F108" s="34" t="inlineStr">
        <is>
          <t>451100</t>
        </is>
      </c>
      <c r="G108" s="34" t="inlineStr">
        <is>
          <t>Verschuldigde btw</t>
        </is>
      </c>
      <c r="H108" s="34" t="n"/>
      <c r="I108" s="36" t="n">
        <v>399</v>
      </c>
      <c r="J108" s="34" t="n"/>
      <c r="K108" s="34" t="inlineStr">
        <is>
          <t>Verkoopfactuur 2028-013 - Studio Kowalski bv</t>
        </is>
      </c>
    </row>
    <row r="109">
      <c r="A109" s="36" t="n">
        <v>108</v>
      </c>
      <c r="B109" s="34" t="inlineStr">
        <is>
          <t>VK11</t>
        </is>
      </c>
      <c r="C109" s="34" t="inlineStr">
        <is>
          <t>J3V11</t>
        </is>
      </c>
      <c r="D109" s="35" t="n">
        <v>46821</v>
      </c>
      <c r="E109" s="34" t="inlineStr">
        <is>
          <t>Verkopen 2 · verpakking, creditnota's, financiële korting</t>
        </is>
      </c>
      <c r="F109" s="34" t="inlineStr">
        <is>
          <t>400000</t>
        </is>
      </c>
      <c r="G109" s="34" t="inlineStr">
        <is>
          <t>Handelsdebiteuren</t>
        </is>
      </c>
      <c r="H109" s="36" t="n">
        <v>2399</v>
      </c>
      <c r="I109" s="34" t="n"/>
      <c r="J109" s="34" t="inlineStr">
        <is>
          <t>Studio Kowalski bv</t>
        </is>
      </c>
      <c r="K109" s="34" t="inlineStr">
        <is>
          <t>Verkoopfactuur 2028-013 - Studio Kowalski bv</t>
        </is>
      </c>
    </row>
    <row r="110">
      <c r="A110" s="36" t="n">
        <v>109</v>
      </c>
      <c r="B110" s="34" t="inlineStr">
        <is>
          <t>ONTV01</t>
        </is>
      </c>
      <c r="C110" s="34" t="inlineStr">
        <is>
          <t>J3D1</t>
        </is>
      </c>
      <c r="D110" s="35" t="n">
        <v>46830</v>
      </c>
      <c r="E110" s="34" t="inlineStr">
        <is>
          <t>Verkopen 2 · verpakking, creditnota's, financiële korting</t>
        </is>
      </c>
      <c r="F110" s="34" t="inlineStr">
        <is>
          <t>400000</t>
        </is>
      </c>
      <c r="G110" s="34" t="inlineStr">
        <is>
          <t>Handelsdebiteuren</t>
        </is>
      </c>
      <c r="H110" s="36" t="n">
        <v>8458</v>
      </c>
      <c r="I110" s="34" t="n"/>
      <c r="J110" s="34" t="inlineStr">
        <is>
          <t>particulieren (kasticket)</t>
        </is>
      </c>
      <c r="K110" s="34" t="inlineStr">
        <is>
          <t>Dagontvangsten DO-2028-11</t>
        </is>
      </c>
    </row>
    <row r="111">
      <c r="A111" s="36" t="n">
        <v>110</v>
      </c>
      <c r="B111" s="34" t="inlineStr">
        <is>
          <t>ONTV01</t>
        </is>
      </c>
      <c r="C111" s="34" t="inlineStr">
        <is>
          <t>J3D1</t>
        </is>
      </c>
      <c r="D111" s="35" t="n">
        <v>46830</v>
      </c>
      <c r="E111" s="34" t="inlineStr">
        <is>
          <t>Verkopen 2 · verpakking, creditnota's, financiële korting</t>
        </is>
      </c>
      <c r="F111" s="34" t="inlineStr">
        <is>
          <t>704000</t>
        </is>
      </c>
      <c r="G111" s="34" t="inlineStr">
        <is>
          <t>Verkopen handelsgoederen</t>
        </is>
      </c>
      <c r="H111" s="34" t="n"/>
      <c r="I111" s="36" t="n">
        <v>4800</v>
      </c>
      <c r="J111" s="34" t="n"/>
      <c r="K111" s="34" t="inlineStr">
        <is>
          <t>Dagontvangsten DO-2028-11</t>
        </is>
      </c>
    </row>
    <row r="112">
      <c r="A112" s="36" t="n">
        <v>111</v>
      </c>
      <c r="B112" s="34" t="inlineStr">
        <is>
          <t>ONTV01</t>
        </is>
      </c>
      <c r="C112" s="34" t="inlineStr">
        <is>
          <t>J3D1</t>
        </is>
      </c>
      <c r="D112" s="35" t="n">
        <v>46830</v>
      </c>
      <c r="E112" s="34" t="inlineStr">
        <is>
          <t>Verkopen 2 · verpakking, creditnota's, financiële korting</t>
        </is>
      </c>
      <c r="F112" s="34" t="inlineStr">
        <is>
          <t>700000</t>
        </is>
      </c>
      <c r="G112" s="34" t="inlineStr">
        <is>
          <t>Verkopen en dienstprestaties</t>
        </is>
      </c>
      <c r="H112" s="34" t="n"/>
      <c r="I112" s="36" t="n">
        <v>2500</v>
      </c>
      <c r="J112" s="34" t="n"/>
      <c r="K112" s="34" t="inlineStr">
        <is>
          <t>Dagontvangsten DO-2028-11</t>
        </is>
      </c>
    </row>
    <row r="113">
      <c r="A113" s="36" t="n">
        <v>112</v>
      </c>
      <c r="B113" s="34" t="inlineStr">
        <is>
          <t>ONTV01</t>
        </is>
      </c>
      <c r="C113" s="34" t="inlineStr">
        <is>
          <t>J3D1</t>
        </is>
      </c>
      <c r="D113" s="35" t="n">
        <v>46830</v>
      </c>
      <c r="E113" s="34" t="inlineStr">
        <is>
          <t>Verkopen 2 · verpakking, creditnota's, financiële korting</t>
        </is>
      </c>
      <c r="F113" s="34" t="inlineStr">
        <is>
          <t>451100</t>
        </is>
      </c>
      <c r="G113" s="34" t="inlineStr">
        <is>
          <t>Verschuldigde btw</t>
        </is>
      </c>
      <c r="H113" s="34" t="n"/>
      <c r="I113" s="36" t="n">
        <v>1158</v>
      </c>
      <c r="J113" s="34" t="n"/>
      <c r="K113" s="34" t="inlineStr">
        <is>
          <t>Dagontvangsten DO-2028-11</t>
        </is>
      </c>
    </row>
    <row r="114">
      <c r="A114" s="41" t="n">
        <v>113</v>
      </c>
      <c r="B114" s="37" t="inlineStr">
        <is>
          <t>LOON01</t>
        </is>
      </c>
      <c r="C114" s="37" t="inlineStr">
        <is>
          <t>J3L1</t>
        </is>
      </c>
      <c r="D114" s="38" t="n">
        <v>46783</v>
      </c>
      <c r="E114" s="37" t="inlineStr">
        <is>
          <t>Lonen 1 · loonstaten</t>
        </is>
      </c>
      <c r="F114" s="37" t="inlineStr">
        <is>
          <t>620300</t>
        </is>
      </c>
      <c r="G114" s="37" t="inlineStr">
        <is>
          <t>Bezoldigingen arbeiders</t>
        </is>
      </c>
      <c r="H114" s="41" t="n">
        <v>2600</v>
      </c>
      <c r="I114" s="37" t="n"/>
      <c r="J114" s="37" t="n"/>
      <c r="K114" s="37" t="inlineStr">
        <is>
          <t>Loonstaat arbeiders januari 2028</t>
        </is>
      </c>
    </row>
    <row r="115">
      <c r="A115" s="41" t="n">
        <v>114</v>
      </c>
      <c r="B115" s="37" t="inlineStr">
        <is>
          <t>LOON01</t>
        </is>
      </c>
      <c r="C115" s="37" t="inlineStr">
        <is>
          <t>J3L1</t>
        </is>
      </c>
      <c r="D115" s="38" t="n">
        <v>46783</v>
      </c>
      <c r="E115" s="37" t="inlineStr">
        <is>
          <t>Lonen 1 · loonstaten</t>
        </is>
      </c>
      <c r="F115" s="37" t="inlineStr">
        <is>
          <t>621000</t>
        </is>
      </c>
      <c r="G115" s="37" t="inlineStr">
        <is>
          <t>Werkgeversbijdrage RSZ</t>
        </is>
      </c>
      <c r="H115" s="41" t="n">
        <v>650</v>
      </c>
      <c r="I115" s="37" t="n"/>
      <c r="J115" s="37" t="n"/>
      <c r="K115" s="37" t="inlineStr">
        <is>
          <t>Loonstaat arbeiders januari 2028</t>
        </is>
      </c>
    </row>
    <row r="116">
      <c r="A116" s="41" t="n">
        <v>115</v>
      </c>
      <c r="B116" s="37" t="inlineStr">
        <is>
          <t>LOON01</t>
        </is>
      </c>
      <c r="C116" s="37" t="inlineStr">
        <is>
          <t>J3L1</t>
        </is>
      </c>
      <c r="D116" s="38" t="n">
        <v>46783</v>
      </c>
      <c r="E116" s="37" t="inlineStr">
        <is>
          <t>Lonen 1 · loonstaten</t>
        </is>
      </c>
      <c r="F116" s="37" t="inlineStr">
        <is>
          <t>455300</t>
        </is>
      </c>
      <c r="G116" s="37" t="inlineStr">
        <is>
          <t>Verschuldigde lonen arbeiders</t>
        </is>
      </c>
      <c r="H116" s="37" t="n"/>
      <c r="I116" s="41" t="n">
        <v>1900</v>
      </c>
      <c r="J116" s="37" t="n"/>
      <c r="K116" s="37" t="inlineStr">
        <is>
          <t>Loonstaat arbeiders januari 2028</t>
        </is>
      </c>
    </row>
    <row r="117">
      <c r="A117" s="41" t="n">
        <v>116</v>
      </c>
      <c r="B117" s="37" t="inlineStr">
        <is>
          <t>LOON01</t>
        </is>
      </c>
      <c r="C117" s="37" t="inlineStr">
        <is>
          <t>J3L1</t>
        </is>
      </c>
      <c r="D117" s="38" t="n">
        <v>46783</v>
      </c>
      <c r="E117" s="37" t="inlineStr">
        <is>
          <t>Lonen 1 · loonstaten</t>
        </is>
      </c>
      <c r="F117" s="37" t="inlineStr">
        <is>
          <t>453000</t>
        </is>
      </c>
      <c r="G117" s="37" t="inlineStr">
        <is>
          <t>Ingehouden bedrijfsvoorheffing</t>
        </is>
      </c>
      <c r="H117" s="37" t="n"/>
      <c r="I117" s="41" t="n">
        <v>360.18</v>
      </c>
      <c r="J117" s="37" t="n"/>
      <c r="K117" s="37" t="inlineStr">
        <is>
          <t>Loonstaat arbeiders januari 2028</t>
        </is>
      </c>
    </row>
    <row r="118">
      <c r="A118" s="41" t="n">
        <v>117</v>
      </c>
      <c r="B118" s="37" t="inlineStr">
        <is>
          <t>LOON01</t>
        </is>
      </c>
      <c r="C118" s="37" t="inlineStr">
        <is>
          <t>J3L1</t>
        </is>
      </c>
      <c r="D118" s="38" t="n">
        <v>46783</v>
      </c>
      <c r="E118" s="37" t="inlineStr">
        <is>
          <t>Lonen 1 · loonstaten</t>
        </is>
      </c>
      <c r="F118" s="37" t="inlineStr">
        <is>
          <t>454000</t>
        </is>
      </c>
      <c r="G118" s="37" t="inlineStr">
        <is>
          <t>Rijksdienst voor Sociale Zekerheid (RSZ)</t>
        </is>
      </c>
      <c r="H118" s="37" t="n"/>
      <c r="I118" s="41" t="n">
        <v>989.8200000000001</v>
      </c>
      <c r="J118" s="37" t="n"/>
      <c r="K118" s="37" t="inlineStr">
        <is>
          <t>Loonstaat arbeiders januari 2028</t>
        </is>
      </c>
    </row>
    <row r="119">
      <c r="A119" s="41" t="n">
        <v>118</v>
      </c>
      <c r="B119" s="37" t="inlineStr">
        <is>
          <t>LOON02</t>
        </is>
      </c>
      <c r="C119" s="37" t="inlineStr">
        <is>
          <t>J3L2</t>
        </is>
      </c>
      <c r="D119" s="38" t="n">
        <v>46783</v>
      </c>
      <c r="E119" s="37" t="inlineStr">
        <is>
          <t>Lonen 1 · loonstaten</t>
        </is>
      </c>
      <c r="F119" s="37" t="inlineStr">
        <is>
          <t>620200</t>
        </is>
      </c>
      <c r="G119" s="37" t="inlineStr">
        <is>
          <t>Bezoldigingen bedienden</t>
        </is>
      </c>
      <c r="H119" s="41" t="n">
        <v>1600</v>
      </c>
      <c r="I119" s="37" t="n"/>
      <c r="J119" s="37" t="n"/>
      <c r="K119" s="37" t="inlineStr">
        <is>
          <t>Loonstaat bedienden januari 2028</t>
        </is>
      </c>
    </row>
    <row r="120">
      <c r="A120" s="41" t="n">
        <v>119</v>
      </c>
      <c r="B120" s="37" t="inlineStr">
        <is>
          <t>LOON02</t>
        </is>
      </c>
      <c r="C120" s="37" t="inlineStr">
        <is>
          <t>J3L2</t>
        </is>
      </c>
      <c r="D120" s="38" t="n">
        <v>46783</v>
      </c>
      <c r="E120" s="37" t="inlineStr">
        <is>
          <t>Lonen 1 · loonstaten</t>
        </is>
      </c>
      <c r="F120" s="37" t="inlineStr">
        <is>
          <t>621000</t>
        </is>
      </c>
      <c r="G120" s="37" t="inlineStr">
        <is>
          <t>Werkgeversbijdrage RSZ</t>
        </is>
      </c>
      <c r="H120" s="41" t="n">
        <v>400</v>
      </c>
      <c r="I120" s="37" t="n"/>
      <c r="J120" s="37" t="n"/>
      <c r="K120" s="37" t="inlineStr">
        <is>
          <t>Loonstaat bedienden januari 2028</t>
        </is>
      </c>
    </row>
    <row r="121">
      <c r="A121" s="41" t="n">
        <v>120</v>
      </c>
      <c r="B121" s="37" t="inlineStr">
        <is>
          <t>LOON02</t>
        </is>
      </c>
      <c r="C121" s="37" t="inlineStr">
        <is>
          <t>J3L2</t>
        </is>
      </c>
      <c r="D121" s="38" t="n">
        <v>46783</v>
      </c>
      <c r="E121" s="37" t="inlineStr">
        <is>
          <t>Lonen 1 · loonstaten</t>
        </is>
      </c>
      <c r="F121" s="37" t="inlineStr">
        <is>
          <t>455200</t>
        </is>
      </c>
      <c r="G121" s="37" t="inlineStr">
        <is>
          <t>Verschuldigde lonen bedienden</t>
        </is>
      </c>
      <c r="H121" s="37" t="n"/>
      <c r="I121" s="41" t="n">
        <v>1250</v>
      </c>
      <c r="J121" s="37" t="n"/>
      <c r="K121" s="37" t="inlineStr">
        <is>
          <t>Loonstaat bedienden januari 2028</t>
        </is>
      </c>
    </row>
    <row r="122">
      <c r="A122" s="41" t="n">
        <v>121</v>
      </c>
      <c r="B122" s="37" t="inlineStr">
        <is>
          <t>LOON02</t>
        </is>
      </c>
      <c r="C122" s="37" t="inlineStr">
        <is>
          <t>J3L2</t>
        </is>
      </c>
      <c r="D122" s="38" t="n">
        <v>46783</v>
      </c>
      <c r="E122" s="37" t="inlineStr">
        <is>
          <t>Lonen 1 · loonstaten</t>
        </is>
      </c>
      <c r="F122" s="37" t="inlineStr">
        <is>
          <t>453000</t>
        </is>
      </c>
      <c r="G122" s="37" t="inlineStr">
        <is>
          <t>Ingehouden bedrijfsvoorheffing</t>
        </is>
      </c>
      <c r="H122" s="37" t="n"/>
      <c r="I122" s="41" t="n">
        <v>140.88</v>
      </c>
      <c r="J122" s="37" t="n"/>
      <c r="K122" s="37" t="inlineStr">
        <is>
          <t>Loonstaat bedienden januari 2028</t>
        </is>
      </c>
    </row>
    <row r="123">
      <c r="A123" s="41" t="n">
        <v>122</v>
      </c>
      <c r="B123" s="37" t="inlineStr">
        <is>
          <t>LOON02</t>
        </is>
      </c>
      <c r="C123" s="37" t="inlineStr">
        <is>
          <t>J3L2</t>
        </is>
      </c>
      <c r="D123" s="38" t="n">
        <v>46783</v>
      </c>
      <c r="E123" s="37" t="inlineStr">
        <is>
          <t>Lonen 1 · loonstaten</t>
        </is>
      </c>
      <c r="F123" s="37" t="inlineStr">
        <is>
          <t>454000</t>
        </is>
      </c>
      <c r="G123" s="37" t="inlineStr">
        <is>
          <t>Rijksdienst voor Sociale Zekerheid (RSZ)</t>
        </is>
      </c>
      <c r="H123" s="37" t="n"/>
      <c r="I123" s="41" t="n">
        <v>609.12</v>
      </c>
      <c r="J123" s="37" t="n"/>
      <c r="K123" s="37" t="inlineStr">
        <is>
          <t>Loonstaat bedienden januari 2028</t>
        </is>
      </c>
    </row>
    <row r="124">
      <c r="A124" s="41" t="n">
        <v>123</v>
      </c>
      <c r="B124" s="37" t="inlineStr">
        <is>
          <t>LOON03</t>
        </is>
      </c>
      <c r="C124" s="37" t="inlineStr">
        <is>
          <t>J3L3</t>
        </is>
      </c>
      <c r="D124" s="38" t="n">
        <v>46812</v>
      </c>
      <c r="E124" s="37" t="inlineStr">
        <is>
          <t>Lonen 1 · loonstaten</t>
        </is>
      </c>
      <c r="F124" s="37" t="inlineStr">
        <is>
          <t>620300</t>
        </is>
      </c>
      <c r="G124" s="37" t="inlineStr">
        <is>
          <t>Bezoldigingen arbeiders</t>
        </is>
      </c>
      <c r="H124" s="41" t="n">
        <v>2800</v>
      </c>
      <c r="I124" s="37" t="n"/>
      <c r="J124" s="37" t="n"/>
      <c r="K124" s="37" t="inlineStr">
        <is>
          <t>Loonstaat arbeiders februari 2028</t>
        </is>
      </c>
    </row>
    <row r="125">
      <c r="A125" s="41" t="n">
        <v>124</v>
      </c>
      <c r="B125" s="37" t="inlineStr">
        <is>
          <t>LOON03</t>
        </is>
      </c>
      <c r="C125" s="37" t="inlineStr">
        <is>
          <t>J3L3</t>
        </is>
      </c>
      <c r="D125" s="38" t="n">
        <v>46812</v>
      </c>
      <c r="E125" s="37" t="inlineStr">
        <is>
          <t>Lonen 1 · loonstaten</t>
        </is>
      </c>
      <c r="F125" s="37" t="inlineStr">
        <is>
          <t>621000</t>
        </is>
      </c>
      <c r="G125" s="37" t="inlineStr">
        <is>
          <t>Werkgeversbijdrage RSZ</t>
        </is>
      </c>
      <c r="H125" s="41" t="n">
        <v>700</v>
      </c>
      <c r="I125" s="37" t="n"/>
      <c r="J125" s="37" t="n"/>
      <c r="K125" s="37" t="inlineStr">
        <is>
          <t>Loonstaat arbeiders februari 2028</t>
        </is>
      </c>
    </row>
    <row r="126">
      <c r="A126" s="41" t="n">
        <v>125</v>
      </c>
      <c r="B126" s="37" t="inlineStr">
        <is>
          <t>LOON03</t>
        </is>
      </c>
      <c r="C126" s="37" t="inlineStr">
        <is>
          <t>J3L3</t>
        </is>
      </c>
      <c r="D126" s="38" t="n">
        <v>46812</v>
      </c>
      <c r="E126" s="37" t="inlineStr">
        <is>
          <t>Lonen 1 · loonstaten</t>
        </is>
      </c>
      <c r="F126" s="37" t="inlineStr">
        <is>
          <t>455300</t>
        </is>
      </c>
      <c r="G126" s="37" t="inlineStr">
        <is>
          <t>Verschuldigde lonen arbeiders</t>
        </is>
      </c>
      <c r="H126" s="37" t="n"/>
      <c r="I126" s="41" t="n">
        <v>2020</v>
      </c>
      <c r="J126" s="37" t="n"/>
      <c r="K126" s="37" t="inlineStr">
        <is>
          <t>Loonstaat arbeiders februari 2028</t>
        </is>
      </c>
    </row>
    <row r="127">
      <c r="A127" s="41" t="n">
        <v>126</v>
      </c>
      <c r="B127" s="37" t="inlineStr">
        <is>
          <t>LOON03</t>
        </is>
      </c>
      <c r="C127" s="37" t="inlineStr">
        <is>
          <t>J3L3</t>
        </is>
      </c>
      <c r="D127" s="38" t="n">
        <v>46812</v>
      </c>
      <c r="E127" s="37" t="inlineStr">
        <is>
          <t>Lonen 1 · loonstaten</t>
        </is>
      </c>
      <c r="F127" s="37" t="inlineStr">
        <is>
          <t>453000</t>
        </is>
      </c>
      <c r="G127" s="37" t="inlineStr">
        <is>
          <t>Ingehouden bedrijfsvoorheffing</t>
        </is>
      </c>
      <c r="H127" s="37" t="n"/>
      <c r="I127" s="41" t="n">
        <v>414.04</v>
      </c>
      <c r="J127" s="37" t="n"/>
      <c r="K127" s="37" t="inlineStr">
        <is>
          <t>Loonstaat arbeiders februari 2028</t>
        </is>
      </c>
    </row>
    <row r="128">
      <c r="A128" s="41" t="n">
        <v>127</v>
      </c>
      <c r="B128" s="37" t="inlineStr">
        <is>
          <t>LOON03</t>
        </is>
      </c>
      <c r="C128" s="37" t="inlineStr">
        <is>
          <t>J3L3</t>
        </is>
      </c>
      <c r="D128" s="38" t="n">
        <v>46812</v>
      </c>
      <c r="E128" s="37" t="inlineStr">
        <is>
          <t>Lonen 1 · loonstaten</t>
        </is>
      </c>
      <c r="F128" s="37" t="inlineStr">
        <is>
          <t>454000</t>
        </is>
      </c>
      <c r="G128" s="37" t="inlineStr">
        <is>
          <t>Rijksdienst voor Sociale Zekerheid (RSZ)</t>
        </is>
      </c>
      <c r="H128" s="37" t="n"/>
      <c r="I128" s="41" t="n">
        <v>1065.96</v>
      </c>
      <c r="J128" s="37" t="n"/>
      <c r="K128" s="37" t="inlineStr">
        <is>
          <t>Loonstaat arbeiders februari 2028</t>
        </is>
      </c>
    </row>
    <row r="129">
      <c r="A129" s="41" t="n">
        <v>128</v>
      </c>
      <c r="B129" s="37" t="inlineStr">
        <is>
          <t>LOON04</t>
        </is>
      </c>
      <c r="C129" s="37" t="inlineStr">
        <is>
          <t>J3L4</t>
        </is>
      </c>
      <c r="D129" s="38" t="n">
        <v>46812</v>
      </c>
      <c r="E129" s="37" t="inlineStr">
        <is>
          <t>Lonen 1 · loonstaten</t>
        </is>
      </c>
      <c r="F129" s="37" t="inlineStr">
        <is>
          <t>620200</t>
        </is>
      </c>
      <c r="G129" s="37" t="inlineStr">
        <is>
          <t>Bezoldigingen bedienden</t>
        </is>
      </c>
      <c r="H129" s="41" t="n">
        <v>1800</v>
      </c>
      <c r="I129" s="37" t="n"/>
      <c r="J129" s="37" t="n"/>
      <c r="K129" s="37" t="inlineStr">
        <is>
          <t>Loonstaat bedienden februari 2028</t>
        </is>
      </c>
    </row>
    <row r="130">
      <c r="A130" s="41" t="n">
        <v>129</v>
      </c>
      <c r="B130" s="37" t="inlineStr">
        <is>
          <t>LOON04</t>
        </is>
      </c>
      <c r="C130" s="37" t="inlineStr">
        <is>
          <t>J3L4</t>
        </is>
      </c>
      <c r="D130" s="38" t="n">
        <v>46812</v>
      </c>
      <c r="E130" s="37" t="inlineStr">
        <is>
          <t>Lonen 1 · loonstaten</t>
        </is>
      </c>
      <c r="F130" s="37" t="inlineStr">
        <is>
          <t>621000</t>
        </is>
      </c>
      <c r="G130" s="37" t="inlineStr">
        <is>
          <t>Werkgeversbijdrage RSZ</t>
        </is>
      </c>
      <c r="H130" s="41" t="n">
        <v>450</v>
      </c>
      <c r="I130" s="37" t="n"/>
      <c r="J130" s="37" t="n"/>
      <c r="K130" s="37" t="inlineStr">
        <is>
          <t>Loonstaat bedienden februari 2028</t>
        </is>
      </c>
    </row>
    <row r="131">
      <c r="A131" s="41" t="n">
        <v>130</v>
      </c>
      <c r="B131" s="37" t="inlineStr">
        <is>
          <t>LOON04</t>
        </is>
      </c>
      <c r="C131" s="37" t="inlineStr">
        <is>
          <t>J3L4</t>
        </is>
      </c>
      <c r="D131" s="38" t="n">
        <v>46812</v>
      </c>
      <c r="E131" s="37" t="inlineStr">
        <is>
          <t>Lonen 1 · loonstaten</t>
        </is>
      </c>
      <c r="F131" s="37" t="inlineStr">
        <is>
          <t>455200</t>
        </is>
      </c>
      <c r="G131" s="37" t="inlineStr">
        <is>
          <t>Verschuldigde lonen bedienden</t>
        </is>
      </c>
      <c r="H131" s="37" t="n"/>
      <c r="I131" s="41" t="n">
        <v>1370</v>
      </c>
      <c r="J131" s="37" t="n"/>
      <c r="K131" s="37" t="inlineStr">
        <is>
          <t>Loonstaat bedienden februari 2028</t>
        </is>
      </c>
    </row>
    <row r="132">
      <c r="A132" s="41" t="n">
        <v>131</v>
      </c>
      <c r="B132" s="37" t="inlineStr">
        <is>
          <t>LOON04</t>
        </is>
      </c>
      <c r="C132" s="37" t="inlineStr">
        <is>
          <t>J3L4</t>
        </is>
      </c>
      <c r="D132" s="38" t="n">
        <v>46812</v>
      </c>
      <c r="E132" s="37" t="inlineStr">
        <is>
          <t>Lonen 1 · loonstaten</t>
        </is>
      </c>
      <c r="F132" s="37" t="inlineStr">
        <is>
          <t>453000</t>
        </is>
      </c>
      <c r="G132" s="37" t="inlineStr">
        <is>
          <t>Ingehouden bedrijfsvoorheffing</t>
        </is>
      </c>
      <c r="H132" s="37" t="n"/>
      <c r="I132" s="41" t="n">
        <v>194.74</v>
      </c>
      <c r="J132" s="37" t="n"/>
      <c r="K132" s="37" t="inlineStr">
        <is>
          <t>Loonstaat bedienden februari 2028</t>
        </is>
      </c>
    </row>
    <row r="133">
      <c r="A133" s="41" t="n">
        <v>132</v>
      </c>
      <c r="B133" s="37" t="inlineStr">
        <is>
          <t>LOON04</t>
        </is>
      </c>
      <c r="C133" s="37" t="inlineStr">
        <is>
          <t>J3L4</t>
        </is>
      </c>
      <c r="D133" s="38" t="n">
        <v>46812</v>
      </c>
      <c r="E133" s="37" t="inlineStr">
        <is>
          <t>Lonen 1 · loonstaten</t>
        </is>
      </c>
      <c r="F133" s="37" t="inlineStr">
        <is>
          <t>454000</t>
        </is>
      </c>
      <c r="G133" s="37" t="inlineStr">
        <is>
          <t>Rijksdienst voor Sociale Zekerheid (RSZ)</t>
        </is>
      </c>
      <c r="H133" s="37" t="n"/>
      <c r="I133" s="41" t="n">
        <v>685.26</v>
      </c>
      <c r="J133" s="37" t="n"/>
      <c r="K133" s="37" t="inlineStr">
        <is>
          <t>Loonstaat bedienden februari 2028</t>
        </is>
      </c>
    </row>
    <row r="134">
      <c r="A134" s="41" t="n">
        <v>133</v>
      </c>
      <c r="B134" s="37" t="inlineStr">
        <is>
          <t>LOON05</t>
        </is>
      </c>
      <c r="C134" s="37" t="inlineStr">
        <is>
          <t>J3L5</t>
        </is>
      </c>
      <c r="D134" s="38" t="n">
        <v>46843</v>
      </c>
      <c r="E134" s="37" t="inlineStr">
        <is>
          <t>Lonen 1 · loonstaten</t>
        </is>
      </c>
      <c r="F134" s="37" t="inlineStr">
        <is>
          <t>620300</t>
        </is>
      </c>
      <c r="G134" s="37" t="inlineStr">
        <is>
          <t>Bezoldigingen arbeiders</t>
        </is>
      </c>
      <c r="H134" s="41" t="n">
        <v>2700</v>
      </c>
      <c r="I134" s="37" t="n"/>
      <c r="J134" s="37" t="n"/>
      <c r="K134" s="37" t="inlineStr">
        <is>
          <t>Loonstaat arbeiders maart 2028</t>
        </is>
      </c>
    </row>
    <row r="135">
      <c r="A135" s="41" t="n">
        <v>134</v>
      </c>
      <c r="B135" s="37" t="inlineStr">
        <is>
          <t>LOON05</t>
        </is>
      </c>
      <c r="C135" s="37" t="inlineStr">
        <is>
          <t>J3L5</t>
        </is>
      </c>
      <c r="D135" s="38" t="n">
        <v>46843</v>
      </c>
      <c r="E135" s="37" t="inlineStr">
        <is>
          <t>Lonen 1 · loonstaten</t>
        </is>
      </c>
      <c r="F135" s="37" t="inlineStr">
        <is>
          <t>621000</t>
        </is>
      </c>
      <c r="G135" s="37" t="inlineStr">
        <is>
          <t>Werkgeversbijdrage RSZ</t>
        </is>
      </c>
      <c r="H135" s="41" t="n">
        <v>675</v>
      </c>
      <c r="I135" s="37" t="n"/>
      <c r="J135" s="37" t="n"/>
      <c r="K135" s="37" t="inlineStr">
        <is>
          <t>Loonstaat arbeiders maart 2028</t>
        </is>
      </c>
    </row>
    <row r="136">
      <c r="A136" s="41" t="n">
        <v>135</v>
      </c>
      <c r="B136" s="37" t="inlineStr">
        <is>
          <t>LOON05</t>
        </is>
      </c>
      <c r="C136" s="37" t="inlineStr">
        <is>
          <t>J3L5</t>
        </is>
      </c>
      <c r="D136" s="38" t="n">
        <v>46843</v>
      </c>
      <c r="E136" s="37" t="inlineStr">
        <is>
          <t>Lonen 1 · loonstaten</t>
        </is>
      </c>
      <c r="F136" s="37" t="inlineStr">
        <is>
          <t>455300</t>
        </is>
      </c>
      <c r="G136" s="37" t="inlineStr">
        <is>
          <t>Verschuldigde lonen arbeiders</t>
        </is>
      </c>
      <c r="H136" s="37" t="n"/>
      <c r="I136" s="41" t="n">
        <v>1960</v>
      </c>
      <c r="J136" s="37" t="n"/>
      <c r="K136" s="37" t="inlineStr">
        <is>
          <t>Loonstaat arbeiders maart 2028</t>
        </is>
      </c>
    </row>
    <row r="137">
      <c r="A137" s="41" t="n">
        <v>136</v>
      </c>
      <c r="B137" s="37" t="inlineStr">
        <is>
          <t>LOON05</t>
        </is>
      </c>
      <c r="C137" s="37" t="inlineStr">
        <is>
          <t>J3L5</t>
        </is>
      </c>
      <c r="D137" s="38" t="n">
        <v>46843</v>
      </c>
      <c r="E137" s="37" t="inlineStr">
        <is>
          <t>Lonen 1 · loonstaten</t>
        </is>
      </c>
      <c r="F137" s="37" t="inlineStr">
        <is>
          <t>453000</t>
        </is>
      </c>
      <c r="G137" s="37" t="inlineStr">
        <is>
          <t>Ingehouden bedrijfsvoorheffing</t>
        </is>
      </c>
      <c r="H137" s="37" t="n"/>
      <c r="I137" s="41" t="n">
        <v>387.11</v>
      </c>
      <c r="J137" s="37" t="n"/>
      <c r="K137" s="37" t="inlineStr">
        <is>
          <t>Loonstaat arbeiders maart 2028</t>
        </is>
      </c>
    </row>
    <row r="138">
      <c r="A138" s="41" t="n">
        <v>137</v>
      </c>
      <c r="B138" s="37" t="inlineStr">
        <is>
          <t>LOON05</t>
        </is>
      </c>
      <c r="C138" s="37" t="inlineStr">
        <is>
          <t>J3L5</t>
        </is>
      </c>
      <c r="D138" s="38" t="n">
        <v>46843</v>
      </c>
      <c r="E138" s="37" t="inlineStr">
        <is>
          <t>Lonen 1 · loonstaten</t>
        </is>
      </c>
      <c r="F138" s="37" t="inlineStr">
        <is>
          <t>454000</t>
        </is>
      </c>
      <c r="G138" s="37" t="inlineStr">
        <is>
          <t>Rijksdienst voor Sociale Zekerheid (RSZ)</t>
        </is>
      </c>
      <c r="H138" s="37" t="n"/>
      <c r="I138" s="41" t="n">
        <v>1027.89</v>
      </c>
      <c r="J138" s="37" t="n"/>
      <c r="K138" s="37" t="inlineStr">
        <is>
          <t>Loonstaat arbeiders maart 2028</t>
        </is>
      </c>
    </row>
    <row r="139">
      <c r="A139" s="41" t="n">
        <v>138</v>
      </c>
      <c r="B139" s="37" t="inlineStr">
        <is>
          <t>LOON06</t>
        </is>
      </c>
      <c r="C139" s="37" t="inlineStr">
        <is>
          <t>J3L6</t>
        </is>
      </c>
      <c r="D139" s="38" t="n">
        <v>46843</v>
      </c>
      <c r="E139" s="37" t="inlineStr">
        <is>
          <t>Lonen 1 · loonstaten</t>
        </is>
      </c>
      <c r="F139" s="37" t="inlineStr">
        <is>
          <t>620200</t>
        </is>
      </c>
      <c r="G139" s="37" t="inlineStr">
        <is>
          <t>Bezoldigingen bedienden</t>
        </is>
      </c>
      <c r="H139" s="41" t="n">
        <v>1700</v>
      </c>
      <c r="I139" s="37" t="n"/>
      <c r="J139" s="37" t="n"/>
      <c r="K139" s="37" t="inlineStr">
        <is>
          <t>Loonstaat bedienden maart 2028</t>
        </is>
      </c>
    </row>
    <row r="140">
      <c r="A140" s="41" t="n">
        <v>139</v>
      </c>
      <c r="B140" s="37" t="inlineStr">
        <is>
          <t>LOON06</t>
        </is>
      </c>
      <c r="C140" s="37" t="inlineStr">
        <is>
          <t>J3L6</t>
        </is>
      </c>
      <c r="D140" s="38" t="n">
        <v>46843</v>
      </c>
      <c r="E140" s="37" t="inlineStr">
        <is>
          <t>Lonen 1 · loonstaten</t>
        </is>
      </c>
      <c r="F140" s="37" t="inlineStr">
        <is>
          <t>621000</t>
        </is>
      </c>
      <c r="G140" s="37" t="inlineStr">
        <is>
          <t>Werkgeversbijdrage RSZ</t>
        </is>
      </c>
      <c r="H140" s="41" t="n">
        <v>425</v>
      </c>
      <c r="I140" s="37" t="n"/>
      <c r="J140" s="37" t="n"/>
      <c r="K140" s="37" t="inlineStr">
        <is>
          <t>Loonstaat bedienden maart 2028</t>
        </is>
      </c>
    </row>
    <row r="141">
      <c r="A141" s="41" t="n">
        <v>140</v>
      </c>
      <c r="B141" s="37" t="inlineStr">
        <is>
          <t>LOON06</t>
        </is>
      </c>
      <c r="C141" s="37" t="inlineStr">
        <is>
          <t>J3L6</t>
        </is>
      </c>
      <c r="D141" s="38" t="n">
        <v>46843</v>
      </c>
      <c r="E141" s="37" t="inlineStr">
        <is>
          <t>Lonen 1 · loonstaten</t>
        </is>
      </c>
      <c r="F141" s="37" t="inlineStr">
        <is>
          <t>455200</t>
        </is>
      </c>
      <c r="G141" s="37" t="inlineStr">
        <is>
          <t>Verschuldigde lonen bedienden</t>
        </is>
      </c>
      <c r="H141" s="37" t="n"/>
      <c r="I141" s="41" t="n">
        <v>1320</v>
      </c>
      <c r="J141" s="37" t="n"/>
      <c r="K141" s="37" t="inlineStr">
        <is>
          <t>Loonstaat bedienden maart 2028</t>
        </is>
      </c>
    </row>
    <row r="142">
      <c r="A142" s="41" t="n">
        <v>141</v>
      </c>
      <c r="B142" s="37" t="inlineStr">
        <is>
          <t>LOON06</t>
        </is>
      </c>
      <c r="C142" s="37" t="inlineStr">
        <is>
          <t>J3L6</t>
        </is>
      </c>
      <c r="D142" s="38" t="n">
        <v>46843</v>
      </c>
      <c r="E142" s="37" t="inlineStr">
        <is>
          <t>Lonen 1 · loonstaten</t>
        </is>
      </c>
      <c r="F142" s="37" t="inlineStr">
        <is>
          <t>453000</t>
        </is>
      </c>
      <c r="G142" s="37" t="inlineStr">
        <is>
          <t>Ingehouden bedrijfsvoorheffing</t>
        </is>
      </c>
      <c r="H142" s="37" t="n"/>
      <c r="I142" s="41" t="n">
        <v>157.81</v>
      </c>
      <c r="J142" s="37" t="n"/>
      <c r="K142" s="37" t="inlineStr">
        <is>
          <t>Loonstaat bedienden maart 2028</t>
        </is>
      </c>
    </row>
    <row r="143">
      <c r="A143" s="41" t="n">
        <v>142</v>
      </c>
      <c r="B143" s="37" t="inlineStr">
        <is>
          <t>LOON06</t>
        </is>
      </c>
      <c r="C143" s="37" t="inlineStr">
        <is>
          <t>J3L6</t>
        </is>
      </c>
      <c r="D143" s="38" t="n">
        <v>46843</v>
      </c>
      <c r="E143" s="37" t="inlineStr">
        <is>
          <t>Lonen 1 · loonstaten</t>
        </is>
      </c>
      <c r="F143" s="37" t="inlineStr">
        <is>
          <t>454000</t>
        </is>
      </c>
      <c r="G143" s="37" t="inlineStr">
        <is>
          <t>Rijksdienst voor Sociale Zekerheid (RSZ)</t>
        </is>
      </c>
      <c r="H143" s="37" t="n"/>
      <c r="I143" s="41" t="n">
        <v>647.1900000000001</v>
      </c>
      <c r="J143" s="37" t="n"/>
      <c r="K143" s="37" t="inlineStr">
        <is>
          <t>Loonstaat bedienden maart 2028</t>
        </is>
      </c>
    </row>
    <row r="144">
      <c r="A144" s="24" t="n">
        <v>143</v>
      </c>
      <c r="B144" s="22" t="inlineStr">
        <is>
          <t>AK18</t>
        </is>
      </c>
      <c r="C144" s="22" t="inlineStr">
        <is>
          <t>J3S1</t>
        </is>
      </c>
      <c r="D144" s="23" t="n">
        <v>46783</v>
      </c>
      <c r="E144" s="22" t="inlineStr">
        <is>
          <t>Lonen 2 · RSZ, voorheffing en personeelskosten</t>
        </is>
      </c>
      <c r="F144" s="22" t="inlineStr">
        <is>
          <t>454000</t>
        </is>
      </c>
      <c r="G144" s="22" t="inlineStr">
        <is>
          <t>Rijksdienst voor Sociale Zekerheid (RSZ)</t>
        </is>
      </c>
      <c r="H144" s="24" t="n">
        <v>1598.94</v>
      </c>
      <c r="I144" s="22" t="n"/>
      <c r="J144" s="22" t="n"/>
      <c r="K144" s="22" t="inlineStr">
        <is>
          <t>Factuur LW-2028-0131 - Loonwijs vzw - doorstorting RSZ en bedrijfsvoorheffing januari 2028</t>
        </is>
      </c>
    </row>
    <row r="145">
      <c r="A145" s="24" t="n">
        <v>144</v>
      </c>
      <c r="B145" s="22" t="inlineStr">
        <is>
          <t>AK18</t>
        </is>
      </c>
      <c r="C145" s="22" t="inlineStr">
        <is>
          <t>J3S1</t>
        </is>
      </c>
      <c r="D145" s="23" t="n">
        <v>46783</v>
      </c>
      <c r="E145" s="22" t="inlineStr">
        <is>
          <t>Lonen 2 · RSZ, voorheffing en personeelskosten</t>
        </is>
      </c>
      <c r="F145" s="22" t="inlineStr">
        <is>
          <t>453000</t>
        </is>
      </c>
      <c r="G145" s="22" t="inlineStr">
        <is>
          <t>Ingehouden bedrijfsvoorheffing</t>
        </is>
      </c>
      <c r="H145" s="24" t="n">
        <v>501.06</v>
      </c>
      <c r="I145" s="22" t="n"/>
      <c r="J145" s="22" t="n"/>
      <c r="K145" s="22" t="inlineStr">
        <is>
          <t>Factuur LW-2028-0131 - Loonwijs vzw - doorstorting RSZ en bedrijfsvoorheffing januari 2028</t>
        </is>
      </c>
    </row>
    <row r="146">
      <c r="A146" s="24" t="n">
        <v>145</v>
      </c>
      <c r="B146" s="22" t="inlineStr">
        <is>
          <t>AK18</t>
        </is>
      </c>
      <c r="C146" s="22" t="inlineStr">
        <is>
          <t>J3S1</t>
        </is>
      </c>
      <c r="D146" s="23" t="n">
        <v>46783</v>
      </c>
      <c r="E146" s="22" t="inlineStr">
        <is>
          <t>Lonen 2 · RSZ, voorheffing en personeelskosten</t>
        </is>
      </c>
      <c r="F146" s="22" t="inlineStr">
        <is>
          <t>440000</t>
        </is>
      </c>
      <c r="G146" s="22" t="inlineStr">
        <is>
          <t>Leveranciers</t>
        </is>
      </c>
      <c r="H146" s="22" t="n"/>
      <c r="I146" s="24" t="n">
        <v>2100</v>
      </c>
      <c r="J146" s="22" t="inlineStr">
        <is>
          <t>Loonwijs vzw</t>
        </is>
      </c>
      <c r="K146" s="22" t="inlineStr">
        <is>
          <t>Factuur LW-2028-0131 - Loonwijs vzw - doorstorting RSZ en bedrijfsvoorheffing januari 2028</t>
        </is>
      </c>
    </row>
    <row r="147">
      <c r="A147" s="24" t="n">
        <v>146</v>
      </c>
      <c r="B147" s="22" t="inlineStr">
        <is>
          <t>AK19</t>
        </is>
      </c>
      <c r="C147" s="22" t="inlineStr">
        <is>
          <t>J3S2</t>
        </is>
      </c>
      <c r="D147" s="23" t="n">
        <v>46812</v>
      </c>
      <c r="E147" s="22" t="inlineStr">
        <is>
          <t>Lonen 2 · RSZ, voorheffing en personeelskosten</t>
        </is>
      </c>
      <c r="F147" s="22" t="inlineStr">
        <is>
          <t>454000</t>
        </is>
      </c>
      <c r="G147" s="22" t="inlineStr">
        <is>
          <t>Rijksdienst voor Sociale Zekerheid (RSZ)</t>
        </is>
      </c>
      <c r="H147" s="24" t="n">
        <v>1751.22</v>
      </c>
      <c r="I147" s="22" t="n"/>
      <c r="J147" s="22" t="n"/>
      <c r="K147" s="22" t="inlineStr">
        <is>
          <t>Factuur LW-2028-0229 - Loonwijs vzw - doorstorting RSZ en bedrijfsvoorheffing februari 2028</t>
        </is>
      </c>
    </row>
    <row r="148">
      <c r="A148" s="24" t="n">
        <v>147</v>
      </c>
      <c r="B148" s="22" t="inlineStr">
        <is>
          <t>AK19</t>
        </is>
      </c>
      <c r="C148" s="22" t="inlineStr">
        <is>
          <t>J3S2</t>
        </is>
      </c>
      <c r="D148" s="23" t="n">
        <v>46812</v>
      </c>
      <c r="E148" s="22" t="inlineStr">
        <is>
          <t>Lonen 2 · RSZ, voorheffing en personeelskosten</t>
        </is>
      </c>
      <c r="F148" s="22" t="inlineStr">
        <is>
          <t>453000</t>
        </is>
      </c>
      <c r="G148" s="22" t="inlineStr">
        <is>
          <t>Ingehouden bedrijfsvoorheffing</t>
        </is>
      </c>
      <c r="H148" s="24" t="n">
        <v>608.78</v>
      </c>
      <c r="I148" s="22" t="n"/>
      <c r="J148" s="22" t="n"/>
      <c r="K148" s="22" t="inlineStr">
        <is>
          <t>Factuur LW-2028-0229 - Loonwijs vzw - doorstorting RSZ en bedrijfsvoorheffing februari 2028</t>
        </is>
      </c>
    </row>
    <row r="149">
      <c r="A149" s="24" t="n">
        <v>148</v>
      </c>
      <c r="B149" s="22" t="inlineStr">
        <is>
          <t>AK19</t>
        </is>
      </c>
      <c r="C149" s="22" t="inlineStr">
        <is>
          <t>J3S2</t>
        </is>
      </c>
      <c r="D149" s="23" t="n">
        <v>46812</v>
      </c>
      <c r="E149" s="22" t="inlineStr">
        <is>
          <t>Lonen 2 · RSZ, voorheffing en personeelskosten</t>
        </is>
      </c>
      <c r="F149" s="22" t="inlineStr">
        <is>
          <t>440000</t>
        </is>
      </c>
      <c r="G149" s="22" t="inlineStr">
        <is>
          <t>Leveranciers</t>
        </is>
      </c>
      <c r="H149" s="22" t="n"/>
      <c r="I149" s="24" t="n">
        <v>2360</v>
      </c>
      <c r="J149" s="22" t="inlineStr">
        <is>
          <t>Loonwijs vzw</t>
        </is>
      </c>
      <c r="K149" s="22" t="inlineStr">
        <is>
          <t>Factuur LW-2028-0229 - Loonwijs vzw - doorstorting RSZ en bedrijfsvoorheffing februari 2028</t>
        </is>
      </c>
    </row>
    <row r="150">
      <c r="A150" s="24" t="n">
        <v>149</v>
      </c>
      <c r="B150" s="22" t="inlineStr">
        <is>
          <t>AK20</t>
        </is>
      </c>
      <c r="C150" s="22" t="inlineStr">
        <is>
          <t>J3S3</t>
        </is>
      </c>
      <c r="D150" s="23" t="n">
        <v>46843</v>
      </c>
      <c r="E150" s="22" t="inlineStr">
        <is>
          <t>Lonen 2 · RSZ, voorheffing en personeelskosten</t>
        </is>
      </c>
      <c r="F150" s="22" t="inlineStr">
        <is>
          <t>454000</t>
        </is>
      </c>
      <c r="G150" s="22" t="inlineStr">
        <is>
          <t>Rijksdienst voor Sociale Zekerheid (RSZ)</t>
        </is>
      </c>
      <c r="H150" s="24" t="n">
        <v>1675.08</v>
      </c>
      <c r="I150" s="22" t="n"/>
      <c r="J150" s="22" t="n"/>
      <c r="K150" s="22" t="inlineStr">
        <is>
          <t>Factuur LW-2028-0331 - Loonwijs vzw - doorstorting RSZ en bedrijfsvoorheffing maart 2028</t>
        </is>
      </c>
    </row>
    <row r="151">
      <c r="A151" s="24" t="n">
        <v>150</v>
      </c>
      <c r="B151" s="22" t="inlineStr">
        <is>
          <t>AK20</t>
        </is>
      </c>
      <c r="C151" s="22" t="inlineStr">
        <is>
          <t>J3S3</t>
        </is>
      </c>
      <c r="D151" s="23" t="n">
        <v>46843</v>
      </c>
      <c r="E151" s="22" t="inlineStr">
        <is>
          <t>Lonen 2 · RSZ, voorheffing en personeelskosten</t>
        </is>
      </c>
      <c r="F151" s="22" t="inlineStr">
        <is>
          <t>453000</t>
        </is>
      </c>
      <c r="G151" s="22" t="inlineStr">
        <is>
          <t>Ingehouden bedrijfsvoorheffing</t>
        </is>
      </c>
      <c r="H151" s="24" t="n">
        <v>544.92</v>
      </c>
      <c r="I151" s="22" t="n"/>
      <c r="J151" s="22" t="n"/>
      <c r="K151" s="22" t="inlineStr">
        <is>
          <t>Factuur LW-2028-0331 - Loonwijs vzw - doorstorting RSZ en bedrijfsvoorheffing maart 2028</t>
        </is>
      </c>
    </row>
    <row r="152">
      <c r="A152" s="24" t="n">
        <v>151</v>
      </c>
      <c r="B152" s="22" t="inlineStr">
        <is>
          <t>AK20</t>
        </is>
      </c>
      <c r="C152" s="22" t="inlineStr">
        <is>
          <t>J3S3</t>
        </is>
      </c>
      <c r="D152" s="23" t="n">
        <v>46843</v>
      </c>
      <c r="E152" s="22" t="inlineStr">
        <is>
          <t>Lonen 2 · RSZ, voorheffing en personeelskosten</t>
        </is>
      </c>
      <c r="F152" s="22" t="inlineStr">
        <is>
          <t>440000</t>
        </is>
      </c>
      <c r="G152" s="22" t="inlineStr">
        <is>
          <t>Leveranciers</t>
        </is>
      </c>
      <c r="H152" s="22" t="n"/>
      <c r="I152" s="24" t="n">
        <v>2220</v>
      </c>
      <c r="J152" s="22" t="inlineStr">
        <is>
          <t>Loonwijs vzw</t>
        </is>
      </c>
      <c r="K152" s="22" t="inlineStr">
        <is>
          <t>Factuur LW-2028-0331 - Loonwijs vzw - doorstorting RSZ en bedrijfsvoorheffing maart 2028</t>
        </is>
      </c>
    </row>
    <row r="153">
      <c r="A153" s="24" t="n">
        <v>152</v>
      </c>
      <c r="B153" s="22" t="inlineStr">
        <is>
          <t>AK21</t>
        </is>
      </c>
      <c r="C153" s="22" t="inlineStr">
        <is>
          <t>J3A21</t>
        </is>
      </c>
      <c r="D153" s="23" t="n">
        <v>46843</v>
      </c>
      <c r="E153" s="22" t="inlineStr">
        <is>
          <t>Lonen 2 · RSZ, voorheffing en personeelskosten</t>
        </is>
      </c>
      <c r="F153" s="22" t="inlineStr">
        <is>
          <t>613300</t>
        </is>
      </c>
      <c r="G153" s="22" t="inlineStr">
        <is>
          <t>Sociaal secretariaat</t>
        </is>
      </c>
      <c r="H153" s="24" t="n">
        <v>200</v>
      </c>
      <c r="I153" s="22" t="n"/>
      <c r="J153" s="22" t="n"/>
      <c r="K153" s="22" t="inlineStr">
        <is>
          <t>Aankoopfactuur LW-2028-0332 - Loonwijs vzw</t>
        </is>
      </c>
    </row>
    <row r="154">
      <c r="A154" s="24" t="n">
        <v>153</v>
      </c>
      <c r="B154" s="22" t="inlineStr">
        <is>
          <t>AK21</t>
        </is>
      </c>
      <c r="C154" s="22" t="inlineStr">
        <is>
          <t>J3A21</t>
        </is>
      </c>
      <c r="D154" s="23" t="n">
        <v>46843</v>
      </c>
      <c r="E154" s="22" t="inlineStr">
        <is>
          <t>Lonen 2 · RSZ, voorheffing en personeelskosten</t>
        </is>
      </c>
      <c r="F154" s="22" t="inlineStr">
        <is>
          <t>411100</t>
        </is>
      </c>
      <c r="G154" s="22" t="inlineStr">
        <is>
          <t>Aftrekbare btw</t>
        </is>
      </c>
      <c r="H154" s="24" t="n">
        <v>42</v>
      </c>
      <c r="I154" s="22" t="n"/>
      <c r="J154" s="22" t="n"/>
      <c r="K154" s="22" t="inlineStr">
        <is>
          <t>Aankoopfactuur LW-2028-0332 - Loonwijs vzw</t>
        </is>
      </c>
    </row>
    <row r="155">
      <c r="A155" s="24" t="n">
        <v>154</v>
      </c>
      <c r="B155" s="22" t="inlineStr">
        <is>
          <t>AK21</t>
        </is>
      </c>
      <c r="C155" s="22" t="inlineStr">
        <is>
          <t>J3A21</t>
        </is>
      </c>
      <c r="D155" s="23" t="n">
        <v>46843</v>
      </c>
      <c r="E155" s="22" t="inlineStr">
        <is>
          <t>Lonen 2 · RSZ, voorheffing en personeelskosten</t>
        </is>
      </c>
      <c r="F155" s="22" t="inlineStr">
        <is>
          <t>440000</t>
        </is>
      </c>
      <c r="G155" s="22" t="inlineStr">
        <is>
          <t>Leveranciers</t>
        </is>
      </c>
      <c r="H155" s="22" t="n"/>
      <c r="I155" s="24" t="n">
        <v>242</v>
      </c>
      <c r="J155" s="22" t="inlineStr">
        <is>
          <t>Loonwijs vzw</t>
        </is>
      </c>
      <c r="K155" s="22" t="inlineStr">
        <is>
          <t>Aankoopfactuur LW-2028-0332 - Loonwijs vzw</t>
        </is>
      </c>
    </row>
    <row r="156">
      <c r="A156" s="24" t="n">
        <v>155</v>
      </c>
      <c r="B156" s="22" t="inlineStr">
        <is>
          <t>AK22</t>
        </is>
      </c>
      <c r="C156" s="22" t="inlineStr">
        <is>
          <t>J3A22</t>
        </is>
      </c>
      <c r="D156" s="23" t="n">
        <v>46754</v>
      </c>
      <c r="E156" s="22" t="inlineStr">
        <is>
          <t>Lonen 2 · RSZ, voorheffing en personeelskosten</t>
        </is>
      </c>
      <c r="F156" s="22" t="inlineStr">
        <is>
          <t>623000</t>
        </is>
      </c>
      <c r="G156" s="22" t="inlineStr">
        <is>
          <t>Andere personeelskosten</t>
        </is>
      </c>
      <c r="H156" s="24" t="n">
        <v>600</v>
      </c>
      <c r="I156" s="22" t="n"/>
      <c r="J156" s="22" t="n"/>
      <c r="K156" s="22" t="inlineStr">
        <is>
          <t>Aankoopfactuur GZ-28-00872 - Gerzo Verzekeringen nv</t>
        </is>
      </c>
    </row>
    <row r="157">
      <c r="A157" s="24" t="n">
        <v>156</v>
      </c>
      <c r="B157" s="22" t="inlineStr">
        <is>
          <t>AK22</t>
        </is>
      </c>
      <c r="C157" s="22" t="inlineStr">
        <is>
          <t>J3A22</t>
        </is>
      </c>
      <c r="D157" s="23" t="n">
        <v>46754</v>
      </c>
      <c r="E157" s="22" t="inlineStr">
        <is>
          <t>Lonen 2 · RSZ, voorheffing en personeelskosten</t>
        </is>
      </c>
      <c r="F157" s="22" t="inlineStr">
        <is>
          <t>440000</t>
        </is>
      </c>
      <c r="G157" s="22" t="inlineStr">
        <is>
          <t>Leveranciers</t>
        </is>
      </c>
      <c r="H157" s="22" t="n"/>
      <c r="I157" s="24" t="n">
        <v>600</v>
      </c>
      <c r="J157" s="22" t="inlineStr">
        <is>
          <t>Gerzo Verzekeringen nv</t>
        </is>
      </c>
      <c r="K157" s="22" t="inlineStr">
        <is>
          <t>Aankoopfactuur GZ-28-00872 - Gerzo Verzekeringen nv</t>
        </is>
      </c>
    </row>
    <row r="158">
      <c r="A158" s="24" t="n">
        <v>157</v>
      </c>
      <c r="B158" s="22" t="inlineStr">
        <is>
          <t>AK23</t>
        </is>
      </c>
      <c r="C158" s="22" t="inlineStr">
        <is>
          <t>J3A23</t>
        </is>
      </c>
      <c r="D158" s="23" t="n">
        <v>46762</v>
      </c>
      <c r="E158" s="22" t="inlineStr">
        <is>
          <t>Lonen 2 · RSZ, voorheffing en personeelskosten</t>
        </is>
      </c>
      <c r="F158" s="22" t="inlineStr">
        <is>
          <t>623000</t>
        </is>
      </c>
      <c r="G158" s="22" t="inlineStr">
        <is>
          <t>Andere personeelskosten</t>
        </is>
      </c>
      <c r="H158" s="24" t="n">
        <v>140</v>
      </c>
      <c r="I158" s="22" t="n"/>
      <c r="J158" s="22" t="n"/>
      <c r="K158" s="22" t="inlineStr">
        <is>
          <t>Aankoopfactuur PV-28-1022 - Preventa vzw</t>
        </is>
      </c>
    </row>
    <row r="159">
      <c r="A159" s="24" t="n">
        <v>158</v>
      </c>
      <c r="B159" s="22" t="inlineStr">
        <is>
          <t>AK23</t>
        </is>
      </c>
      <c r="C159" s="22" t="inlineStr">
        <is>
          <t>J3A23</t>
        </is>
      </c>
      <c r="D159" s="23" t="n">
        <v>46762</v>
      </c>
      <c r="E159" s="22" t="inlineStr">
        <is>
          <t>Lonen 2 · RSZ, voorheffing en personeelskosten</t>
        </is>
      </c>
      <c r="F159" s="22" t="inlineStr">
        <is>
          <t>440000</t>
        </is>
      </c>
      <c r="G159" s="22" t="inlineStr">
        <is>
          <t>Leveranciers</t>
        </is>
      </c>
      <c r="H159" s="22" t="n"/>
      <c r="I159" s="24" t="n">
        <v>140</v>
      </c>
      <c r="J159" s="22" t="inlineStr">
        <is>
          <t>Preventa vzw</t>
        </is>
      </c>
      <c r="K159" s="22" t="inlineStr">
        <is>
          <t>Aankoopfactuur PV-28-1022 - Preventa vzw</t>
        </is>
      </c>
    </row>
    <row r="160">
      <c r="A160" s="27" t="n">
        <v>159</v>
      </c>
      <c r="B160" s="25" t="inlineStr">
        <is>
          <t>KAS01</t>
        </is>
      </c>
      <c r="C160" s="25" t="inlineStr">
        <is>
          <t>J3K1</t>
        </is>
      </c>
      <c r="D160" s="26" t="n">
        <v>46830</v>
      </c>
      <c r="E160" s="25" t="inlineStr">
        <is>
          <t>Financiële verrichtingen</t>
        </is>
      </c>
      <c r="F160" s="25" t="inlineStr">
        <is>
          <t>570000</t>
        </is>
      </c>
      <c r="G160" s="25" t="inlineStr">
        <is>
          <t>Kas</t>
        </is>
      </c>
      <c r="H160" s="27" t="n">
        <v>5458</v>
      </c>
      <c r="I160" s="25" t="n"/>
      <c r="J160" s="25" t="n"/>
      <c r="K160" s="25" t="inlineStr">
        <is>
          <t>Kasstuk KAS-2028-01 - contant deel dagontvangsten DO-2028-11</t>
        </is>
      </c>
    </row>
    <row r="161">
      <c r="A161" s="27" t="n">
        <v>160</v>
      </c>
      <c r="B161" s="25" t="inlineStr">
        <is>
          <t>KAS01</t>
        </is>
      </c>
      <c r="C161" s="25" t="inlineStr">
        <is>
          <t>J3K1</t>
        </is>
      </c>
      <c r="D161" s="26" t="n">
        <v>46830</v>
      </c>
      <c r="E161" s="25" t="inlineStr">
        <is>
          <t>Financiële verrichtingen</t>
        </is>
      </c>
      <c r="F161" s="25" t="inlineStr">
        <is>
          <t>400000</t>
        </is>
      </c>
      <c r="G161" s="25" t="inlineStr">
        <is>
          <t>Handelsdebiteuren</t>
        </is>
      </c>
      <c r="H161" s="25" t="n"/>
      <c r="I161" s="27" t="n">
        <v>5458</v>
      </c>
      <c r="J161" s="25" t="inlineStr">
        <is>
          <t>particulieren (kasticket)</t>
        </is>
      </c>
      <c r="K161" s="25" t="inlineStr">
        <is>
          <t>Kasstuk KAS-2028-01 - contant deel dagontvangsten DO-2028-11</t>
        </is>
      </c>
    </row>
    <row r="162">
      <c r="A162" s="27" t="n">
        <v>161</v>
      </c>
      <c r="B162" s="25" t="inlineStr">
        <is>
          <t>KAS02</t>
        </is>
      </c>
      <c r="C162" s="25" t="inlineStr">
        <is>
          <t>J3K2</t>
        </is>
      </c>
      <c r="D162" s="26" t="n">
        <v>46834</v>
      </c>
      <c r="E162" s="25" t="inlineStr">
        <is>
          <t>Financiële verrichtingen</t>
        </is>
      </c>
      <c r="F162" s="25" t="inlineStr">
        <is>
          <t>580000</t>
        </is>
      </c>
      <c r="G162" s="25" t="inlineStr">
        <is>
          <t>Interne overboekingen</t>
        </is>
      </c>
      <c r="H162" s="27" t="n">
        <v>3500</v>
      </c>
      <c r="I162" s="25" t="n"/>
      <c r="J162" s="25" t="n"/>
      <c r="K162" s="25" t="inlineStr">
        <is>
          <t>Kasstuk KAS-2028-02 - storting van contanten op de bank</t>
        </is>
      </c>
    </row>
    <row r="163">
      <c r="A163" s="27" t="n">
        <v>162</v>
      </c>
      <c r="B163" s="25" t="inlineStr">
        <is>
          <t>KAS02</t>
        </is>
      </c>
      <c r="C163" s="25" t="inlineStr">
        <is>
          <t>J3K2</t>
        </is>
      </c>
      <c r="D163" s="26" t="n">
        <v>46834</v>
      </c>
      <c r="E163" s="25" t="inlineStr">
        <is>
          <t>Financiële verrichtingen</t>
        </is>
      </c>
      <c r="F163" s="25" t="inlineStr">
        <is>
          <t>570000</t>
        </is>
      </c>
      <c r="G163" s="25" t="inlineStr">
        <is>
          <t>Kas</t>
        </is>
      </c>
      <c r="H163" s="25" t="n"/>
      <c r="I163" s="27" t="n">
        <v>3500</v>
      </c>
      <c r="J163" s="25" t="n"/>
      <c r="K163" s="25" t="inlineStr">
        <is>
          <t>Kasstuk KAS-2028-02 - storting van contanten op de bank</t>
        </is>
      </c>
    </row>
    <row r="164">
      <c r="A164" s="27" t="n">
        <v>163</v>
      </c>
      <c r="B164" s="25" t="inlineStr">
        <is>
          <t>BANK01</t>
        </is>
      </c>
      <c r="C164" s="25" t="inlineStr">
        <is>
          <t>J3U1</t>
        </is>
      </c>
      <c r="D164" s="26" t="n">
        <v>46783</v>
      </c>
      <c r="E164" s="25" t="inlineStr">
        <is>
          <t>Financiële verrichtingen</t>
        </is>
      </c>
      <c r="F164" s="25" t="inlineStr">
        <is>
          <t>550000</t>
        </is>
      </c>
      <c r="G164" s="25" t="inlineStr">
        <is>
          <t>Bankrekening</t>
        </is>
      </c>
      <c r="H164" s="27" t="n">
        <v>11028</v>
      </c>
      <c r="I164" s="25" t="n"/>
      <c r="J164" s="25" t="n"/>
      <c r="K164" s="25" t="inlineStr">
        <is>
          <t>Overschrijving van Snelpost bv, factuur 2028-001</t>
        </is>
      </c>
    </row>
    <row r="165">
      <c r="A165" s="27" t="n">
        <v>164</v>
      </c>
      <c r="B165" s="25" t="inlineStr">
        <is>
          <t>BANK01</t>
        </is>
      </c>
      <c r="C165" s="25" t="inlineStr">
        <is>
          <t>J3U1</t>
        </is>
      </c>
      <c r="D165" s="26" t="n">
        <v>46783</v>
      </c>
      <c r="E165" s="25" t="inlineStr">
        <is>
          <t>Financiële verrichtingen</t>
        </is>
      </c>
      <c r="F165" s="25" t="inlineStr">
        <is>
          <t>400000</t>
        </is>
      </c>
      <c r="G165" s="25" t="inlineStr">
        <is>
          <t>Handelsdebiteuren</t>
        </is>
      </c>
      <c r="H165" s="25" t="n"/>
      <c r="I165" s="27" t="n">
        <v>11028</v>
      </c>
      <c r="J165" s="25" t="inlineStr">
        <is>
          <t>Snelpost bv</t>
        </is>
      </c>
      <c r="K165" s="25" t="inlineStr">
        <is>
          <t>Overschrijving van Snelpost bv, factuur 2028-001</t>
        </is>
      </c>
    </row>
    <row r="166">
      <c r="A166" s="27" t="n">
        <v>165</v>
      </c>
      <c r="B166" s="25" t="inlineStr">
        <is>
          <t>BANK01</t>
        </is>
      </c>
      <c r="C166" s="25" t="inlineStr">
        <is>
          <t>J3U1</t>
        </is>
      </c>
      <c r="D166" s="26" t="n">
        <v>46783</v>
      </c>
      <c r="E166" s="25" t="inlineStr">
        <is>
          <t>Financiële verrichtingen</t>
        </is>
      </c>
      <c r="F166" s="25" t="inlineStr">
        <is>
          <t>440000</t>
        </is>
      </c>
      <c r="G166" s="25" t="inlineStr">
        <is>
          <t>Leveranciers</t>
        </is>
      </c>
      <c r="H166" s="27" t="n">
        <v>8712</v>
      </c>
      <c r="I166" s="25" t="n"/>
      <c r="J166" s="25" t="inlineStr">
        <is>
          <t>Velomax bv</t>
        </is>
      </c>
      <c r="K166" s="25" t="inlineStr">
        <is>
          <t>Overschrijving naar Velomax bv, factuur 2028-003 - creditnota CN-2028-001</t>
        </is>
      </c>
    </row>
    <row r="167">
      <c r="A167" s="27" t="n">
        <v>166</v>
      </c>
      <c r="B167" s="25" t="inlineStr">
        <is>
          <t>BANK01</t>
        </is>
      </c>
      <c r="C167" s="25" t="inlineStr">
        <is>
          <t>J3U1</t>
        </is>
      </c>
      <c r="D167" s="26" t="n">
        <v>46783</v>
      </c>
      <c r="E167" s="25" t="inlineStr">
        <is>
          <t>Financiële verrichtingen</t>
        </is>
      </c>
      <c r="F167" s="25" t="inlineStr">
        <is>
          <t>550000</t>
        </is>
      </c>
      <c r="G167" s="25" t="inlineStr">
        <is>
          <t>Bankrekening</t>
        </is>
      </c>
      <c r="H167" s="25" t="n"/>
      <c r="I167" s="27" t="n">
        <v>8712</v>
      </c>
      <c r="J167" s="25" t="n"/>
      <c r="K167" s="25" t="inlineStr">
        <is>
          <t>Overschrijving naar Velomax bv, factuur 2028-003 - creditnota CN-2028-001</t>
        </is>
      </c>
    </row>
    <row r="168">
      <c r="A168" s="27" t="n">
        <v>167</v>
      </c>
      <c r="B168" s="25" t="inlineStr">
        <is>
          <t>BANK01</t>
        </is>
      </c>
      <c r="C168" s="25" t="inlineStr">
        <is>
          <t>J3U1</t>
        </is>
      </c>
      <c r="D168" s="26" t="n">
        <v>46783</v>
      </c>
      <c r="E168" s="25" t="inlineStr">
        <is>
          <t>Financiële verrichtingen</t>
        </is>
      </c>
      <c r="F168" s="25" t="inlineStr">
        <is>
          <t>455300</t>
        </is>
      </c>
      <c r="G168" s="25" t="inlineStr">
        <is>
          <t>Verschuldigde lonen arbeiders</t>
        </is>
      </c>
      <c r="H168" s="27" t="n">
        <v>1900</v>
      </c>
      <c r="I168" s="25" t="n"/>
      <c r="J168" s="25" t="n"/>
      <c r="K168" s="25" t="inlineStr">
        <is>
          <t>Nettolonen januari 2028 (loonstaten LW-LS-2028-0101 en -0102)</t>
        </is>
      </c>
    </row>
    <row r="169">
      <c r="A169" s="27" t="n">
        <v>168</v>
      </c>
      <c r="B169" s="25" t="inlineStr">
        <is>
          <t>BANK01</t>
        </is>
      </c>
      <c r="C169" s="25" t="inlineStr">
        <is>
          <t>J3U1</t>
        </is>
      </c>
      <c r="D169" s="26" t="n">
        <v>46783</v>
      </c>
      <c r="E169" s="25" t="inlineStr">
        <is>
          <t>Financiële verrichtingen</t>
        </is>
      </c>
      <c r="F169" s="25" t="inlineStr">
        <is>
          <t>455200</t>
        </is>
      </c>
      <c r="G169" s="25" t="inlineStr">
        <is>
          <t>Verschuldigde lonen bedienden</t>
        </is>
      </c>
      <c r="H169" s="27" t="n">
        <v>1250</v>
      </c>
      <c r="I169" s="25" t="n"/>
      <c r="J169" s="25" t="n"/>
      <c r="K169" s="25" t="inlineStr">
        <is>
          <t>Nettolonen januari 2028 (loonstaten LW-LS-2028-0101 en -0102)</t>
        </is>
      </c>
    </row>
    <row r="170">
      <c r="A170" s="27" t="n">
        <v>169</v>
      </c>
      <c r="B170" s="25" t="inlineStr">
        <is>
          <t>BANK01</t>
        </is>
      </c>
      <c r="C170" s="25" t="inlineStr">
        <is>
          <t>J3U1</t>
        </is>
      </c>
      <c r="D170" s="26" t="n">
        <v>46783</v>
      </c>
      <c r="E170" s="25" t="inlineStr">
        <is>
          <t>Financiële verrichtingen</t>
        </is>
      </c>
      <c r="F170" s="25" t="inlineStr">
        <is>
          <t>550000</t>
        </is>
      </c>
      <c r="G170" s="25" t="inlineStr">
        <is>
          <t>Bankrekening</t>
        </is>
      </c>
      <c r="H170" s="25" t="n"/>
      <c r="I170" s="27" t="n">
        <v>3150</v>
      </c>
      <c r="J170" s="25" t="n"/>
      <c r="K170" s="25" t="inlineStr">
        <is>
          <t>Nettolonen januari 2028 (loonstaten LW-LS-2028-0101 en -0102)</t>
        </is>
      </c>
    </row>
    <row r="171">
      <c r="A171" s="27" t="n">
        <v>170</v>
      </c>
      <c r="B171" s="25" t="inlineStr">
        <is>
          <t>BANK02</t>
        </is>
      </c>
      <c r="C171" s="25" t="inlineStr">
        <is>
          <t>J3U2</t>
        </is>
      </c>
      <c r="D171" s="26" t="n">
        <v>46793</v>
      </c>
      <c r="E171" s="25" t="inlineStr">
        <is>
          <t>Financiële verrichtingen</t>
        </is>
      </c>
      <c r="F171" s="25" t="inlineStr">
        <is>
          <t>173000</t>
        </is>
      </c>
      <c r="G171" s="25" t="inlineStr">
        <is>
          <t>Schulden aan kredietinstellingen</t>
        </is>
      </c>
      <c r="H171" s="27" t="n">
        <v>1500</v>
      </c>
      <c r="I171" s="25" t="n"/>
      <c r="J171" s="25" t="n"/>
      <c r="K171" s="25" t="inlineStr">
        <is>
          <t>Aflossing lening nr. 2027-0042: kapitaal 1.500 + intrest 255</t>
        </is>
      </c>
    </row>
    <row r="172">
      <c r="A172" s="27" t="n">
        <v>171</v>
      </c>
      <c r="B172" s="25" t="inlineStr">
        <is>
          <t>BANK02</t>
        </is>
      </c>
      <c r="C172" s="25" t="inlineStr">
        <is>
          <t>J3U2</t>
        </is>
      </c>
      <c r="D172" s="26" t="n">
        <v>46793</v>
      </c>
      <c r="E172" s="25" t="inlineStr">
        <is>
          <t>Financiële verrichtingen</t>
        </is>
      </c>
      <c r="F172" s="25" t="inlineStr">
        <is>
          <t>650000</t>
        </is>
      </c>
      <c r="G172" s="25" t="inlineStr">
        <is>
          <t>Rente, commissies en kosten verbonden aan schulden</t>
        </is>
      </c>
      <c r="H172" s="27" t="n">
        <v>255</v>
      </c>
      <c r="I172" s="25" t="n"/>
      <c r="J172" s="25" t="n"/>
      <c r="K172" s="25" t="inlineStr">
        <is>
          <t>Aflossing lening nr. 2027-0042: kapitaal 1.500 + intrest 255</t>
        </is>
      </c>
    </row>
    <row r="173">
      <c r="A173" s="27" t="n">
        <v>172</v>
      </c>
      <c r="B173" s="25" t="inlineStr">
        <is>
          <t>BANK02</t>
        </is>
      </c>
      <c r="C173" s="25" t="inlineStr">
        <is>
          <t>J3U2</t>
        </is>
      </c>
      <c r="D173" s="26" t="n">
        <v>46793</v>
      </c>
      <c r="E173" s="25" t="inlineStr">
        <is>
          <t>Financiële verrichtingen</t>
        </is>
      </c>
      <c r="F173" s="25" t="inlineStr">
        <is>
          <t>550000</t>
        </is>
      </c>
      <c r="G173" s="25" t="inlineStr">
        <is>
          <t>Bankrekening</t>
        </is>
      </c>
      <c r="H173" s="25" t="n"/>
      <c r="I173" s="27" t="n">
        <v>1755</v>
      </c>
      <c r="J173" s="25" t="n"/>
      <c r="K173" s="25" t="inlineStr">
        <is>
          <t>Aflossing lening nr. 2027-0042: kapitaal 1.500 + intrest 255</t>
        </is>
      </c>
    </row>
    <row r="174">
      <c r="A174" s="27" t="n">
        <v>173</v>
      </c>
      <c r="B174" s="25" t="inlineStr">
        <is>
          <t>BANK02</t>
        </is>
      </c>
      <c r="C174" s="25" t="inlineStr">
        <is>
          <t>J3U2</t>
        </is>
      </c>
      <c r="D174" s="26" t="n">
        <v>46793</v>
      </c>
      <c r="E174" s="25" t="inlineStr">
        <is>
          <t>Financiële verrichtingen</t>
        </is>
      </c>
      <c r="F174" s="25" t="inlineStr">
        <is>
          <t>440000</t>
        </is>
      </c>
      <c r="G174" s="25" t="inlineStr">
        <is>
          <t>Leveranciers</t>
        </is>
      </c>
      <c r="H174" s="27" t="n">
        <v>1500</v>
      </c>
      <c r="I174" s="25" t="n"/>
      <c r="J174" s="25" t="inlineStr">
        <is>
          <t>Immo Vaartkom bv</t>
        </is>
      </c>
      <c r="K174" s="25" t="inlineStr">
        <is>
          <t>Domiciliëring Immo Vaartkom bv, huur februari-april 2028, factuur IV-2028-02</t>
        </is>
      </c>
    </row>
    <row r="175">
      <c r="A175" s="27" t="n">
        <v>174</v>
      </c>
      <c r="B175" s="25" t="inlineStr">
        <is>
          <t>BANK02</t>
        </is>
      </c>
      <c r="C175" s="25" t="inlineStr">
        <is>
          <t>J3U2</t>
        </is>
      </c>
      <c r="D175" s="26" t="n">
        <v>46793</v>
      </c>
      <c r="E175" s="25" t="inlineStr">
        <is>
          <t>Financiële verrichtingen</t>
        </is>
      </c>
      <c r="F175" s="25" t="inlineStr">
        <is>
          <t>550000</t>
        </is>
      </c>
      <c r="G175" s="25" t="inlineStr">
        <is>
          <t>Bankrekening</t>
        </is>
      </c>
      <c r="H175" s="25" t="n"/>
      <c r="I175" s="27" t="n">
        <v>1500</v>
      </c>
      <c r="J175" s="25" t="n"/>
      <c r="K175" s="25" t="inlineStr">
        <is>
          <t>Domiciliëring Immo Vaartkom bv, huur februari-april 2028, factuur IV-2028-02</t>
        </is>
      </c>
    </row>
    <row r="176">
      <c r="A176" s="27" t="n">
        <v>175</v>
      </c>
      <c r="B176" s="25" t="inlineStr">
        <is>
          <t>BANK02</t>
        </is>
      </c>
      <c r="C176" s="25" t="inlineStr">
        <is>
          <t>J3U2</t>
        </is>
      </c>
      <c r="D176" s="26" t="n">
        <v>46793</v>
      </c>
      <c r="E176" s="25" t="inlineStr">
        <is>
          <t>Financiële verrichtingen</t>
        </is>
      </c>
      <c r="F176" s="25" t="inlineStr">
        <is>
          <t>440000</t>
        </is>
      </c>
      <c r="G176" s="25" t="inlineStr">
        <is>
          <t>Leveranciers</t>
        </is>
      </c>
      <c r="H176" s="27" t="n">
        <v>16793</v>
      </c>
      <c r="I176" s="25" t="n"/>
      <c r="J176" s="25" t="inlineStr">
        <is>
          <t>Velomax bv</t>
        </is>
      </c>
      <c r="K176" s="25" t="inlineStr">
        <is>
          <t>Overschrijving naar Velomax bv, factuur 2028-047</t>
        </is>
      </c>
    </row>
    <row r="177">
      <c r="A177" s="27" t="n">
        <v>176</v>
      </c>
      <c r="B177" s="25" t="inlineStr">
        <is>
          <t>BANK02</t>
        </is>
      </c>
      <c r="C177" s="25" t="inlineStr">
        <is>
          <t>J3U2</t>
        </is>
      </c>
      <c r="D177" s="26" t="n">
        <v>46793</v>
      </c>
      <c r="E177" s="25" t="inlineStr">
        <is>
          <t>Financiële verrichtingen</t>
        </is>
      </c>
      <c r="F177" s="25" t="inlineStr">
        <is>
          <t>757000</t>
        </is>
      </c>
      <c r="G177" s="25" t="inlineStr">
        <is>
          <t>Betalingskortingen van leveranciers</t>
        </is>
      </c>
      <c r="H177" s="25" t="n"/>
      <c r="I177" s="27" t="n">
        <v>700</v>
      </c>
      <c r="J177" s="25" t="n"/>
      <c r="K177" s="25" t="inlineStr">
        <is>
          <t>Overschrijving naar Velomax bv, factuur 2028-047</t>
        </is>
      </c>
    </row>
    <row r="178">
      <c r="A178" s="27" t="n">
        <v>177</v>
      </c>
      <c r="B178" s="25" t="inlineStr">
        <is>
          <t>BANK02</t>
        </is>
      </c>
      <c r="C178" s="25" t="inlineStr">
        <is>
          <t>J3U2</t>
        </is>
      </c>
      <c r="D178" s="26" t="n">
        <v>46793</v>
      </c>
      <c r="E178" s="25" t="inlineStr">
        <is>
          <t>Financiële verrichtingen</t>
        </is>
      </c>
      <c r="F178" s="25" t="inlineStr">
        <is>
          <t>550000</t>
        </is>
      </c>
      <c r="G178" s="25" t="inlineStr">
        <is>
          <t>Bankrekening</t>
        </is>
      </c>
      <c r="H178" s="25" t="n"/>
      <c r="I178" s="27" t="n">
        <v>16093</v>
      </c>
      <c r="J178" s="25" t="n"/>
      <c r="K178" s="25" t="inlineStr">
        <is>
          <t>Overschrijving naar Velomax bv, factuur 2028-047</t>
        </is>
      </c>
    </row>
    <row r="179">
      <c r="A179" s="27" t="n">
        <v>178</v>
      </c>
      <c r="B179" s="25" t="inlineStr">
        <is>
          <t>BANK02</t>
        </is>
      </c>
      <c r="C179" s="25" t="inlineStr">
        <is>
          <t>J3U2</t>
        </is>
      </c>
      <c r="D179" s="26" t="n">
        <v>46793</v>
      </c>
      <c r="E179" s="25" t="inlineStr">
        <is>
          <t>Financiële verrichtingen</t>
        </is>
      </c>
      <c r="F179" s="25" t="inlineStr">
        <is>
          <t>440000</t>
        </is>
      </c>
      <c r="G179" s="25" t="inlineStr">
        <is>
          <t>Leveranciers</t>
        </is>
      </c>
      <c r="H179" s="27" t="n">
        <v>2100</v>
      </c>
      <c r="I179" s="25" t="n"/>
      <c r="J179" s="25" t="inlineStr">
        <is>
          <t>Loonwijs vzw</t>
        </is>
      </c>
      <c r="K179" s="25" t="inlineStr">
        <is>
          <t>Overschrijving naar Loonwijs vzw, factuur LW-2028-0131</t>
        </is>
      </c>
    </row>
    <row r="180">
      <c r="A180" s="27" t="n">
        <v>179</v>
      </c>
      <c r="B180" s="25" t="inlineStr">
        <is>
          <t>BANK02</t>
        </is>
      </c>
      <c r="C180" s="25" t="inlineStr">
        <is>
          <t>J3U2</t>
        </is>
      </c>
      <c r="D180" s="26" t="n">
        <v>46793</v>
      </c>
      <c r="E180" s="25" t="inlineStr">
        <is>
          <t>Financiële verrichtingen</t>
        </is>
      </c>
      <c r="F180" s="25" t="inlineStr">
        <is>
          <t>550000</t>
        </is>
      </c>
      <c r="G180" s="25" t="inlineStr">
        <is>
          <t>Bankrekening</t>
        </is>
      </c>
      <c r="H180" s="25" t="n"/>
      <c r="I180" s="27" t="n">
        <v>2100</v>
      </c>
      <c r="J180" s="25" t="n"/>
      <c r="K180" s="25" t="inlineStr">
        <is>
          <t>Overschrijving naar Loonwijs vzw, factuur LW-2028-0131</t>
        </is>
      </c>
    </row>
    <row r="181">
      <c r="A181" s="27" t="n">
        <v>180</v>
      </c>
      <c r="B181" s="25" t="inlineStr">
        <is>
          <t>BANK03</t>
        </is>
      </c>
      <c r="C181" s="25" t="inlineStr">
        <is>
          <t>J3U3</t>
        </is>
      </c>
      <c r="D181" s="26" t="n">
        <v>46805</v>
      </c>
      <c r="E181" s="25" t="inlineStr">
        <is>
          <t>Financiële verrichtingen</t>
        </is>
      </c>
      <c r="F181" s="25" t="inlineStr">
        <is>
          <t>440000</t>
        </is>
      </c>
      <c r="G181" s="25" t="inlineStr">
        <is>
          <t>Leveranciers</t>
        </is>
      </c>
      <c r="H181" s="27" t="n">
        <v>9596</v>
      </c>
      <c r="I181" s="25" t="n"/>
      <c r="J181" s="25" t="inlineStr">
        <is>
          <t>Velomax bv</t>
        </is>
      </c>
      <c r="K181" s="25" t="inlineStr">
        <is>
          <t>Overschrijving naar Velomax bv, factuur 2028-021</t>
        </is>
      </c>
    </row>
    <row r="182">
      <c r="A182" s="27" t="n">
        <v>181</v>
      </c>
      <c r="B182" s="25" t="inlineStr">
        <is>
          <t>BANK03</t>
        </is>
      </c>
      <c r="C182" s="25" t="inlineStr">
        <is>
          <t>J3U3</t>
        </is>
      </c>
      <c r="D182" s="26" t="n">
        <v>46805</v>
      </c>
      <c r="E182" s="25" t="inlineStr">
        <is>
          <t>Financiële verrichtingen</t>
        </is>
      </c>
      <c r="F182" s="25" t="inlineStr">
        <is>
          <t>550000</t>
        </is>
      </c>
      <c r="G182" s="25" t="inlineStr">
        <is>
          <t>Bankrekening</t>
        </is>
      </c>
      <c r="H182" s="25" t="n"/>
      <c r="I182" s="27" t="n">
        <v>9596</v>
      </c>
      <c r="J182" s="25" t="n"/>
      <c r="K182" s="25" t="inlineStr">
        <is>
          <t>Overschrijving naar Velomax bv, factuur 2028-021</t>
        </is>
      </c>
    </row>
    <row r="183">
      <c r="A183" s="27" t="n">
        <v>182</v>
      </c>
      <c r="B183" s="25" t="inlineStr">
        <is>
          <t>BANK03</t>
        </is>
      </c>
      <c r="C183" s="25" t="inlineStr">
        <is>
          <t>J3U3</t>
        </is>
      </c>
      <c r="D183" s="26" t="n">
        <v>46805</v>
      </c>
      <c r="E183" s="25" t="inlineStr">
        <is>
          <t>Financiële verrichtingen</t>
        </is>
      </c>
      <c r="F183" s="25" t="inlineStr">
        <is>
          <t>550000</t>
        </is>
      </c>
      <c r="G183" s="25" t="inlineStr">
        <is>
          <t>Bankrekening</t>
        </is>
      </c>
      <c r="H183" s="27" t="n">
        <v>4477</v>
      </c>
      <c r="I183" s="25" t="n"/>
      <c r="J183" s="25" t="n"/>
      <c r="K183" s="25" t="inlineStr">
        <is>
          <t>Overschrijving van Bouwbedrijf Janssens &amp; Zonen bv, factuur 2028-004 - creditnota CN-2028-001</t>
        </is>
      </c>
    </row>
    <row r="184">
      <c r="A184" s="27" t="n">
        <v>183</v>
      </c>
      <c r="B184" s="25" t="inlineStr">
        <is>
          <t>BANK03</t>
        </is>
      </c>
      <c r="C184" s="25" t="inlineStr">
        <is>
          <t>J3U3</t>
        </is>
      </c>
      <c r="D184" s="26" t="n">
        <v>46805</v>
      </c>
      <c r="E184" s="25" t="inlineStr">
        <is>
          <t>Financiële verrichtingen</t>
        </is>
      </c>
      <c r="F184" s="25" t="inlineStr">
        <is>
          <t>400000</t>
        </is>
      </c>
      <c r="G184" s="25" t="inlineStr">
        <is>
          <t>Handelsdebiteuren</t>
        </is>
      </c>
      <c r="H184" s="25" t="n"/>
      <c r="I184" s="27" t="n">
        <v>4477</v>
      </c>
      <c r="J184" s="25" t="inlineStr">
        <is>
          <t>Bouwbedrijf Janssens &amp; Zonen bv</t>
        </is>
      </c>
      <c r="K184" s="25" t="inlineStr">
        <is>
          <t>Overschrijving van Bouwbedrijf Janssens &amp; Zonen bv, factuur 2028-004 - creditnota CN-2028-001</t>
        </is>
      </c>
    </row>
    <row r="185">
      <c r="A185" s="27" t="n">
        <v>184</v>
      </c>
      <c r="B185" s="25" t="inlineStr">
        <is>
          <t>BANK03</t>
        </is>
      </c>
      <c r="C185" s="25" t="inlineStr">
        <is>
          <t>J3U3</t>
        </is>
      </c>
      <c r="D185" s="26" t="n">
        <v>46805</v>
      </c>
      <c r="E185" s="25" t="inlineStr">
        <is>
          <t>Financiële verrichtingen</t>
        </is>
      </c>
      <c r="F185" s="25" t="inlineStr">
        <is>
          <t>440000</t>
        </is>
      </c>
      <c r="G185" s="25" t="inlineStr">
        <is>
          <t>Leveranciers</t>
        </is>
      </c>
      <c r="H185" s="27" t="n">
        <v>2399</v>
      </c>
      <c r="I185" s="25" t="n"/>
      <c r="J185" s="25" t="inlineStr">
        <is>
          <t>Velomax bv</t>
        </is>
      </c>
      <c r="K185" s="25" t="inlineStr">
        <is>
          <t>Overschrijving naar Velomax bv, factuur 2028-066</t>
        </is>
      </c>
    </row>
    <row r="186">
      <c r="A186" s="27" t="n">
        <v>185</v>
      </c>
      <c r="B186" s="25" t="inlineStr">
        <is>
          <t>BANK03</t>
        </is>
      </c>
      <c r="C186" s="25" t="inlineStr">
        <is>
          <t>J3U3</t>
        </is>
      </c>
      <c r="D186" s="26" t="n">
        <v>46805</v>
      </c>
      <c r="E186" s="25" t="inlineStr">
        <is>
          <t>Financiële verrichtingen</t>
        </is>
      </c>
      <c r="F186" s="25" t="inlineStr">
        <is>
          <t>757000</t>
        </is>
      </c>
      <c r="G186" s="25" t="inlineStr">
        <is>
          <t>Betalingskortingen van leveranciers</t>
        </is>
      </c>
      <c r="H186" s="25" t="n"/>
      <c r="I186" s="27" t="n">
        <v>100</v>
      </c>
      <c r="J186" s="25" t="n"/>
      <c r="K186" s="25" t="inlineStr">
        <is>
          <t>Overschrijving naar Velomax bv, factuur 2028-066</t>
        </is>
      </c>
    </row>
    <row r="187">
      <c r="A187" s="27" t="n">
        <v>186</v>
      </c>
      <c r="B187" s="25" t="inlineStr">
        <is>
          <t>BANK03</t>
        </is>
      </c>
      <c r="C187" s="25" t="inlineStr">
        <is>
          <t>J3U3</t>
        </is>
      </c>
      <c r="D187" s="26" t="n">
        <v>46805</v>
      </c>
      <c r="E187" s="25" t="inlineStr">
        <is>
          <t>Financiële verrichtingen</t>
        </is>
      </c>
      <c r="F187" s="25" t="inlineStr">
        <is>
          <t>550000</t>
        </is>
      </c>
      <c r="G187" s="25" t="inlineStr">
        <is>
          <t>Bankrekening</t>
        </is>
      </c>
      <c r="H187" s="25" t="n"/>
      <c r="I187" s="27" t="n">
        <v>2299</v>
      </c>
      <c r="J187" s="25" t="n"/>
      <c r="K187" s="25" t="inlineStr">
        <is>
          <t>Overschrijving naar Velomax bv, factuur 2028-066</t>
        </is>
      </c>
    </row>
    <row r="188">
      <c r="A188" s="27" t="n">
        <v>187</v>
      </c>
      <c r="B188" s="25" t="inlineStr">
        <is>
          <t>BANK04</t>
        </is>
      </c>
      <c r="C188" s="25" t="inlineStr">
        <is>
          <t>J3U4</t>
        </is>
      </c>
      <c r="D188" s="26" t="n">
        <v>46822</v>
      </c>
      <c r="E188" s="25" t="inlineStr">
        <is>
          <t>Financiële verrichtingen</t>
        </is>
      </c>
      <c r="F188" s="25" t="inlineStr">
        <is>
          <t>455300</t>
        </is>
      </c>
      <c r="G188" s="25" t="inlineStr">
        <is>
          <t>Verschuldigde lonen arbeiders</t>
        </is>
      </c>
      <c r="H188" s="27" t="n">
        <v>2020</v>
      </c>
      <c r="I188" s="25" t="n"/>
      <c r="J188" s="25" t="n"/>
      <c r="K188" s="25" t="inlineStr">
        <is>
          <t>Nettolonen februari 2028 (loonstaten LW-LS-2028-0201 en -0202)</t>
        </is>
      </c>
    </row>
    <row r="189">
      <c r="A189" s="27" t="n">
        <v>188</v>
      </c>
      <c r="B189" s="25" t="inlineStr">
        <is>
          <t>BANK04</t>
        </is>
      </c>
      <c r="C189" s="25" t="inlineStr">
        <is>
          <t>J3U4</t>
        </is>
      </c>
      <c r="D189" s="26" t="n">
        <v>46822</v>
      </c>
      <c r="E189" s="25" t="inlineStr">
        <is>
          <t>Financiële verrichtingen</t>
        </is>
      </c>
      <c r="F189" s="25" t="inlineStr">
        <is>
          <t>455200</t>
        </is>
      </c>
      <c r="G189" s="25" t="inlineStr">
        <is>
          <t>Verschuldigde lonen bedienden</t>
        </is>
      </c>
      <c r="H189" s="27" t="n">
        <v>1370</v>
      </c>
      <c r="I189" s="25" t="n"/>
      <c r="J189" s="25" t="n"/>
      <c r="K189" s="25" t="inlineStr">
        <is>
          <t>Nettolonen februari 2028 (loonstaten LW-LS-2028-0201 en -0202)</t>
        </is>
      </c>
    </row>
    <row r="190">
      <c r="A190" s="27" t="n">
        <v>189</v>
      </c>
      <c r="B190" s="25" t="inlineStr">
        <is>
          <t>BANK04</t>
        </is>
      </c>
      <c r="C190" s="25" t="inlineStr">
        <is>
          <t>J3U4</t>
        </is>
      </c>
      <c r="D190" s="26" t="n">
        <v>46822</v>
      </c>
      <c r="E190" s="25" t="inlineStr">
        <is>
          <t>Financiële verrichtingen</t>
        </is>
      </c>
      <c r="F190" s="25" t="inlineStr">
        <is>
          <t>550000</t>
        </is>
      </c>
      <c r="G190" s="25" t="inlineStr">
        <is>
          <t>Bankrekening</t>
        </is>
      </c>
      <c r="H190" s="25" t="n"/>
      <c r="I190" s="27" t="n">
        <v>3390</v>
      </c>
      <c r="J190" s="25" t="n"/>
      <c r="K190" s="25" t="inlineStr">
        <is>
          <t>Nettolonen februari 2028 (loonstaten LW-LS-2028-0201 en -0202)</t>
        </is>
      </c>
    </row>
    <row r="191">
      <c r="A191" s="27" t="n">
        <v>190</v>
      </c>
      <c r="B191" s="25" t="inlineStr">
        <is>
          <t>BANK04</t>
        </is>
      </c>
      <c r="C191" s="25" t="inlineStr">
        <is>
          <t>J3U4</t>
        </is>
      </c>
      <c r="D191" s="26" t="n">
        <v>46822</v>
      </c>
      <c r="E191" s="25" t="inlineStr">
        <is>
          <t>Financiële verrichtingen</t>
        </is>
      </c>
      <c r="F191" s="25" t="inlineStr">
        <is>
          <t>550000</t>
        </is>
      </c>
      <c r="G191" s="25" t="inlineStr">
        <is>
          <t>Bankrekening</t>
        </is>
      </c>
      <c r="H191" s="27" t="n">
        <v>5566</v>
      </c>
      <c r="I191" s="25" t="n"/>
      <c r="J191" s="25" t="n"/>
      <c r="K191" s="25" t="inlineStr">
        <is>
          <t>Overschrijving van Camping De Vlinder bv, factuur 2028-005 - creditnota CN-2028-002</t>
        </is>
      </c>
    </row>
    <row r="192">
      <c r="A192" s="27" t="n">
        <v>191</v>
      </c>
      <c r="B192" s="25" t="inlineStr">
        <is>
          <t>BANK04</t>
        </is>
      </c>
      <c r="C192" s="25" t="inlineStr">
        <is>
          <t>J3U4</t>
        </is>
      </c>
      <c r="D192" s="26" t="n">
        <v>46822</v>
      </c>
      <c r="E192" s="25" t="inlineStr">
        <is>
          <t>Financiële verrichtingen</t>
        </is>
      </c>
      <c r="F192" s="25" t="inlineStr">
        <is>
          <t>400000</t>
        </is>
      </c>
      <c r="G192" s="25" t="inlineStr">
        <is>
          <t>Handelsdebiteuren</t>
        </is>
      </c>
      <c r="H192" s="25" t="n"/>
      <c r="I192" s="27" t="n">
        <v>5566</v>
      </c>
      <c r="J192" s="25" t="inlineStr">
        <is>
          <t>Camping De Vlinder bv</t>
        </is>
      </c>
      <c r="K192" s="25" t="inlineStr">
        <is>
          <t>Overschrijving van Camping De Vlinder bv, factuur 2028-005 - creditnota CN-2028-002</t>
        </is>
      </c>
    </row>
    <row r="193">
      <c r="A193" s="27" t="n">
        <v>192</v>
      </c>
      <c r="B193" s="25" t="inlineStr">
        <is>
          <t>BANK04</t>
        </is>
      </c>
      <c r="C193" s="25" t="inlineStr">
        <is>
          <t>J3U4</t>
        </is>
      </c>
      <c r="D193" s="26" t="n">
        <v>46822</v>
      </c>
      <c r="E193" s="25" t="inlineStr">
        <is>
          <t>Financiële verrichtingen</t>
        </is>
      </c>
      <c r="F193" s="25" t="inlineStr">
        <is>
          <t>440000</t>
        </is>
      </c>
      <c r="G193" s="25" t="inlineStr">
        <is>
          <t>Leveranciers</t>
        </is>
      </c>
      <c r="H193" s="27" t="n">
        <v>2520</v>
      </c>
      <c r="I193" s="25" t="n"/>
      <c r="J193" s="25" t="inlineStr">
        <is>
          <t>Velomax bv</t>
        </is>
      </c>
      <c r="K193" s="25" t="inlineStr">
        <is>
          <t>Overschrijving naar Velomax bv, factuur 2028-058 - creditnota CN-2028-006</t>
        </is>
      </c>
    </row>
    <row r="194">
      <c r="A194" s="27" t="n">
        <v>193</v>
      </c>
      <c r="B194" s="25" t="inlineStr">
        <is>
          <t>BANK04</t>
        </is>
      </c>
      <c r="C194" s="25" t="inlineStr">
        <is>
          <t>J3U4</t>
        </is>
      </c>
      <c r="D194" s="26" t="n">
        <v>46822</v>
      </c>
      <c r="E194" s="25" t="inlineStr">
        <is>
          <t>Financiële verrichtingen</t>
        </is>
      </c>
      <c r="F194" s="25" t="inlineStr">
        <is>
          <t>550000</t>
        </is>
      </c>
      <c r="G194" s="25" t="inlineStr">
        <is>
          <t>Bankrekening</t>
        </is>
      </c>
      <c r="H194" s="25" t="n"/>
      <c r="I194" s="27" t="n">
        <v>2520</v>
      </c>
      <c r="J194" s="25" t="n"/>
      <c r="K194" s="25" t="inlineStr">
        <is>
          <t>Overschrijving naar Velomax bv, factuur 2028-058 - creditnota CN-2028-006</t>
        </is>
      </c>
    </row>
    <row r="195">
      <c r="A195" s="27" t="n">
        <v>194</v>
      </c>
      <c r="B195" s="25" t="inlineStr">
        <is>
          <t>BANK04</t>
        </is>
      </c>
      <c r="C195" s="25" t="inlineStr">
        <is>
          <t>J3U4</t>
        </is>
      </c>
      <c r="D195" s="26" t="n">
        <v>46822</v>
      </c>
      <c r="E195" s="25" t="inlineStr">
        <is>
          <t>Financiële verrichtingen</t>
        </is>
      </c>
      <c r="F195" s="25" t="inlineStr">
        <is>
          <t>550000</t>
        </is>
      </c>
      <c r="G195" s="25" t="inlineStr">
        <is>
          <t>Bankrekening</t>
        </is>
      </c>
      <c r="H195" s="27" t="n">
        <v>11858</v>
      </c>
      <c r="I195" s="25" t="n"/>
      <c r="J195" s="25" t="n"/>
      <c r="K195" s="25" t="inlineStr">
        <is>
          <t>Overschrijving van Woonzorgcentrum Zonnehof vzw, factuur 2028-011</t>
        </is>
      </c>
    </row>
    <row r="196">
      <c r="A196" s="27" t="n">
        <v>195</v>
      </c>
      <c r="B196" s="25" t="inlineStr">
        <is>
          <t>BANK04</t>
        </is>
      </c>
      <c r="C196" s="25" t="inlineStr">
        <is>
          <t>J3U4</t>
        </is>
      </c>
      <c r="D196" s="26" t="n">
        <v>46822</v>
      </c>
      <c r="E196" s="25" t="inlineStr">
        <is>
          <t>Financiële verrichtingen</t>
        </is>
      </c>
      <c r="F196" s="25" t="inlineStr">
        <is>
          <t>657000</t>
        </is>
      </c>
      <c r="G196" s="25" t="inlineStr">
        <is>
          <t>Betalingskortingen aan klanten</t>
        </is>
      </c>
      <c r="H196" s="27" t="n">
        <v>200</v>
      </c>
      <c r="I196" s="25" t="n"/>
      <c r="J196" s="25" t="n"/>
      <c r="K196" s="25" t="inlineStr">
        <is>
          <t>Overschrijving van Woonzorgcentrum Zonnehof vzw, factuur 2028-011</t>
        </is>
      </c>
    </row>
    <row r="197">
      <c r="A197" s="27" t="n">
        <v>196</v>
      </c>
      <c r="B197" s="25" t="inlineStr">
        <is>
          <t>BANK04</t>
        </is>
      </c>
      <c r="C197" s="25" t="inlineStr">
        <is>
          <t>J3U4</t>
        </is>
      </c>
      <c r="D197" s="26" t="n">
        <v>46822</v>
      </c>
      <c r="E197" s="25" t="inlineStr">
        <is>
          <t>Financiële verrichtingen</t>
        </is>
      </c>
      <c r="F197" s="25" t="inlineStr">
        <is>
          <t>400000</t>
        </is>
      </c>
      <c r="G197" s="25" t="inlineStr">
        <is>
          <t>Handelsdebiteuren</t>
        </is>
      </c>
      <c r="H197" s="25" t="n"/>
      <c r="I197" s="27" t="n">
        <v>12058</v>
      </c>
      <c r="J197" s="25" t="inlineStr">
        <is>
          <t>Woonzorgcentrum Zonnehof vzw</t>
        </is>
      </c>
      <c r="K197" s="25" t="inlineStr">
        <is>
          <t>Overschrijving van Woonzorgcentrum Zonnehof vzw, factuur 2028-011</t>
        </is>
      </c>
    </row>
    <row r="198">
      <c r="A198" s="27" t="n">
        <v>197</v>
      </c>
      <c r="B198" s="25" t="inlineStr">
        <is>
          <t>BANK04</t>
        </is>
      </c>
      <c r="C198" s="25" t="inlineStr">
        <is>
          <t>J3U4</t>
        </is>
      </c>
      <c r="D198" s="26" t="n">
        <v>46822</v>
      </c>
      <c r="E198" s="25" t="inlineStr">
        <is>
          <t>Financiële verrichtingen</t>
        </is>
      </c>
      <c r="F198" s="25" t="inlineStr">
        <is>
          <t>440000</t>
        </is>
      </c>
      <c r="G198" s="25" t="inlineStr">
        <is>
          <t>Leveranciers</t>
        </is>
      </c>
      <c r="H198" s="27" t="n">
        <v>2360</v>
      </c>
      <c r="I198" s="25" t="n"/>
      <c r="J198" s="25" t="inlineStr">
        <is>
          <t>Loonwijs vzw</t>
        </is>
      </c>
      <c r="K198" s="25" t="inlineStr">
        <is>
          <t>Overschrijving naar Loonwijs vzw, factuur LW-2028-0229</t>
        </is>
      </c>
    </row>
    <row r="199">
      <c r="A199" s="27" t="n">
        <v>198</v>
      </c>
      <c r="B199" s="25" t="inlineStr">
        <is>
          <t>BANK04</t>
        </is>
      </c>
      <c r="C199" s="25" t="inlineStr">
        <is>
          <t>J3U4</t>
        </is>
      </c>
      <c r="D199" s="26" t="n">
        <v>46822</v>
      </c>
      <c r="E199" s="25" t="inlineStr">
        <is>
          <t>Financiële verrichtingen</t>
        </is>
      </c>
      <c r="F199" s="25" t="inlineStr">
        <is>
          <t>550000</t>
        </is>
      </c>
      <c r="G199" s="25" t="inlineStr">
        <is>
          <t>Bankrekening</t>
        </is>
      </c>
      <c r="H199" s="25" t="n"/>
      <c r="I199" s="27" t="n">
        <v>2360</v>
      </c>
      <c r="J199" s="25" t="n"/>
      <c r="K199" s="25" t="inlineStr">
        <is>
          <t>Overschrijving naar Loonwijs vzw, factuur LW-2028-0229</t>
        </is>
      </c>
    </row>
    <row r="200">
      <c r="A200" s="27" t="n">
        <v>199</v>
      </c>
      <c r="B200" s="25" t="inlineStr">
        <is>
          <t>BANK05</t>
        </is>
      </c>
      <c r="C200" s="25" t="inlineStr">
        <is>
          <t>J3U5</t>
        </is>
      </c>
      <c r="D200" s="26" t="n">
        <v>46843</v>
      </c>
      <c r="E200" s="25" t="inlineStr">
        <is>
          <t>Financiële verrichtingen</t>
        </is>
      </c>
      <c r="F200" s="25" t="inlineStr">
        <is>
          <t>550000</t>
        </is>
      </c>
      <c r="G200" s="25" t="inlineStr">
        <is>
          <t>Bankrekening</t>
        </is>
      </c>
      <c r="H200" s="27" t="n">
        <v>3000</v>
      </c>
      <c r="I200" s="25" t="n"/>
      <c r="J200" s="25" t="n"/>
      <c r="K200" s="25" t="inlineStr">
        <is>
          <t>Bancontact-ontvangsten 18/03/2028</t>
        </is>
      </c>
    </row>
    <row r="201">
      <c r="A201" s="27" t="n">
        <v>200</v>
      </c>
      <c r="B201" s="25" t="inlineStr">
        <is>
          <t>BANK05</t>
        </is>
      </c>
      <c r="C201" s="25" t="inlineStr">
        <is>
          <t>J3U5</t>
        </is>
      </c>
      <c r="D201" s="26" t="n">
        <v>46843</v>
      </c>
      <c r="E201" s="25" t="inlineStr">
        <is>
          <t>Financiële verrichtingen</t>
        </is>
      </c>
      <c r="F201" s="25" t="inlineStr">
        <is>
          <t>400000</t>
        </is>
      </c>
      <c r="G201" s="25" t="inlineStr">
        <is>
          <t>Handelsdebiteuren</t>
        </is>
      </c>
      <c r="H201" s="25" t="n"/>
      <c r="I201" s="27" t="n">
        <v>3000</v>
      </c>
      <c r="J201" s="25" t="inlineStr">
        <is>
          <t>particulieren (kasticket)</t>
        </is>
      </c>
      <c r="K201" s="25" t="inlineStr">
        <is>
          <t>Bancontact-ontvangsten 18/03/2028</t>
        </is>
      </c>
    </row>
    <row r="202">
      <c r="A202" s="27" t="n">
        <v>201</v>
      </c>
      <c r="B202" s="25" t="inlineStr">
        <is>
          <t>BANK05</t>
        </is>
      </c>
      <c r="C202" s="25" t="inlineStr">
        <is>
          <t>J3U5</t>
        </is>
      </c>
      <c r="D202" s="26" t="n">
        <v>46843</v>
      </c>
      <c r="E202" s="25" t="inlineStr">
        <is>
          <t>Financiële verrichtingen</t>
        </is>
      </c>
      <c r="F202" s="25" t="inlineStr">
        <is>
          <t>550000</t>
        </is>
      </c>
      <c r="G202" s="25" t="inlineStr">
        <is>
          <t>Bankrekening</t>
        </is>
      </c>
      <c r="H202" s="27" t="n">
        <v>3500</v>
      </c>
      <c r="I202" s="25" t="n"/>
      <c r="J202" s="25" t="n"/>
      <c r="K202" s="25" t="inlineStr">
        <is>
          <t>Storting contanten</t>
        </is>
      </c>
    </row>
    <row r="203">
      <c r="A203" s="27" t="n">
        <v>202</v>
      </c>
      <c r="B203" s="25" t="inlineStr">
        <is>
          <t>BANK05</t>
        </is>
      </c>
      <c r="C203" s="25" t="inlineStr">
        <is>
          <t>J3U5</t>
        </is>
      </c>
      <c r="D203" s="26" t="n">
        <v>46843</v>
      </c>
      <c r="E203" s="25" t="inlineStr">
        <is>
          <t>Financiële verrichtingen</t>
        </is>
      </c>
      <c r="F203" s="25" t="inlineStr">
        <is>
          <t>580000</t>
        </is>
      </c>
      <c r="G203" s="25" t="inlineStr">
        <is>
          <t>Interne overboekingen</t>
        </is>
      </c>
      <c r="H203" s="25" t="n"/>
      <c r="I203" s="27" t="n">
        <v>3500</v>
      </c>
      <c r="J203" s="25" t="n"/>
      <c r="K203" s="25" t="inlineStr">
        <is>
          <t>Storting contanten</t>
        </is>
      </c>
    </row>
    <row r="204">
      <c r="A204" s="27" t="n">
        <v>203</v>
      </c>
      <c r="B204" s="25" t="inlineStr">
        <is>
          <t>BANK05</t>
        </is>
      </c>
      <c r="C204" s="25" t="inlineStr">
        <is>
          <t>J3U5</t>
        </is>
      </c>
      <c r="D204" s="26" t="n">
        <v>46843</v>
      </c>
      <c r="E204" s="25" t="inlineStr">
        <is>
          <t>Financiële verrichtingen</t>
        </is>
      </c>
      <c r="F204" s="25" t="inlineStr">
        <is>
          <t>550000</t>
        </is>
      </c>
      <c r="G204" s="25" t="inlineStr">
        <is>
          <t>Bankrekening</t>
        </is>
      </c>
      <c r="H204" s="27" t="n">
        <v>2399</v>
      </c>
      <c r="I204" s="25" t="n"/>
      <c r="J204" s="25" t="n"/>
      <c r="K204" s="25" t="inlineStr">
        <is>
          <t>Overschrijving van Studio Kowalski bv, factuur 2028-013</t>
        </is>
      </c>
    </row>
    <row r="205">
      <c r="A205" s="27" t="n">
        <v>204</v>
      </c>
      <c r="B205" s="25" t="inlineStr">
        <is>
          <t>BANK05</t>
        </is>
      </c>
      <c r="C205" s="25" t="inlineStr">
        <is>
          <t>J3U5</t>
        </is>
      </c>
      <c r="D205" s="26" t="n">
        <v>46843</v>
      </c>
      <c r="E205" s="25" t="inlineStr">
        <is>
          <t>Financiële verrichtingen</t>
        </is>
      </c>
      <c r="F205" s="25" t="inlineStr">
        <is>
          <t>400000</t>
        </is>
      </c>
      <c r="G205" s="25" t="inlineStr">
        <is>
          <t>Handelsdebiteuren</t>
        </is>
      </c>
      <c r="H205" s="25" t="n"/>
      <c r="I205" s="27" t="n">
        <v>2399</v>
      </c>
      <c r="J205" s="25" t="inlineStr">
        <is>
          <t>Studio Kowalski bv</t>
        </is>
      </c>
      <c r="K205" s="25" t="inlineStr">
        <is>
          <t>Overschrijving van Studio Kowalski bv, factuur 2028-013</t>
        </is>
      </c>
    </row>
    <row r="206">
      <c r="A206" s="27" t="n">
        <v>205</v>
      </c>
      <c r="B206" s="25" t="inlineStr">
        <is>
          <t>BANK05</t>
        </is>
      </c>
      <c r="C206" s="25" t="inlineStr">
        <is>
          <t>J3U5</t>
        </is>
      </c>
      <c r="D206" s="26" t="n">
        <v>46843</v>
      </c>
      <c r="E206" s="25" t="inlineStr">
        <is>
          <t>Financiële verrichtingen</t>
        </is>
      </c>
      <c r="F206" s="25" t="inlineStr">
        <is>
          <t>455300</t>
        </is>
      </c>
      <c r="G206" s="25" t="inlineStr">
        <is>
          <t>Verschuldigde lonen arbeiders</t>
        </is>
      </c>
      <c r="H206" s="27" t="n">
        <v>1960</v>
      </c>
      <c r="I206" s="25" t="n"/>
      <c r="J206" s="25" t="n"/>
      <c r="K206" s="25" t="inlineStr">
        <is>
          <t>Nettolonen maart 2028 (loonstaten LW-LS-2028-0301 en -0302)</t>
        </is>
      </c>
    </row>
    <row r="207">
      <c r="A207" s="27" t="n">
        <v>206</v>
      </c>
      <c r="B207" s="25" t="inlineStr">
        <is>
          <t>BANK05</t>
        </is>
      </c>
      <c r="C207" s="25" t="inlineStr">
        <is>
          <t>J3U5</t>
        </is>
      </c>
      <c r="D207" s="26" t="n">
        <v>46843</v>
      </c>
      <c r="E207" s="25" t="inlineStr">
        <is>
          <t>Financiële verrichtingen</t>
        </is>
      </c>
      <c r="F207" s="25" t="inlineStr">
        <is>
          <t>455200</t>
        </is>
      </c>
      <c r="G207" s="25" t="inlineStr">
        <is>
          <t>Verschuldigde lonen bedienden</t>
        </is>
      </c>
      <c r="H207" s="27" t="n">
        <v>1320</v>
      </c>
      <c r="I207" s="25" t="n"/>
      <c r="J207" s="25" t="n"/>
      <c r="K207" s="25" t="inlineStr">
        <is>
          <t>Nettolonen maart 2028 (loonstaten LW-LS-2028-0301 en -0302)</t>
        </is>
      </c>
    </row>
    <row r="208">
      <c r="A208" s="27" t="n">
        <v>207</v>
      </c>
      <c r="B208" s="25" t="inlineStr">
        <is>
          <t>BANK05</t>
        </is>
      </c>
      <c r="C208" s="25" t="inlineStr">
        <is>
          <t>J3U5</t>
        </is>
      </c>
      <c r="D208" s="26" t="n">
        <v>46843</v>
      </c>
      <c r="E208" s="25" t="inlineStr">
        <is>
          <t>Financiële verrichtingen</t>
        </is>
      </c>
      <c r="F208" s="25" t="inlineStr">
        <is>
          <t>550000</t>
        </is>
      </c>
      <c r="G208" s="25" t="inlineStr">
        <is>
          <t>Bankrekening</t>
        </is>
      </c>
      <c r="H208" s="25" t="n"/>
      <c r="I208" s="27" t="n">
        <v>3280</v>
      </c>
      <c r="J208" s="25" t="n"/>
      <c r="K208" s="25" t="inlineStr">
        <is>
          <t>Nettolonen maart 2028 (loonstaten LW-LS-2028-0301 en -0302)</t>
        </is>
      </c>
    </row>
    <row r="209">
      <c r="A209" s="30" t="n">
        <v>208</v>
      </c>
      <c r="B209" s="28" t="inlineStr">
        <is>
          <t>BTW</t>
        </is>
      </c>
      <c r="C209" s="28" t="inlineStr">
        <is>
          <t>J3BTW</t>
        </is>
      </c>
      <c r="D209" s="29" t="n">
        <v>46843</v>
      </c>
      <c r="E209" s="28" t="inlineStr">
        <is>
          <t>BTW-verwerking</t>
        </is>
      </c>
      <c r="F209" s="28" t="inlineStr">
        <is>
          <t>451100</t>
        </is>
      </c>
      <c r="G209" s="28" t="inlineStr">
        <is>
          <t>Verschuldigde btw</t>
        </is>
      </c>
      <c r="H209" s="30" t="n">
        <v>12948</v>
      </c>
      <c r="I209" s="28" t="n"/>
      <c r="J209" s="28" t="n"/>
      <c r="K209" s="28" t="inlineStr">
        <is>
          <t>Btw-verwerking 1e kwartaal 2028</t>
        </is>
      </c>
    </row>
    <row r="210">
      <c r="A210" s="30" t="n">
        <v>209</v>
      </c>
      <c r="B210" s="28" t="inlineStr">
        <is>
          <t>BTW</t>
        </is>
      </c>
      <c r="C210" s="28" t="inlineStr">
        <is>
          <t>J3BTW</t>
        </is>
      </c>
      <c r="D210" s="29" t="n">
        <v>46843</v>
      </c>
      <c r="E210" s="28" t="inlineStr">
        <is>
          <t>BTW-verwerking</t>
        </is>
      </c>
      <c r="F210" s="28" t="inlineStr">
        <is>
          <t>451200</t>
        </is>
      </c>
      <c r="G210" s="28" t="inlineStr">
        <is>
          <t>Verschuldigde btw op inkomende creditnota’s</t>
        </is>
      </c>
      <c r="H210" s="30" t="n">
        <v>756</v>
      </c>
      <c r="I210" s="28" t="n"/>
      <c r="J210" s="28" t="n"/>
      <c r="K210" s="28" t="inlineStr">
        <is>
          <t>Btw-verwerking 1e kwartaal 2028</t>
        </is>
      </c>
    </row>
    <row r="211">
      <c r="A211" s="30" t="n">
        <v>210</v>
      </c>
      <c r="B211" s="28" t="inlineStr">
        <is>
          <t>BTW</t>
        </is>
      </c>
      <c r="C211" s="28" t="inlineStr">
        <is>
          <t>J3BTW</t>
        </is>
      </c>
      <c r="D211" s="29" t="n">
        <v>46843</v>
      </c>
      <c r="E211" s="28" t="inlineStr">
        <is>
          <t>BTW-verwerking</t>
        </is>
      </c>
      <c r="F211" s="28" t="inlineStr">
        <is>
          <t>411100</t>
        </is>
      </c>
      <c r="G211" s="28" t="inlineStr">
        <is>
          <t>Aftrekbare btw</t>
        </is>
      </c>
      <c r="H211" s="28" t="n"/>
      <c r="I211" s="30" t="n">
        <v>8841</v>
      </c>
      <c r="J211" s="28" t="n"/>
      <c r="K211" s="28" t="inlineStr">
        <is>
          <t>Btw-verwerking 1e kwartaal 2028</t>
        </is>
      </c>
    </row>
    <row r="212">
      <c r="A212" s="30" t="n">
        <v>211</v>
      </c>
      <c r="B212" s="28" t="inlineStr">
        <is>
          <t>BTW</t>
        </is>
      </c>
      <c r="C212" s="28" t="inlineStr">
        <is>
          <t>J3BTW</t>
        </is>
      </c>
      <c r="D212" s="29" t="n">
        <v>46843</v>
      </c>
      <c r="E212" s="28" t="inlineStr">
        <is>
          <t>BTW-verwerking</t>
        </is>
      </c>
      <c r="F212" s="28" t="inlineStr">
        <is>
          <t>411200</t>
        </is>
      </c>
      <c r="G212" s="28" t="inlineStr">
        <is>
          <t>Aftrekbare btw op uitgaande creditnota’s</t>
        </is>
      </c>
      <c r="H212" s="28" t="n"/>
      <c r="I212" s="30" t="n">
        <v>378</v>
      </c>
      <c r="J212" s="28" t="n"/>
      <c r="K212" s="28" t="inlineStr">
        <is>
          <t>Btw-verwerking 1e kwartaal 2028</t>
        </is>
      </c>
    </row>
    <row r="213">
      <c r="A213" s="30" t="n">
        <v>212</v>
      </c>
      <c r="B213" s="28" t="inlineStr">
        <is>
          <t>BTW</t>
        </is>
      </c>
      <c r="C213" s="28" t="inlineStr">
        <is>
          <t>J3BTW</t>
        </is>
      </c>
      <c r="D213" s="29" t="n">
        <v>46843</v>
      </c>
      <c r="E213" s="28" t="inlineStr">
        <is>
          <t>BTW-verwerking</t>
        </is>
      </c>
      <c r="F213" s="28" t="inlineStr">
        <is>
          <t>411000</t>
        </is>
      </c>
      <c r="G213" s="28" t="inlineStr">
        <is>
          <t>Terug te vorderen btw-saldo</t>
        </is>
      </c>
      <c r="H213" s="28" t="n"/>
      <c r="I213" s="30" t="n">
        <v>1803</v>
      </c>
      <c r="J213" s="28" t="n"/>
      <c r="K213" s="28" t="inlineStr">
        <is>
          <t>Btw-tegoed van het 4e kwartaal 2027 verrekend</t>
        </is>
      </c>
    </row>
    <row r="214">
      <c r="A214" s="30" t="n">
        <v>213</v>
      </c>
      <c r="B214" s="28" t="inlineStr">
        <is>
          <t>BTW</t>
        </is>
      </c>
      <c r="C214" s="28" t="inlineStr">
        <is>
          <t>J3BTW</t>
        </is>
      </c>
      <c r="D214" s="29" t="n">
        <v>46843</v>
      </c>
      <c r="E214" s="28" t="inlineStr">
        <is>
          <t>BTW-verwerking</t>
        </is>
      </c>
      <c r="F214" s="28" t="inlineStr">
        <is>
          <t>451000</t>
        </is>
      </c>
      <c r="G214" s="28" t="inlineStr">
        <is>
          <t>Te betalen btw-saldo</t>
        </is>
      </c>
      <c r="H214" s="28" t="n"/>
      <c r="I214" s="30" t="n">
        <v>2682</v>
      </c>
      <c r="J214" s="28" t="n"/>
      <c r="K214" s="28" t="inlineStr">
        <is>
          <t>Btw-verwerking 1e kwartaal 2028</t>
        </is>
      </c>
    </row>
    <row r="215">
      <c r="A215" s="33" t="n">
        <v>214</v>
      </c>
      <c r="B215" s="31" t="inlineStr">
        <is>
          <t>AFSCHR</t>
        </is>
      </c>
      <c r="C215" s="31" t="inlineStr">
        <is>
          <t>J3AFS</t>
        </is>
      </c>
      <c r="D215" s="32" t="n">
        <v>46843</v>
      </c>
      <c r="E215" s="31" t="inlineStr">
        <is>
          <t>Eindejaarsverrichtingen</t>
        </is>
      </c>
      <c r="F215" s="31" t="inlineStr">
        <is>
          <t>630200</t>
        </is>
      </c>
      <c r="G215" s="31" t="inlineStr">
        <is>
          <t>Afschrijvingen op materiële vaste activa</t>
        </is>
      </c>
      <c r="H215" s="33" t="n">
        <v>210</v>
      </c>
      <c r="I215" s="31" t="n"/>
      <c r="J215" s="31" t="n"/>
      <c r="K215" s="31" t="inlineStr">
        <is>
          <t>Afschrijvingen 1e kwartaal 2028</t>
        </is>
      </c>
    </row>
    <row r="216">
      <c r="A216" s="33" t="n">
        <v>215</v>
      </c>
      <c r="B216" s="31" t="inlineStr">
        <is>
          <t>AFSCHR</t>
        </is>
      </c>
      <c r="C216" s="31" t="inlineStr">
        <is>
          <t>J3AFS</t>
        </is>
      </c>
      <c r="D216" s="32" t="n">
        <v>46843</v>
      </c>
      <c r="E216" s="31" t="inlineStr">
        <is>
          <t>Eindejaarsverrichtingen</t>
        </is>
      </c>
      <c r="F216" s="31" t="inlineStr">
        <is>
          <t>630300</t>
        </is>
      </c>
      <c r="G216" s="31" t="inlineStr">
        <is>
          <t>Afschrijvingen op meubilair en rollend materieel</t>
        </is>
      </c>
      <c r="H216" s="33" t="n">
        <v>1775</v>
      </c>
      <c r="I216" s="31" t="n"/>
      <c r="J216" s="31" t="n"/>
      <c r="K216" s="31" t="inlineStr">
        <is>
          <t>Afschrijvingen 1e kwartaal 2028</t>
        </is>
      </c>
    </row>
    <row r="217">
      <c r="A217" s="33" t="n">
        <v>216</v>
      </c>
      <c r="B217" s="31" t="inlineStr">
        <is>
          <t>AFSCHR</t>
        </is>
      </c>
      <c r="C217" s="31" t="inlineStr">
        <is>
          <t>J3AFS</t>
        </is>
      </c>
      <c r="D217" s="32" t="n">
        <v>46843</v>
      </c>
      <c r="E217" s="31" t="inlineStr">
        <is>
          <t>Eindejaarsverrichtingen</t>
        </is>
      </c>
      <c r="F217" s="31" t="inlineStr">
        <is>
          <t>230009</t>
        </is>
      </c>
      <c r="G217" s="31" t="inlineStr">
        <is>
          <t>Afschrijvingen op installaties (-)</t>
        </is>
      </c>
      <c r="H217" s="31" t="n"/>
      <c r="I217" s="33" t="n">
        <v>75</v>
      </c>
      <c r="J217" s="31" t="n"/>
      <c r="K217" s="31" t="inlineStr">
        <is>
          <t>Afschrijvingen 1e kwartaal 2028</t>
        </is>
      </c>
    </row>
    <row r="218">
      <c r="A218" s="33" t="n">
        <v>217</v>
      </c>
      <c r="B218" s="31" t="inlineStr">
        <is>
          <t>AFSCHR</t>
        </is>
      </c>
      <c r="C218" s="31" t="inlineStr">
        <is>
          <t>J3AFS</t>
        </is>
      </c>
      <c r="D218" s="32" t="n">
        <v>46843</v>
      </c>
      <c r="E218" s="31" t="inlineStr">
        <is>
          <t>Eindejaarsverrichtingen</t>
        </is>
      </c>
      <c r="F218" s="31" t="inlineStr">
        <is>
          <t>232009</t>
        </is>
      </c>
      <c r="G218" s="31" t="inlineStr">
        <is>
          <t>Afschrijvingen op uitrusting (-)</t>
        </is>
      </c>
      <c r="H218" s="31" t="n"/>
      <c r="I218" s="33" t="n">
        <v>135</v>
      </c>
      <c r="J218" s="31" t="n"/>
      <c r="K218" s="31" t="inlineStr">
        <is>
          <t>Afschrijvingen 1e kwartaal 2028</t>
        </is>
      </c>
    </row>
    <row r="219">
      <c r="A219" s="33" t="n">
        <v>218</v>
      </c>
      <c r="B219" s="31" t="inlineStr">
        <is>
          <t>AFSCHR</t>
        </is>
      </c>
      <c r="C219" s="31" t="inlineStr">
        <is>
          <t>J3AFS</t>
        </is>
      </c>
      <c r="D219" s="32" t="n">
        <v>46843</v>
      </c>
      <c r="E219" s="31" t="inlineStr">
        <is>
          <t>Eindejaarsverrichtingen</t>
        </is>
      </c>
      <c r="F219" s="31" t="inlineStr">
        <is>
          <t>240209</t>
        </is>
      </c>
      <c r="G219" s="31" t="inlineStr">
        <is>
          <t>Afschrijvingen op computers (-)</t>
        </is>
      </c>
      <c r="H219" s="31" t="n"/>
      <c r="I219" s="33" t="n">
        <v>275</v>
      </c>
      <c r="J219" s="31" t="n"/>
      <c r="K219" s="31" t="inlineStr">
        <is>
          <t>Afschrijvingen 1e kwartaal 2028</t>
        </is>
      </c>
    </row>
    <row r="220">
      <c r="A220" s="33" t="n">
        <v>219</v>
      </c>
      <c r="B220" s="31" t="inlineStr">
        <is>
          <t>AFSCHR</t>
        </is>
      </c>
      <c r="C220" s="31" t="inlineStr">
        <is>
          <t>J3AFS</t>
        </is>
      </c>
      <c r="D220" s="32" t="n">
        <v>46843</v>
      </c>
      <c r="E220" s="31" t="inlineStr">
        <is>
          <t>Eindejaarsverrichtingen</t>
        </is>
      </c>
      <c r="F220" s="31" t="inlineStr">
        <is>
          <t>241009</t>
        </is>
      </c>
      <c r="G220" s="31" t="inlineStr">
        <is>
          <t>Afschrijvingen op rollend materieel (-)</t>
        </is>
      </c>
      <c r="H220" s="31" t="n"/>
      <c r="I220" s="33" t="n">
        <v>1500</v>
      </c>
      <c r="J220" s="31" t="n"/>
      <c r="K220" s="31" t="inlineStr">
        <is>
          <t>Afschrijvingen 1e kwartaal 2028</t>
        </is>
      </c>
    </row>
    <row r="221">
      <c r="A221" s="33" t="n">
        <v>220</v>
      </c>
      <c r="B221" s="31" t="inlineStr">
        <is>
          <t>OTK</t>
        </is>
      </c>
      <c r="C221" s="31" t="inlineStr">
        <is>
          <t>J3OTK</t>
        </is>
      </c>
      <c r="D221" s="32" t="n">
        <v>46843</v>
      </c>
      <c r="E221" s="31" t="inlineStr">
        <is>
          <t>Eindejaarsverrichtingen</t>
        </is>
      </c>
      <c r="F221" s="31" t="inlineStr">
        <is>
          <t>490000</t>
        </is>
      </c>
      <c r="G221" s="31" t="inlineStr">
        <is>
          <t>Over te dragen kosten</t>
        </is>
      </c>
      <c r="H221" s="33" t="n">
        <v>1850</v>
      </c>
      <c r="I221" s="31" t="n"/>
      <c r="J221" s="31" t="n"/>
      <c r="K221" s="31" t="inlineStr">
        <is>
          <t>Over te dragen kosten op 31 maart 2028</t>
        </is>
      </c>
    </row>
    <row r="222">
      <c r="A222" s="33" t="n">
        <v>221</v>
      </c>
      <c r="B222" s="31" t="inlineStr">
        <is>
          <t>OTK</t>
        </is>
      </c>
      <c r="C222" s="31" t="inlineStr">
        <is>
          <t>J3OTK</t>
        </is>
      </c>
      <c r="D222" s="32" t="n">
        <v>46843</v>
      </c>
      <c r="E222" s="31" t="inlineStr">
        <is>
          <t>Eindejaarsverrichtingen</t>
        </is>
      </c>
      <c r="F222" s="31" t="inlineStr">
        <is>
          <t>614400</t>
        </is>
      </c>
      <c r="G222" s="31" t="inlineStr">
        <is>
          <t>Verzekering rollend materieel</t>
        </is>
      </c>
      <c r="H222" s="31" t="n"/>
      <c r="I222" s="33" t="n">
        <v>900</v>
      </c>
      <c r="J222" s="31" t="n"/>
      <c r="K222" s="31" t="inlineStr">
        <is>
          <t>Over te dragen deel van AK16 (9/12)</t>
        </is>
      </c>
    </row>
    <row r="223">
      <c r="A223" s="33" t="n">
        <v>222</v>
      </c>
      <c r="B223" s="31" t="inlineStr">
        <is>
          <t>OTK</t>
        </is>
      </c>
      <c r="C223" s="31" t="inlineStr">
        <is>
          <t>J3OTK</t>
        </is>
      </c>
      <c r="D223" s="32" t="n">
        <v>46843</v>
      </c>
      <c r="E223" s="31" t="inlineStr">
        <is>
          <t>Eindejaarsverrichtingen</t>
        </is>
      </c>
      <c r="F223" s="31" t="inlineStr">
        <is>
          <t>611000</t>
        </is>
      </c>
      <c r="G223" s="31" t="inlineStr">
        <is>
          <t>Huur en huurlasten</t>
        </is>
      </c>
      <c r="H223" s="31" t="n"/>
      <c r="I223" s="33" t="n">
        <v>500</v>
      </c>
      <c r="J223" s="31" t="n"/>
      <c r="K223" s="31" t="inlineStr">
        <is>
          <t>Over te dragen deel van AK17 (1/3)</t>
        </is>
      </c>
    </row>
    <row r="224">
      <c r="A224" s="33" t="n">
        <v>223</v>
      </c>
      <c r="B224" s="31" t="inlineStr">
        <is>
          <t>OTK</t>
        </is>
      </c>
      <c r="C224" s="31" t="inlineStr">
        <is>
          <t>J3OTK</t>
        </is>
      </c>
      <c r="D224" s="32" t="n">
        <v>46843</v>
      </c>
      <c r="E224" s="31" t="inlineStr">
        <is>
          <t>Eindejaarsverrichtingen</t>
        </is>
      </c>
      <c r="F224" s="31" t="inlineStr">
        <is>
          <t>623000</t>
        </is>
      </c>
      <c r="G224" s="31" t="inlineStr">
        <is>
          <t>Andere personeelskosten</t>
        </is>
      </c>
      <c r="H224" s="31" t="n"/>
      <c r="I224" s="33" t="n">
        <v>450</v>
      </c>
      <c r="J224" s="31" t="n"/>
      <c r="K224" s="31" t="inlineStr">
        <is>
          <t>Over te dragen deel van AK22 (9/12)</t>
        </is>
      </c>
    </row>
    <row r="225">
      <c r="A225" s="33" t="n">
        <v>224</v>
      </c>
      <c r="B225" s="31" t="inlineStr">
        <is>
          <t>LENING</t>
        </is>
      </c>
      <c r="C225" s="31" t="inlineStr">
        <is>
          <t>J3LEN</t>
        </is>
      </c>
      <c r="D225" s="32" t="n">
        <v>46843</v>
      </c>
      <c r="E225" s="31" t="inlineStr">
        <is>
          <t>Eindejaarsverrichtingen</t>
        </is>
      </c>
      <c r="F225" s="31" t="inlineStr">
        <is>
          <t>173000</t>
        </is>
      </c>
      <c r="G225" s="31" t="inlineStr">
        <is>
          <t>Schulden aan kredietinstellingen</t>
        </is>
      </c>
      <c r="H225" s="33" t="n">
        <v>6000</v>
      </c>
      <c r="I225" s="31" t="n"/>
      <c r="J225" s="31" t="n"/>
      <c r="K225" s="31" t="inlineStr">
        <is>
          <t>Overboeking lening 2027-0042: kapitaal dat binnen het jaar vervalt (4 x 1500)</t>
        </is>
      </c>
    </row>
    <row r="226">
      <c r="A226" s="33" t="n">
        <v>225</v>
      </c>
      <c r="B226" s="31" t="inlineStr">
        <is>
          <t>LENING</t>
        </is>
      </c>
      <c r="C226" s="31" t="inlineStr">
        <is>
          <t>J3LEN</t>
        </is>
      </c>
      <c r="D226" s="32" t="n">
        <v>46843</v>
      </c>
      <c r="E226" s="31" t="inlineStr">
        <is>
          <t>Eindejaarsverrichtingen</t>
        </is>
      </c>
      <c r="F226" s="31" t="inlineStr">
        <is>
          <t>423000</t>
        </is>
      </c>
      <c r="G226" s="31" t="inlineStr">
        <is>
          <t>Binnen het jaar vervallende schulden aan kredietinstellingen</t>
        </is>
      </c>
      <c r="H226" s="31" t="n"/>
      <c r="I226" s="33" t="n">
        <v>6000</v>
      </c>
      <c r="J226" s="31" t="n"/>
      <c r="K226" s="31" t="inlineStr">
        <is>
          <t>Overboeking lening 2027-0042: kapitaal dat binnen het jaar vervalt (4 x 1500)</t>
        </is>
      </c>
    </row>
    <row r="227">
      <c r="A227" s="33" t="n">
        <v>226</v>
      </c>
      <c r="B227" s="31" t="inlineStr">
        <is>
          <t>VR</t>
        </is>
      </c>
      <c r="C227" s="31" t="inlineStr">
        <is>
          <t>J3VR</t>
        </is>
      </c>
      <c r="D227" s="32" t="n">
        <v>46843</v>
      </c>
      <c r="E227" s="31" t="inlineStr">
        <is>
          <t>Eindejaarsverrichtingen</t>
        </is>
      </c>
      <c r="F227" s="31" t="inlineStr">
        <is>
          <t>609400</t>
        </is>
      </c>
      <c r="G227" s="31" t="inlineStr">
        <is>
          <t>Voorraadwijzigingen handelsgoederen</t>
        </is>
      </c>
      <c r="H227" s="33" t="n">
        <v>3295</v>
      </c>
      <c r="I227" s="31" t="n"/>
      <c r="J227" s="31" t="n"/>
      <c r="K227" s="31" t="inlineStr">
        <is>
          <t>Voorraadwijziging handelsgoederen 1e kwartaal 2028 (10355 - 13650)</t>
        </is>
      </c>
    </row>
    <row r="228">
      <c r="A228" s="33" t="n">
        <v>227</v>
      </c>
      <c r="B228" s="31" t="inlineStr">
        <is>
          <t>VR</t>
        </is>
      </c>
      <c r="C228" s="31" t="inlineStr">
        <is>
          <t>J3VR</t>
        </is>
      </c>
      <c r="D228" s="32" t="n">
        <v>46843</v>
      </c>
      <c r="E228" s="31" t="inlineStr">
        <is>
          <t>Eindejaarsverrichtingen</t>
        </is>
      </c>
      <c r="F228" s="31" t="inlineStr">
        <is>
          <t>340000</t>
        </is>
      </c>
      <c r="G228" s="31" t="inlineStr">
        <is>
          <t>Voorraad handelsgoederen</t>
        </is>
      </c>
      <c r="H228" s="31" t="n"/>
      <c r="I228" s="33" t="n">
        <v>3295</v>
      </c>
      <c r="J228" s="31" t="n"/>
      <c r="K228" s="31" t="inlineStr">
        <is>
          <t>Voorraadwijziging handelsgoederen 1e kwartaal 2028 (10355 - 13650)</t>
        </is>
      </c>
    </row>
    <row r="229">
      <c r="A229" s="36" t="n">
        <v>228</v>
      </c>
      <c r="B229" s="34" t="inlineStr">
        <is>
          <t>BELASTING</t>
        </is>
      </c>
      <c r="C229" s="34" t="inlineStr">
        <is>
          <t>J3BEL</t>
        </is>
      </c>
      <c r="D229" s="35" t="n">
        <v>46843</v>
      </c>
      <c r="E229" s="34" t="inlineStr">
        <is>
          <t>Resultaatverwerking</t>
        </is>
      </c>
      <c r="F229" s="34" t="inlineStr">
        <is>
          <t>670200</t>
        </is>
      </c>
      <c r="G229" s="34" t="inlineStr">
        <is>
          <t>Geraamde belastingen</t>
        </is>
      </c>
      <c r="H229" s="36" t="n">
        <v>995</v>
      </c>
      <c r="I229" s="34" t="n"/>
      <c r="J229" s="34" t="n"/>
      <c r="K229" s="34" t="inlineStr">
        <is>
          <t>Geraamde vennootschapsbelasting 1e kwartaal 2028 (20% van 4975)</t>
        </is>
      </c>
    </row>
    <row r="230">
      <c r="A230" s="36" t="n">
        <v>229</v>
      </c>
      <c r="B230" s="34" t="inlineStr">
        <is>
          <t>BELASTING</t>
        </is>
      </c>
      <c r="C230" s="34" t="inlineStr">
        <is>
          <t>J3BEL</t>
        </is>
      </c>
      <c r="D230" s="35" t="n">
        <v>46843</v>
      </c>
      <c r="E230" s="34" t="inlineStr">
        <is>
          <t>Resultaatverwerking</t>
        </is>
      </c>
      <c r="F230" s="34" t="inlineStr">
        <is>
          <t>450000</t>
        </is>
      </c>
      <c r="G230" s="34" t="inlineStr">
        <is>
          <t>Geraamd bedrag der Belgische winstbelastingen</t>
        </is>
      </c>
      <c r="H230" s="34" t="n"/>
      <c r="I230" s="36" t="n">
        <v>995</v>
      </c>
      <c r="J230" s="34" t="n"/>
      <c r="K230" s="34" t="inlineStr">
        <is>
          <t>Geraamde vennootschapsbelasting 1e kwartaal 2028 (20% van 4975)</t>
        </is>
      </c>
    </row>
    <row r="231">
      <c r="A231" s="36" t="n">
        <v>230</v>
      </c>
      <c r="B231" s="34" t="inlineStr">
        <is>
          <t>RESULTAAT</t>
        </is>
      </c>
      <c r="C231" s="34" t="inlineStr">
        <is>
          <t>J3RES</t>
        </is>
      </c>
      <c r="D231" s="35" t="n">
        <v>46843</v>
      </c>
      <c r="E231" s="34" t="inlineStr">
        <is>
          <t>Resultaatverwerking</t>
        </is>
      </c>
      <c r="F231" s="34" t="inlineStr">
        <is>
          <t>692000</t>
        </is>
      </c>
      <c r="G231" s="34" t="inlineStr">
        <is>
          <t>Toevoeging aan de wettelijke reserves</t>
        </is>
      </c>
      <c r="H231" s="36" t="n">
        <v>199</v>
      </c>
      <c r="I231" s="34" t="n"/>
      <c r="J231" s="34" t="n"/>
      <c r="K231" s="34" t="inlineStr">
        <is>
          <t>Toewijzing van het resultaat: 5% wettelijke reserve, de rest overgedragen</t>
        </is>
      </c>
    </row>
    <row r="232">
      <c r="A232" s="36" t="n">
        <v>231</v>
      </c>
      <c r="B232" s="34" t="inlineStr">
        <is>
          <t>RESULTAAT</t>
        </is>
      </c>
      <c r="C232" s="34" t="inlineStr">
        <is>
          <t>J3RES</t>
        </is>
      </c>
      <c r="D232" s="35" t="n">
        <v>46843</v>
      </c>
      <c r="E232" s="34" t="inlineStr">
        <is>
          <t>Resultaatverwerking</t>
        </is>
      </c>
      <c r="F232" s="34" t="inlineStr">
        <is>
          <t>693000</t>
        </is>
      </c>
      <c r="G232" s="34" t="inlineStr">
        <is>
          <t>Over te dragen winst</t>
        </is>
      </c>
      <c r="H232" s="36" t="n">
        <v>3781</v>
      </c>
      <c r="I232" s="34" t="n"/>
      <c r="J232" s="34" t="n"/>
      <c r="K232" s="34" t="inlineStr">
        <is>
          <t>Toewijzing van het resultaat: 5% wettelijke reserve, de rest overgedragen</t>
        </is>
      </c>
    </row>
    <row r="233">
      <c r="A233" s="36" t="n">
        <v>232</v>
      </c>
      <c r="B233" s="34" t="inlineStr">
        <is>
          <t>RESULTAAT</t>
        </is>
      </c>
      <c r="C233" s="34" t="inlineStr">
        <is>
          <t>J3RES</t>
        </is>
      </c>
      <c r="D233" s="35" t="n">
        <v>46843</v>
      </c>
      <c r="E233" s="34" t="inlineStr">
        <is>
          <t>Resultaatverwerking</t>
        </is>
      </c>
      <c r="F233" s="34" t="inlineStr">
        <is>
          <t>130000</t>
        </is>
      </c>
      <c r="G233" s="34" t="inlineStr">
        <is>
          <t>Wettelijke reserve</t>
        </is>
      </c>
      <c r="H233" s="34" t="n"/>
      <c r="I233" s="36" t="n">
        <v>199</v>
      </c>
      <c r="J233" s="34" t="n"/>
      <c r="K233" s="34" t="inlineStr">
        <is>
          <t>Toewijzing van het resultaat: 5% wettelijke reserve, de rest overgedragen</t>
        </is>
      </c>
    </row>
    <row r="234">
      <c r="A234" s="36" t="n">
        <v>233</v>
      </c>
      <c r="B234" s="34" t="inlineStr">
        <is>
          <t>RESULTAAT</t>
        </is>
      </c>
      <c r="C234" s="34" t="inlineStr">
        <is>
          <t>J3RES</t>
        </is>
      </c>
      <c r="D234" s="35" t="n">
        <v>46843</v>
      </c>
      <c r="E234" s="34" t="inlineStr">
        <is>
          <t>Resultaatverwerking</t>
        </is>
      </c>
      <c r="F234" s="34" t="inlineStr">
        <is>
          <t>140000</t>
        </is>
      </c>
      <c r="G234" s="34" t="inlineStr">
        <is>
          <t>Overgedragen winst</t>
        </is>
      </c>
      <c r="H234" s="34" t="n"/>
      <c r="I234" s="36" t="n">
        <v>3781</v>
      </c>
      <c r="J234" s="34" t="n"/>
      <c r="K234" s="34" t="inlineStr">
        <is>
          <t>Toewijzing van het resultaat: 5% wettelijke reserve, de rest overgedragen</t>
        </is>
      </c>
    </row>
    <row r="235">
      <c r="A235" s="37" t="n"/>
      <c r="B235" s="37" t="n"/>
      <c r="C235" s="37" t="n"/>
      <c r="D235" s="37" t="n"/>
      <c r="E235" s="37" t="n"/>
      <c r="F235" s="37" t="n"/>
      <c r="G235" s="37" t="inlineStr">
        <is>
          <t>TOTAAL (zonder beginbalans)</t>
        </is>
      </c>
      <c r="H235" s="41" t="n">
        <v>310668</v>
      </c>
      <c r="I235" s="41" t="n">
        <v>310668</v>
      </c>
      <c r="J235" s="37" t="n"/>
      <c r="K235" s="37" t="n"/>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8" customWidth="1" min="3" max="3"/>
    <col width="18" customWidth="1" min="4" max="4"/>
    <col width="22" customWidth="1" min="5" max="5"/>
    <col width="40" customWidth="1" min="6" max="6"/>
  </cols>
  <sheetData>
    <row r="1">
      <c r="A1" s="1" t="inlineStr">
        <is>
          <t>Rekening</t>
        </is>
      </c>
      <c r="B1" s="1" t="inlineStr">
        <is>
          <t>Naam</t>
        </is>
      </c>
      <c r="C1" s="1" t="inlineStr">
        <is>
          <t>A/P/K/O</t>
        </is>
      </c>
      <c r="D1" s="1" t="inlineStr">
        <is>
          <t>Beginbalans 1/1/2028</t>
        </is>
      </c>
      <c r="E1" s="1" t="inlineStr">
        <is>
          <t>Saldo 31/3/2028 na afsluiting</t>
        </is>
      </c>
      <c r="F1" s="1" t="inlineStr">
        <is>
          <t>Debetsaldo = positief, creditsaldo = negatief</t>
        </is>
      </c>
    </row>
    <row r="2">
      <c r="A2" t="inlineStr">
        <is>
          <t>100000</t>
        </is>
      </c>
      <c r="B2" t="inlineStr">
        <is>
          <t>Geplaatst kapitaal</t>
        </is>
      </c>
      <c r="C2" t="inlineStr">
        <is>
          <t>P</t>
        </is>
      </c>
      <c r="D2" s="39" t="n">
        <v>-20000</v>
      </c>
      <c r="E2" s="39" t="n">
        <v>-20000</v>
      </c>
    </row>
    <row r="3">
      <c r="A3" t="inlineStr">
        <is>
          <t>130000</t>
        </is>
      </c>
      <c r="B3" t="inlineStr">
        <is>
          <t>Wettelijke reserve</t>
        </is>
      </c>
      <c r="C3" t="inlineStr">
        <is>
          <t>P</t>
        </is>
      </c>
      <c r="D3" s="39" t="n">
        <v>0</v>
      </c>
      <c r="E3" s="39" t="n">
        <v>-199</v>
      </c>
    </row>
    <row r="4">
      <c r="A4" t="inlineStr">
        <is>
          <t>140000</t>
        </is>
      </c>
      <c r="B4" t="inlineStr">
        <is>
          <t>Overgedragen winst</t>
        </is>
      </c>
      <c r="C4" t="inlineStr">
        <is>
          <t>P</t>
        </is>
      </c>
      <c r="D4" s="39" t="n">
        <v>-40445</v>
      </c>
      <c r="E4" s="39" t="n">
        <v>-44226</v>
      </c>
    </row>
    <row r="5">
      <c r="A5" t="inlineStr">
        <is>
          <t>173000</t>
        </is>
      </c>
      <c r="B5" t="inlineStr">
        <is>
          <t>Schulden aan kredietinstellingen</t>
        </is>
      </c>
      <c r="C5" t="inlineStr">
        <is>
          <t>P</t>
        </is>
      </c>
      <c r="D5" s="39" t="n">
        <v>-25500</v>
      </c>
      <c r="E5" s="39" t="n">
        <v>-18000</v>
      </c>
    </row>
    <row r="6">
      <c r="A6" t="inlineStr">
        <is>
          <t>230000</t>
        </is>
      </c>
      <c r="B6" t="inlineStr">
        <is>
          <t>Installaties</t>
        </is>
      </c>
      <c r="C6" t="inlineStr">
        <is>
          <t>A</t>
        </is>
      </c>
      <c r="D6" s="39" t="n">
        <v>1500</v>
      </c>
      <c r="E6" s="39" t="n">
        <v>1500</v>
      </c>
    </row>
    <row r="7">
      <c r="A7" t="inlineStr">
        <is>
          <t>230009</t>
        </is>
      </c>
      <c r="B7" t="inlineStr">
        <is>
          <t>Afschrijvingen op installaties (-)</t>
        </is>
      </c>
      <c r="C7" t="inlineStr">
        <is>
          <t>A</t>
        </is>
      </c>
      <c r="D7" s="39" t="n">
        <v>-600</v>
      </c>
      <c r="E7" s="39" t="n">
        <v>-675</v>
      </c>
    </row>
    <row r="8">
      <c r="A8" t="inlineStr">
        <is>
          <t>232000</t>
        </is>
      </c>
      <c r="B8" t="inlineStr">
        <is>
          <t>Uitrusting</t>
        </is>
      </c>
      <c r="C8" t="inlineStr">
        <is>
          <t>A</t>
        </is>
      </c>
      <c r="D8" s="39" t="n">
        <v>500</v>
      </c>
      <c r="E8" s="39" t="n">
        <v>2700</v>
      </c>
    </row>
    <row r="9">
      <c r="A9" t="inlineStr">
        <is>
          <t>232009</t>
        </is>
      </c>
      <c r="B9" t="inlineStr">
        <is>
          <t>Afschrijvingen op uitrusting (-)</t>
        </is>
      </c>
      <c r="C9" t="inlineStr">
        <is>
          <t>A</t>
        </is>
      </c>
      <c r="D9" s="39" t="n">
        <v>-200</v>
      </c>
      <c r="E9" s="39" t="n">
        <v>-335</v>
      </c>
    </row>
    <row r="10">
      <c r="A10" t="inlineStr">
        <is>
          <t>240200</t>
        </is>
      </c>
      <c r="B10" t="inlineStr">
        <is>
          <t>Computers</t>
        </is>
      </c>
      <c r="C10" t="inlineStr">
        <is>
          <t>A</t>
        </is>
      </c>
      <c r="D10" s="39" t="n">
        <v>2100</v>
      </c>
      <c r="E10" s="39" t="n">
        <v>3300</v>
      </c>
    </row>
    <row r="11">
      <c r="A11" t="inlineStr">
        <is>
          <t>240209</t>
        </is>
      </c>
      <c r="B11" t="inlineStr">
        <is>
          <t>Afschrijvingen op computers (-)</t>
        </is>
      </c>
      <c r="C11" t="inlineStr">
        <is>
          <t>A</t>
        </is>
      </c>
      <c r="D11" s="39" t="n">
        <v>-1400</v>
      </c>
      <c r="E11" s="39" t="n">
        <v>-1675</v>
      </c>
    </row>
    <row r="12">
      <c r="A12" t="inlineStr">
        <is>
          <t>241000</t>
        </is>
      </c>
      <c r="B12" t="inlineStr">
        <is>
          <t>Rollend materieel</t>
        </is>
      </c>
      <c r="C12" t="inlineStr">
        <is>
          <t>A</t>
        </is>
      </c>
      <c r="D12" s="39" t="n">
        <v>30000</v>
      </c>
      <c r="E12" s="39" t="n">
        <v>30000</v>
      </c>
    </row>
    <row r="13">
      <c r="A13" t="inlineStr">
        <is>
          <t>241009</t>
        </is>
      </c>
      <c r="B13" t="inlineStr">
        <is>
          <t>Afschrijvingen op rollend materieel (-)</t>
        </is>
      </c>
      <c r="C13" t="inlineStr">
        <is>
          <t>A</t>
        </is>
      </c>
      <c r="D13" s="39" t="n">
        <v>-7200</v>
      </c>
      <c r="E13" s="39" t="n">
        <v>-8700</v>
      </c>
    </row>
    <row r="14">
      <c r="A14" t="inlineStr">
        <is>
          <t>340000</t>
        </is>
      </c>
      <c r="B14" t="inlineStr">
        <is>
          <t>Voorraad handelsgoederen</t>
        </is>
      </c>
      <c r="C14" t="inlineStr">
        <is>
          <t>A</t>
        </is>
      </c>
      <c r="D14" s="39" t="n">
        <v>13650</v>
      </c>
      <c r="E14" s="39" t="n">
        <v>10355</v>
      </c>
    </row>
    <row r="15">
      <c r="A15" t="inlineStr">
        <is>
          <t>400000</t>
        </is>
      </c>
      <c r="B15" t="inlineStr">
        <is>
          <t>Handelsdebiteuren</t>
        </is>
      </c>
      <c r="C15" t="inlineStr">
        <is>
          <t>A</t>
        </is>
      </c>
      <c r="D15" s="39" t="n">
        <v>0</v>
      </c>
      <c r="E15" s="39" t="n">
        <v>32884</v>
      </c>
    </row>
    <row r="16">
      <c r="A16" t="inlineStr">
        <is>
          <t>411000</t>
        </is>
      </c>
      <c r="B16" t="inlineStr">
        <is>
          <t>Terug te vorderen btw-saldo</t>
        </is>
      </c>
      <c r="C16" t="inlineStr">
        <is>
          <t>A</t>
        </is>
      </c>
      <c r="D16" s="39" t="n">
        <v>1803</v>
      </c>
      <c r="E16" s="39" t="n">
        <v>0</v>
      </c>
    </row>
    <row r="17">
      <c r="A17" t="inlineStr">
        <is>
          <t>411100</t>
        </is>
      </c>
      <c r="B17" t="inlineStr">
        <is>
          <t>Aftrekbare btw</t>
        </is>
      </c>
      <c r="C17" t="inlineStr">
        <is>
          <t>A</t>
        </is>
      </c>
      <c r="D17" s="39" t="n">
        <v>0</v>
      </c>
      <c r="E17" s="39" t="n">
        <v>0</v>
      </c>
    </row>
    <row r="18">
      <c r="A18" t="inlineStr">
        <is>
          <t>411200</t>
        </is>
      </c>
      <c r="B18" t="inlineStr">
        <is>
          <t>Aftrekbare btw op uitgaande creditnota’s</t>
        </is>
      </c>
      <c r="C18" t="inlineStr">
        <is>
          <t>A</t>
        </is>
      </c>
      <c r="D18" s="39" t="n">
        <v>0</v>
      </c>
      <c r="E18" s="39" t="n">
        <v>0</v>
      </c>
    </row>
    <row r="19">
      <c r="A19" t="inlineStr">
        <is>
          <t>418000</t>
        </is>
      </c>
      <c r="B19" t="inlineStr">
        <is>
          <t>Terug te vorderen verpakking</t>
        </is>
      </c>
      <c r="C19" t="inlineStr">
        <is>
          <t>A</t>
        </is>
      </c>
      <c r="D19" s="39" t="n">
        <v>250</v>
      </c>
      <c r="E19" s="39" t="n">
        <v>350</v>
      </c>
    </row>
    <row r="20">
      <c r="A20" t="inlineStr">
        <is>
          <t>423000</t>
        </is>
      </c>
      <c r="B20" t="inlineStr">
        <is>
          <t>Binnen het jaar vervallende schulden aan kredietinstellingen</t>
        </is>
      </c>
      <c r="C20" t="inlineStr">
        <is>
          <t>P</t>
        </is>
      </c>
      <c r="D20" s="39" t="n">
        <v>0</v>
      </c>
      <c r="E20" s="39" t="n">
        <v>-6000</v>
      </c>
    </row>
    <row r="21">
      <c r="A21" t="inlineStr">
        <is>
          <t>440000</t>
        </is>
      </c>
      <c r="B21" t="inlineStr">
        <is>
          <t>Leveranciers</t>
        </is>
      </c>
      <c r="C21" t="inlineStr">
        <is>
          <t>P</t>
        </is>
      </c>
      <c r="D21" s="39" t="n">
        <v>0</v>
      </c>
      <c r="E21" s="39" t="n">
        <v>-12025</v>
      </c>
    </row>
    <row r="22">
      <c r="A22" t="inlineStr">
        <is>
          <t>450000</t>
        </is>
      </c>
      <c r="B22" t="inlineStr">
        <is>
          <t>Geraamd bedrag der Belgische winstbelastingen</t>
        </is>
      </c>
      <c r="C22" t="inlineStr">
        <is>
          <t>P</t>
        </is>
      </c>
      <c r="D22" s="39" t="n">
        <v>0</v>
      </c>
      <c r="E22" s="39" t="n">
        <v>-995</v>
      </c>
    </row>
    <row r="23">
      <c r="A23" t="inlineStr">
        <is>
          <t>451000</t>
        </is>
      </c>
      <c r="B23" t="inlineStr">
        <is>
          <t>Te betalen btw-saldo</t>
        </is>
      </c>
      <c r="C23" t="inlineStr">
        <is>
          <t>P</t>
        </is>
      </c>
      <c r="D23" s="39" t="n">
        <v>0</v>
      </c>
      <c r="E23" s="39" t="n">
        <v>-2682</v>
      </c>
    </row>
    <row r="24">
      <c r="A24" t="inlineStr">
        <is>
          <t>451100</t>
        </is>
      </c>
      <c r="B24" t="inlineStr">
        <is>
          <t>Verschuldigde btw</t>
        </is>
      </c>
      <c r="C24" t="inlineStr">
        <is>
          <t>P</t>
        </is>
      </c>
      <c r="D24" s="39" t="n">
        <v>0</v>
      </c>
      <c r="E24" s="39" t="n">
        <v>0</v>
      </c>
    </row>
    <row r="25">
      <c r="A25" t="inlineStr">
        <is>
          <t>451200</t>
        </is>
      </c>
      <c r="B25" t="inlineStr">
        <is>
          <t>Verschuldigde btw op inkomende creditnota’s</t>
        </is>
      </c>
      <c r="C25" t="inlineStr">
        <is>
          <t>P</t>
        </is>
      </c>
      <c r="D25" s="39" t="n">
        <v>0</v>
      </c>
      <c r="E25" s="39" t="n">
        <v>0</v>
      </c>
    </row>
    <row r="26">
      <c r="A26" t="inlineStr">
        <is>
          <t>453000</t>
        </is>
      </c>
      <c r="B26" t="inlineStr">
        <is>
          <t>Ingehouden bedrijfsvoorheffing</t>
        </is>
      </c>
      <c r="C26" t="inlineStr">
        <is>
          <t>P</t>
        </is>
      </c>
      <c r="D26" s="39" t="n">
        <v>0</v>
      </c>
      <c r="E26" s="39" t="n">
        <v>0</v>
      </c>
    </row>
    <row r="27">
      <c r="A27" t="inlineStr">
        <is>
          <t>454000</t>
        </is>
      </c>
      <c r="B27" t="inlineStr">
        <is>
          <t>Rijksdienst voor Sociale Zekerheid (RSZ)</t>
        </is>
      </c>
      <c r="C27" t="inlineStr">
        <is>
          <t>P</t>
        </is>
      </c>
      <c r="D27" s="39" t="n">
        <v>0</v>
      </c>
      <c r="E27" s="39" t="n">
        <v>0</v>
      </c>
    </row>
    <row r="28">
      <c r="A28" t="inlineStr">
        <is>
          <t>455200</t>
        </is>
      </c>
      <c r="B28" t="inlineStr">
        <is>
          <t>Verschuldigde lonen bedienden</t>
        </is>
      </c>
      <c r="C28" t="inlineStr">
        <is>
          <t>P</t>
        </is>
      </c>
      <c r="D28" s="39" t="n">
        <v>0</v>
      </c>
      <c r="E28" s="39" t="n">
        <v>0</v>
      </c>
    </row>
    <row r="29">
      <c r="A29" t="inlineStr">
        <is>
          <t>455300</t>
        </is>
      </c>
      <c r="B29" t="inlineStr">
        <is>
          <t>Verschuldigde lonen arbeiders</t>
        </is>
      </c>
      <c r="C29" t="inlineStr">
        <is>
          <t>P</t>
        </is>
      </c>
      <c r="D29" s="39" t="n">
        <v>0</v>
      </c>
      <c r="E29" s="39" t="n">
        <v>0</v>
      </c>
    </row>
    <row r="30">
      <c r="A30" t="inlineStr">
        <is>
          <t>488000</t>
        </is>
      </c>
      <c r="B30" t="inlineStr">
        <is>
          <t>Terug te betalen verpakking</t>
        </is>
      </c>
      <c r="C30" t="inlineStr">
        <is>
          <t>P</t>
        </is>
      </c>
      <c r="D30" s="39" t="n">
        <v>0</v>
      </c>
      <c r="E30" s="39" t="n">
        <v>0</v>
      </c>
    </row>
    <row r="31">
      <c r="A31" t="inlineStr">
        <is>
          <t>490000</t>
        </is>
      </c>
      <c r="B31" t="inlineStr">
        <is>
          <t>Over te dragen kosten</t>
        </is>
      </c>
      <c r="C31" t="inlineStr">
        <is>
          <t>A</t>
        </is>
      </c>
      <c r="D31" s="39" t="n">
        <v>0</v>
      </c>
      <c r="E31" s="39" t="n">
        <v>1850</v>
      </c>
    </row>
    <row r="32">
      <c r="A32" t="inlineStr">
        <is>
          <t>550000</t>
        </is>
      </c>
      <c r="B32" t="inlineStr">
        <is>
          <t>Bankrekening</t>
        </is>
      </c>
      <c r="C32" t="inlineStr">
        <is>
          <t>A</t>
        </is>
      </c>
      <c r="D32" s="39" t="n">
        <v>44997</v>
      </c>
      <c r="E32" s="39" t="n">
        <v>30070</v>
      </c>
    </row>
    <row r="33">
      <c r="A33" t="inlineStr">
        <is>
          <t>570000</t>
        </is>
      </c>
      <c r="B33" t="inlineStr">
        <is>
          <t>Kas</t>
        </is>
      </c>
      <c r="C33" t="inlineStr">
        <is>
          <t>A</t>
        </is>
      </c>
      <c r="D33" s="39" t="n">
        <v>545</v>
      </c>
      <c r="E33" s="39" t="n">
        <v>2503</v>
      </c>
    </row>
    <row r="34">
      <c r="A34" t="inlineStr">
        <is>
          <t>580000</t>
        </is>
      </c>
      <c r="B34" t="inlineStr">
        <is>
          <t>Interne overboekingen</t>
        </is>
      </c>
      <c r="C34" t="inlineStr">
        <is>
          <t>A</t>
        </is>
      </c>
      <c r="D34" s="39" t="n">
        <v>0</v>
      </c>
      <c r="E34" s="39" t="n">
        <v>0</v>
      </c>
    </row>
    <row r="35">
      <c r="A35" t="inlineStr">
        <is>
          <t>604000</t>
        </is>
      </c>
      <c r="B35" t="inlineStr">
        <is>
          <t>Aankopen handelsgoederen</t>
        </is>
      </c>
      <c r="C35" t="inlineStr">
        <is>
          <t>K</t>
        </is>
      </c>
      <c r="D35" s="39" t="n">
        <v>0</v>
      </c>
      <c r="E35" s="39" t="n">
        <v>41175</v>
      </c>
    </row>
    <row r="36">
      <c r="A36" t="inlineStr">
        <is>
          <t>604010</t>
        </is>
      </c>
      <c r="B36" t="inlineStr">
        <is>
          <t>Retours op aankopen (-)</t>
        </is>
      </c>
      <c r="C36" t="inlineStr">
        <is>
          <t>K</t>
        </is>
      </c>
      <c r="D36" s="39" t="n">
        <v>0</v>
      </c>
      <c r="E36" s="39" t="n">
        <v>-3800</v>
      </c>
    </row>
    <row r="37">
      <c r="A37" t="inlineStr">
        <is>
          <t>604020</t>
        </is>
      </c>
      <c r="B37" t="inlineStr">
        <is>
          <t>Handelskorting op aankopen (-)</t>
        </is>
      </c>
      <c r="C37" t="inlineStr">
        <is>
          <t>K</t>
        </is>
      </c>
      <c r="D37" s="39" t="n">
        <v>0</v>
      </c>
      <c r="E37" s="39" t="n">
        <v>-2975</v>
      </c>
    </row>
    <row r="38">
      <c r="A38" t="inlineStr">
        <is>
          <t>604030</t>
        </is>
      </c>
      <c r="B38" t="inlineStr">
        <is>
          <t>Aankoopkosten</t>
        </is>
      </c>
      <c r="C38" t="inlineStr">
        <is>
          <t>K</t>
        </is>
      </c>
      <c r="D38" s="39" t="n">
        <v>0</v>
      </c>
      <c r="E38" s="39" t="n">
        <v>300</v>
      </c>
    </row>
    <row r="39">
      <c r="A39" t="inlineStr">
        <is>
          <t>609400</t>
        </is>
      </c>
      <c r="B39" t="inlineStr">
        <is>
          <t>Voorraadwijzigingen handelsgoederen</t>
        </is>
      </c>
      <c r="C39" t="inlineStr">
        <is>
          <t>K</t>
        </is>
      </c>
      <c r="D39" s="39" t="n">
        <v>0</v>
      </c>
      <c r="E39" s="39" t="n">
        <v>3295</v>
      </c>
    </row>
    <row r="40">
      <c r="A40" t="inlineStr">
        <is>
          <t>611000</t>
        </is>
      </c>
      <c r="B40" t="inlineStr">
        <is>
          <t>Huur en huurlasten</t>
        </is>
      </c>
      <c r="C40" t="inlineStr">
        <is>
          <t>K</t>
        </is>
      </c>
      <c r="D40" s="39" t="n">
        <v>0</v>
      </c>
      <c r="E40" s="39" t="n">
        <v>1000</v>
      </c>
    </row>
    <row r="41">
      <c r="A41" t="inlineStr">
        <is>
          <t>612000</t>
        </is>
      </c>
      <c r="B41" t="inlineStr">
        <is>
          <t>Kantoorbenodigdheden en drukwerk</t>
        </is>
      </c>
      <c r="C41" t="inlineStr">
        <is>
          <t>K</t>
        </is>
      </c>
      <c r="D41" s="39" t="n">
        <v>0</v>
      </c>
      <c r="E41" s="39" t="n">
        <v>200</v>
      </c>
    </row>
    <row r="42">
      <c r="A42" t="inlineStr">
        <is>
          <t>612700</t>
        </is>
      </c>
      <c r="B42" t="inlineStr">
        <is>
          <t>Verbruik elektriciteit</t>
        </is>
      </c>
      <c r="C42" t="inlineStr">
        <is>
          <t>K</t>
        </is>
      </c>
      <c r="D42" s="39" t="n">
        <v>0</v>
      </c>
      <c r="E42" s="39" t="n">
        <v>800</v>
      </c>
    </row>
    <row r="43">
      <c r="A43" t="inlineStr">
        <is>
          <t>613300</t>
        </is>
      </c>
      <c r="B43" t="inlineStr">
        <is>
          <t>Sociaal secretariaat</t>
        </is>
      </c>
      <c r="C43" t="inlineStr">
        <is>
          <t>K</t>
        </is>
      </c>
      <c r="D43" s="39" t="n">
        <v>0</v>
      </c>
      <c r="E43" s="39" t="n">
        <v>200</v>
      </c>
    </row>
    <row r="44">
      <c r="A44" t="inlineStr">
        <is>
          <t>614400</t>
        </is>
      </c>
      <c r="B44" t="inlineStr">
        <is>
          <t>Verzekering rollend materieel</t>
        </is>
      </c>
      <c r="C44" t="inlineStr">
        <is>
          <t>K</t>
        </is>
      </c>
      <c r="D44" s="39" t="n">
        <v>0</v>
      </c>
      <c r="E44" s="39" t="n">
        <v>300</v>
      </c>
    </row>
    <row r="45">
      <c r="A45" t="inlineStr">
        <is>
          <t>616520</t>
        </is>
      </c>
      <c r="B45" t="inlineStr">
        <is>
          <t>Publiciteitskosten</t>
        </is>
      </c>
      <c r="C45" t="inlineStr">
        <is>
          <t>K</t>
        </is>
      </c>
      <c r="D45" s="39" t="n">
        <v>0</v>
      </c>
      <c r="E45" s="39" t="n">
        <v>400</v>
      </c>
    </row>
    <row r="46">
      <c r="A46" t="inlineStr">
        <is>
          <t>620200</t>
        </is>
      </c>
      <c r="B46" t="inlineStr">
        <is>
          <t>Bezoldigingen bedienden</t>
        </is>
      </c>
      <c r="C46" t="inlineStr">
        <is>
          <t>K</t>
        </is>
      </c>
      <c r="D46" s="39" t="n">
        <v>0</v>
      </c>
      <c r="E46" s="39" t="n">
        <v>5100</v>
      </c>
    </row>
    <row r="47">
      <c r="A47" t="inlineStr">
        <is>
          <t>620300</t>
        </is>
      </c>
      <c r="B47" t="inlineStr">
        <is>
          <t>Bezoldigingen arbeiders</t>
        </is>
      </c>
      <c r="C47" t="inlineStr">
        <is>
          <t>K</t>
        </is>
      </c>
      <c r="D47" s="39" t="n">
        <v>0</v>
      </c>
      <c r="E47" s="39" t="n">
        <v>8100</v>
      </c>
    </row>
    <row r="48">
      <c r="A48" t="inlineStr">
        <is>
          <t>621000</t>
        </is>
      </c>
      <c r="B48" t="inlineStr">
        <is>
          <t>Werkgeversbijdrage RSZ</t>
        </is>
      </c>
      <c r="C48" t="inlineStr">
        <is>
          <t>K</t>
        </is>
      </c>
      <c r="D48" s="39" t="n">
        <v>0</v>
      </c>
      <c r="E48" s="39" t="n">
        <v>3300</v>
      </c>
    </row>
    <row r="49">
      <c r="A49" t="inlineStr">
        <is>
          <t>623000</t>
        </is>
      </c>
      <c r="B49" t="inlineStr">
        <is>
          <t>Andere personeelskosten</t>
        </is>
      </c>
      <c r="C49" t="inlineStr">
        <is>
          <t>K</t>
        </is>
      </c>
      <c r="D49" s="39" t="n">
        <v>0</v>
      </c>
      <c r="E49" s="39" t="n">
        <v>290</v>
      </c>
    </row>
    <row r="50">
      <c r="A50" t="inlineStr">
        <is>
          <t>630200</t>
        </is>
      </c>
      <c r="B50" t="inlineStr">
        <is>
          <t>Afschrijvingen op materiële vaste activa</t>
        </is>
      </c>
      <c r="C50" t="inlineStr">
        <is>
          <t>K</t>
        </is>
      </c>
      <c r="D50" s="39" t="n">
        <v>0</v>
      </c>
      <c r="E50" s="39" t="n">
        <v>210</v>
      </c>
    </row>
    <row r="51">
      <c r="A51" t="inlineStr">
        <is>
          <t>630300</t>
        </is>
      </c>
      <c r="B51" t="inlineStr">
        <is>
          <t>Afschrijvingen op meubilair en rollend materieel</t>
        </is>
      </c>
      <c r="C51" t="inlineStr">
        <is>
          <t>K</t>
        </is>
      </c>
      <c r="D51" s="39" t="n">
        <v>0</v>
      </c>
      <c r="E51" s="39" t="n">
        <v>1775</v>
      </c>
    </row>
    <row r="52">
      <c r="A52" t="inlineStr">
        <is>
          <t>650000</t>
        </is>
      </c>
      <c r="B52" t="inlineStr">
        <is>
          <t>Rente, commissies en kosten verbonden aan schulden</t>
        </is>
      </c>
      <c r="C52" t="inlineStr">
        <is>
          <t>K</t>
        </is>
      </c>
      <c r="D52" s="39" t="n">
        <v>0</v>
      </c>
      <c r="E52" s="39" t="n">
        <v>255</v>
      </c>
    </row>
    <row r="53">
      <c r="A53" t="inlineStr">
        <is>
          <t>657000</t>
        </is>
      </c>
      <c r="B53" t="inlineStr">
        <is>
          <t>Betalingskortingen aan klanten</t>
        </is>
      </c>
      <c r="C53" t="inlineStr">
        <is>
          <t>K</t>
        </is>
      </c>
      <c r="D53" s="39" t="n">
        <v>0</v>
      </c>
      <c r="E53" s="39" t="n">
        <v>200</v>
      </c>
    </row>
    <row r="54">
      <c r="A54" t="inlineStr">
        <is>
          <t>670200</t>
        </is>
      </c>
      <c r="B54" t="inlineStr">
        <is>
          <t>Geraamde belastingen</t>
        </is>
      </c>
      <c r="C54" t="inlineStr">
        <is>
          <t>K</t>
        </is>
      </c>
      <c r="D54" s="39" t="n">
        <v>0</v>
      </c>
      <c r="E54" s="39" t="n">
        <v>995</v>
      </c>
    </row>
    <row r="55">
      <c r="A55" t="inlineStr">
        <is>
          <t>692000</t>
        </is>
      </c>
      <c r="B55" t="inlineStr">
        <is>
          <t>Toevoeging aan de wettelijke reserves</t>
        </is>
      </c>
      <c r="C55" t="inlineStr">
        <is>
          <t>K</t>
        </is>
      </c>
      <c r="D55" s="39" t="n">
        <v>0</v>
      </c>
      <c r="E55" s="39" t="n">
        <v>199</v>
      </c>
    </row>
    <row r="56">
      <c r="A56" t="inlineStr">
        <is>
          <t>693000</t>
        </is>
      </c>
      <c r="B56" t="inlineStr">
        <is>
          <t>Over te dragen winst</t>
        </is>
      </c>
      <c r="C56" t="inlineStr">
        <is>
          <t>K</t>
        </is>
      </c>
      <c r="D56" s="39" t="n">
        <v>0</v>
      </c>
      <c r="E56" s="39" t="n">
        <v>3781</v>
      </c>
    </row>
    <row r="57">
      <c r="A57" t="inlineStr">
        <is>
          <t>700000</t>
        </is>
      </c>
      <c r="B57" t="inlineStr">
        <is>
          <t>Verkopen en dienstprestaties</t>
        </is>
      </c>
      <c r="C57" t="inlineStr">
        <is>
          <t>O</t>
        </is>
      </c>
      <c r="D57" s="39" t="n">
        <v>0</v>
      </c>
      <c r="E57" s="39" t="n">
        <v>-5800</v>
      </c>
    </row>
    <row r="58">
      <c r="A58" t="inlineStr">
        <is>
          <t>704000</t>
        </is>
      </c>
      <c r="B58" t="inlineStr">
        <is>
          <t>Verkopen handelsgoederen</t>
        </is>
      </c>
      <c r="C58" t="inlineStr">
        <is>
          <t>O</t>
        </is>
      </c>
      <c r="D58" s="39" t="n">
        <v>0</v>
      </c>
      <c r="E58" s="39" t="n">
        <v>-61400</v>
      </c>
    </row>
    <row r="59">
      <c r="A59" t="inlineStr">
        <is>
          <t>704010</t>
        </is>
      </c>
      <c r="B59" t="inlineStr">
        <is>
          <t>Retours op verkopen (-)</t>
        </is>
      </c>
      <c r="C59" t="inlineStr">
        <is>
          <t>O</t>
        </is>
      </c>
      <c r="D59" s="39" t="n">
        <v>0</v>
      </c>
      <c r="E59" s="39" t="n">
        <v>2000</v>
      </c>
    </row>
    <row r="60">
      <c r="A60" t="inlineStr">
        <is>
          <t>704020</t>
        </is>
      </c>
      <c r="B60" t="inlineStr">
        <is>
          <t>Handelskorting op verkopen (-)</t>
        </is>
      </c>
      <c r="C60" t="inlineStr">
        <is>
          <t>O</t>
        </is>
      </c>
      <c r="D60" s="39" t="n">
        <v>0</v>
      </c>
      <c r="E60" s="39" t="n">
        <v>1300</v>
      </c>
    </row>
    <row r="61">
      <c r="A61" t="inlineStr">
        <is>
          <t>746000</t>
        </is>
      </c>
      <c r="B61" t="inlineStr">
        <is>
          <t>Doorgerekende kosten</t>
        </is>
      </c>
      <c r="C61" t="inlineStr">
        <is>
          <t>O</t>
        </is>
      </c>
      <c r="D61" s="39" t="n">
        <v>0</v>
      </c>
      <c r="E61" s="39" t="n">
        <v>-400</v>
      </c>
    </row>
    <row r="62">
      <c r="A62" t="inlineStr">
        <is>
          <t>757000</t>
        </is>
      </c>
      <c r="B62" t="inlineStr">
        <is>
          <t>Betalingskortingen van leveranciers</t>
        </is>
      </c>
      <c r="C62" t="inlineStr">
        <is>
          <t>O</t>
        </is>
      </c>
      <c r="D62" s="39" t="n">
        <v>0</v>
      </c>
      <c r="E62" s="39" t="n">
        <v>-800</v>
      </c>
    </row>
    <row r="63">
      <c r="B63" t="inlineStr">
        <is>
          <t>TOTAAL (moet 0 zijn)</t>
        </is>
      </c>
      <c r="D63" s="39" t="n">
        <v>0</v>
      </c>
      <c r="E63" s="39"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7" customWidth="1" min="3" max="3"/>
    <col width="10" customWidth="1" min="4" max="4"/>
    <col width="10" customWidth="1" min="5" max="5"/>
    <col width="12" customWidth="1" min="6" max="6"/>
    <col width="10" customWidth="1" min="7" max="7"/>
    <col width="12" customWidth="1" min="8" max="8"/>
    <col width="11" customWidth="1" min="9" max="9"/>
    <col width="11" customWidth="1" min="10" max="10"/>
    <col width="14" customWidth="1" min="11" max="11"/>
  </cols>
  <sheetData>
    <row r="1">
      <c r="A1" s="1" t="inlineStr">
        <is>
          <t>Artikel</t>
        </is>
      </c>
      <c r="B1" s="1" t="inlineStr">
        <is>
          <t>Omschrijving</t>
        </is>
      </c>
      <c r="C1" s="1" t="inlineStr">
        <is>
          <t>Begin</t>
        </is>
      </c>
      <c r="D1" s="1" t="inlineStr">
        <is>
          <t>+ aankopen</t>
        </is>
      </c>
      <c r="E1" s="1" t="inlineStr">
        <is>
          <t>- retours aankoop</t>
        </is>
      </c>
      <c r="F1" s="1" t="inlineStr">
        <is>
          <t>- verkopen (factuur)</t>
        </is>
      </c>
      <c r="G1" s="1" t="inlineStr">
        <is>
          <t>+ retours verkoop</t>
        </is>
      </c>
      <c r="H1" s="1" t="inlineStr">
        <is>
          <t>- dagontvangsten</t>
        </is>
      </c>
      <c r="I1" s="1" t="inlineStr">
        <is>
          <t>Inventaris 31/3</t>
        </is>
      </c>
      <c r="J1" s="1" t="inlineStr">
        <is>
          <t>Aankoopprijs</t>
        </is>
      </c>
      <c r="K1" s="1" t="inlineStr">
        <is>
          <t>Waarde inventaris</t>
        </is>
      </c>
    </row>
    <row r="2">
      <c r="A2" t="inlineStr">
        <is>
          <t>STAD</t>
        </is>
      </c>
      <c r="B2" t="inlineStr">
        <is>
          <t>Stadsfiets City, 7 versnellingen</t>
        </is>
      </c>
      <c r="C2" s="39" t="n">
        <v>7</v>
      </c>
      <c r="D2" s="39" t="n">
        <v>22</v>
      </c>
      <c r="E2" s="39" t="n">
        <v>5</v>
      </c>
      <c r="F2" s="39" t="n">
        <v>18</v>
      </c>
      <c r="G2" s="39" t="n">
        <v>0</v>
      </c>
      <c r="H2" s="39" t="n">
        <v>2</v>
      </c>
      <c r="I2" s="39" t="n">
        <v>4</v>
      </c>
      <c r="J2" s="39" t="n">
        <v>400</v>
      </c>
      <c r="K2" s="39" t="n">
        <v>1600</v>
      </c>
    </row>
    <row r="3">
      <c r="A3" t="inlineStr">
        <is>
          <t>EBIKE</t>
        </is>
      </c>
      <c r="B3" t="inlineStr">
        <is>
          <t>E-bike Comfort, 500 Wh</t>
        </is>
      </c>
      <c r="C3" s="39" t="n">
        <v>2</v>
      </c>
      <c r="D3" s="39" t="n">
        <v>13</v>
      </c>
      <c r="E3" s="39" t="n">
        <v>0</v>
      </c>
      <c r="F3" s="39" t="n">
        <v>14</v>
      </c>
      <c r="G3" s="39" t="n">
        <v>1</v>
      </c>
      <c r="H3" s="39" t="n">
        <v>1</v>
      </c>
      <c r="I3" s="39" t="n">
        <v>1</v>
      </c>
      <c r="J3" s="39" t="n">
        <v>1400</v>
      </c>
      <c r="K3" s="39" t="n">
        <v>1400</v>
      </c>
    </row>
    <row r="4">
      <c r="A4" t="inlineStr">
        <is>
          <t>BAK</t>
        </is>
      </c>
      <c r="B4" t="inlineStr">
        <is>
          <t>Bakfiets Cargo, 2 wielen</t>
        </is>
      </c>
      <c r="C4" s="39" t="n">
        <v>3</v>
      </c>
      <c r="D4" s="39" t="n">
        <v>7</v>
      </c>
      <c r="E4" s="39" t="n">
        <v>1</v>
      </c>
      <c r="F4" s="39" t="n">
        <v>6</v>
      </c>
      <c r="G4" s="39" t="n">
        <v>0</v>
      </c>
      <c r="H4" s="39" t="n">
        <v>0</v>
      </c>
      <c r="I4" s="39" t="n">
        <v>3</v>
      </c>
      <c r="J4" s="39" t="n">
        <v>1800</v>
      </c>
      <c r="K4" s="39" t="n">
        <v>5400</v>
      </c>
    </row>
    <row r="5">
      <c r="A5" t="inlineStr">
        <is>
          <t>KIND</t>
        </is>
      </c>
      <c r="B5" t="inlineStr">
        <is>
          <t>Kinderfiets 20 inch</t>
        </is>
      </c>
      <c r="C5" s="39" t="n">
        <v>8</v>
      </c>
      <c r="D5" s="39" t="n">
        <v>0</v>
      </c>
      <c r="E5" s="39" t="n">
        <v>0</v>
      </c>
      <c r="F5" s="39" t="n">
        <v>4</v>
      </c>
      <c r="G5" s="39" t="n">
        <v>0</v>
      </c>
      <c r="H5" s="39" t="n">
        <v>2</v>
      </c>
      <c r="I5" s="39" t="n">
        <v>2</v>
      </c>
      <c r="J5" s="39" t="n">
        <v>150</v>
      </c>
      <c r="K5" s="39" t="n">
        <v>300</v>
      </c>
    </row>
    <row r="6">
      <c r="A6" t="inlineStr">
        <is>
          <t>HELM</t>
        </is>
      </c>
      <c r="B6" t="inlineStr">
        <is>
          <t>Fietshelm Urban</t>
        </is>
      </c>
      <c r="C6" s="39" t="n">
        <v>10</v>
      </c>
      <c r="D6" s="39" t="n">
        <v>30</v>
      </c>
      <c r="E6" s="39" t="n">
        <v>0</v>
      </c>
      <c r="F6" s="39" t="n">
        <v>16</v>
      </c>
      <c r="G6" s="39" t="n">
        <v>0</v>
      </c>
      <c r="H6" s="39" t="n">
        <v>8</v>
      </c>
      <c r="I6" s="39" t="n">
        <v>16</v>
      </c>
      <c r="J6" s="39" t="n">
        <v>30</v>
      </c>
      <c r="K6" s="39" t="n">
        <v>480</v>
      </c>
    </row>
    <row r="7">
      <c r="A7" t="inlineStr">
        <is>
          <t>SLOT</t>
        </is>
      </c>
      <c r="B7" t="inlineStr">
        <is>
          <t>Plooislot</t>
        </is>
      </c>
      <c r="C7" s="39" t="n">
        <v>26</v>
      </c>
      <c r="D7" s="39" t="n">
        <v>5</v>
      </c>
      <c r="E7" s="39" t="n">
        <v>0</v>
      </c>
      <c r="F7" s="39" t="n">
        <v>0</v>
      </c>
      <c r="G7" s="39" t="n">
        <v>0</v>
      </c>
      <c r="H7" s="39" t="n">
        <v>6</v>
      </c>
      <c r="I7" s="39" t="n">
        <v>25</v>
      </c>
      <c r="J7" s="39" t="n">
        <v>20</v>
      </c>
      <c r="K7" s="39" t="n">
        <v>500</v>
      </c>
    </row>
    <row r="8">
      <c r="A8" t="inlineStr">
        <is>
          <t>BAND</t>
        </is>
      </c>
      <c r="B8" t="inlineStr">
        <is>
          <t>Buitenband 28 inch</t>
        </is>
      </c>
      <c r="C8" s="39" t="n">
        <v>26</v>
      </c>
      <c r="D8" s="39" t="n">
        <v>0</v>
      </c>
      <c r="E8" s="39" t="n">
        <v>0</v>
      </c>
      <c r="F8" s="39" t="n">
        <v>0</v>
      </c>
      <c r="G8" s="39" t="n">
        <v>0</v>
      </c>
      <c r="H8" s="39" t="n">
        <v>6</v>
      </c>
      <c r="I8" s="39" t="n">
        <v>20</v>
      </c>
      <c r="J8" s="39" t="n">
        <v>15</v>
      </c>
      <c r="K8" s="39" t="n">
        <v>300</v>
      </c>
    </row>
    <row r="9">
      <c r="A9" t="inlineStr">
        <is>
          <t>KET</t>
        </is>
      </c>
      <c r="B9" t="inlineStr">
        <is>
          <t>Fietsketting 8 speed</t>
        </is>
      </c>
      <c r="C9" s="39" t="n">
        <v>9</v>
      </c>
      <c r="D9" s="39" t="n">
        <v>20</v>
      </c>
      <c r="E9" s="39" t="n">
        <v>0</v>
      </c>
      <c r="F9" s="39" t="n">
        <v>0</v>
      </c>
      <c r="G9" s="39" t="n">
        <v>0</v>
      </c>
      <c r="H9" s="39" t="n">
        <v>9</v>
      </c>
      <c r="I9" s="39" t="n">
        <v>20</v>
      </c>
      <c r="J9" s="39" t="n">
        <v>10</v>
      </c>
      <c r="K9" s="39" t="n">
        <v>200</v>
      </c>
    </row>
    <row r="10">
      <c r="A10" t="inlineStr">
        <is>
          <t>LAMP</t>
        </is>
      </c>
      <c r="B10" t="inlineStr">
        <is>
          <t>Verlichtingsset LED</t>
        </is>
      </c>
      <c r="C10" s="39" t="n">
        <v>6</v>
      </c>
      <c r="D10" s="39" t="n">
        <v>15</v>
      </c>
      <c r="E10" s="39" t="n">
        <v>0</v>
      </c>
      <c r="F10" s="39" t="n">
        <v>10</v>
      </c>
      <c r="G10" s="39" t="n">
        <v>0</v>
      </c>
      <c r="H10" s="39" t="n">
        <v>4</v>
      </c>
      <c r="I10" s="39" t="n">
        <v>7</v>
      </c>
      <c r="J10" s="39" t="n">
        <v>25</v>
      </c>
      <c r="K10" s="39" t="n">
        <v>175</v>
      </c>
    </row>
    <row r="11">
      <c r="B11" t="inlineStr">
        <is>
          <t>Totaal</t>
        </is>
      </c>
      <c r="K11" s="39" t="n">
        <v>10355</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58"/>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 width="12" customWidth="1" min="3" max="3"/>
    <col width="10" customWidth="1" min="4" max="4"/>
    <col width="10" customWidth="1" min="5" max="5"/>
    <col width="18" customWidth="1" min="6" max="6"/>
    <col width="16" customWidth="1" min="7" max="7"/>
    <col width="16" customWidth="1" min="8" max="8"/>
  </cols>
  <sheetData>
    <row r="1">
      <c r="A1" s="1" t="inlineStr">
        <is>
          <t>Afsluiting 31 maart 2028 (zie ook J3 Journaal: BTW, AFSCHR, LENING, VR, BELASTING, RESULTAAT)</t>
        </is>
      </c>
    </row>
    <row r="2">
      <c r="A2" s="42" t="inlineStr">
        <is>
          <t>AFSCHRIJVINGEN 1E KWARTAAL</t>
        </is>
      </c>
    </row>
    <row r="3">
      <c r="A3" t="inlineStr">
        <is>
          <t>Omschrijving</t>
        </is>
      </c>
      <c r="B3" t="inlineStr">
        <is>
          <t>Rekening</t>
        </is>
      </c>
      <c r="C3" t="inlineStr">
        <is>
          <t>Aanschaf</t>
        </is>
      </c>
      <c r="D3" t="inlineStr">
        <is>
          <t>Jaren</t>
        </is>
      </c>
      <c r="E3" t="inlineStr">
        <is>
          <t>Per jaar</t>
        </is>
      </c>
      <c r="F3" t="inlineStr">
        <is>
          <t>Reeds afgeschreven</t>
        </is>
      </c>
      <c r="G3" t="inlineStr">
        <is>
          <t>1e kwartaal 2028</t>
        </is>
      </c>
      <c r="H3" t="inlineStr">
        <is>
          <t>Boekwaarde 31/3</t>
        </is>
      </c>
    </row>
    <row r="4">
      <c r="A4" t="inlineStr">
        <is>
          <t>Bakfiets voor leveringen</t>
        </is>
      </c>
      <c r="B4" t="inlineStr">
        <is>
          <t>241000</t>
        </is>
      </c>
      <c r="C4" s="39" t="n">
        <v>6000</v>
      </c>
      <c r="D4" s="39" t="n">
        <v>5</v>
      </c>
      <c r="E4" s="39" t="n">
        <v>1200</v>
      </c>
      <c r="F4" s="39" t="n">
        <v>2400</v>
      </c>
      <c r="G4" s="39" t="n">
        <v>300</v>
      </c>
      <c r="H4" s="39" t="n">
        <v>3300</v>
      </c>
    </row>
    <row r="5">
      <c r="A5" t="inlineStr">
        <is>
          <t>Werkbank met bankschroef en gereedschapswand</t>
        </is>
      </c>
      <c r="B5" t="inlineStr">
        <is>
          <t>230000</t>
        </is>
      </c>
      <c r="C5" s="39" t="n">
        <v>1500</v>
      </c>
      <c r="D5" s="39" t="n">
        <v>5</v>
      </c>
      <c r="E5" s="39" t="n">
        <v>300</v>
      </c>
      <c r="F5" s="39" t="n">
        <v>600</v>
      </c>
      <c r="G5" s="39" t="n">
        <v>75</v>
      </c>
      <c r="H5" s="39" t="n">
        <v>825</v>
      </c>
    </row>
    <row r="6">
      <c r="A6" t="inlineStr">
        <is>
          <t>Kassasysteem met touchscreen</t>
        </is>
      </c>
      <c r="B6" t="inlineStr">
        <is>
          <t>240200</t>
        </is>
      </c>
      <c r="C6" s="39" t="n">
        <v>1200</v>
      </c>
      <c r="D6" s="39" t="n">
        <v>3</v>
      </c>
      <c r="E6" s="39" t="n">
        <v>400</v>
      </c>
      <c r="F6" s="39" t="n">
        <v>800</v>
      </c>
      <c r="G6" s="39" t="n">
        <v>100</v>
      </c>
      <c r="H6" s="39" t="n">
        <v>300</v>
      </c>
    </row>
    <row r="7">
      <c r="A7" t="inlineStr">
        <is>
          <t>Montagestandaard voor fietsen</t>
        </is>
      </c>
      <c r="B7" t="inlineStr">
        <is>
          <t>232000</t>
        </is>
      </c>
      <c r="C7" s="39" t="n">
        <v>500</v>
      </c>
      <c r="D7" s="39" t="n">
        <v>5</v>
      </c>
      <c r="E7" s="39" t="n">
        <v>100</v>
      </c>
      <c r="F7" s="39" t="n">
        <v>200</v>
      </c>
      <c r="G7" s="39" t="n">
        <v>25</v>
      </c>
      <c r="H7" s="39" t="n">
        <v>275</v>
      </c>
    </row>
    <row r="8">
      <c r="A8" t="inlineStr">
        <is>
          <t>Laptop voor administratie en webshop</t>
        </is>
      </c>
      <c r="B8" t="inlineStr">
        <is>
          <t>240200</t>
        </is>
      </c>
      <c r="C8" s="39" t="n">
        <v>900</v>
      </c>
      <c r="D8" s="39" t="n">
        <v>3</v>
      </c>
      <c r="E8" s="39" t="n">
        <v>300</v>
      </c>
      <c r="F8" s="39" t="n">
        <v>600</v>
      </c>
      <c r="G8" s="39" t="n">
        <v>75</v>
      </c>
      <c r="H8" s="39" t="n">
        <v>225</v>
      </c>
    </row>
    <row r="9">
      <c r="A9" t="inlineStr">
        <is>
          <t>Bestelwagen (lichte vracht), elektrisch</t>
        </is>
      </c>
      <c r="B9" t="inlineStr">
        <is>
          <t>241000</t>
        </is>
      </c>
      <c r="C9" s="39" t="n">
        <v>24000</v>
      </c>
      <c r="D9" s="39" t="n">
        <v>5</v>
      </c>
      <c r="E9" s="39" t="n">
        <v>4800</v>
      </c>
      <c r="F9" s="39" t="n">
        <v>4800</v>
      </c>
      <c r="G9" s="39" t="n">
        <v>1200</v>
      </c>
      <c r="H9" s="39" t="n">
        <v>18000</v>
      </c>
    </row>
    <row r="10">
      <c r="A10" t="inlineStr">
        <is>
          <t>Wielrichtbank en tweede montagestandaard (DW-28-0006)</t>
        </is>
      </c>
      <c r="B10" t="inlineStr">
        <is>
          <t>232000</t>
        </is>
      </c>
      <c r="C10" s="39" t="n">
        <v>2200</v>
      </c>
      <c r="D10" s="39" t="n">
        <v>5</v>
      </c>
      <c r="E10" s="39" t="n">
        <v>440</v>
      </c>
      <c r="F10" s="39" t="n">
        <v>0</v>
      </c>
      <c r="G10" s="39" t="n">
        <v>110</v>
      </c>
      <c r="H10" s="39" t="n">
        <v>2090</v>
      </c>
    </row>
    <row r="11">
      <c r="A11" t="inlineStr">
        <is>
          <t>Tablet met werkbonsoftware (KT-2028-118)</t>
        </is>
      </c>
      <c r="B11" t="inlineStr">
        <is>
          <t>240200</t>
        </is>
      </c>
      <c r="C11" s="39" t="n">
        <v>1200</v>
      </c>
      <c r="D11" s="39" t="n">
        <v>3</v>
      </c>
      <c r="E11" s="39" t="n">
        <v>400</v>
      </c>
      <c r="F11" s="39" t="n">
        <v>0</v>
      </c>
      <c r="G11" s="39" t="n">
        <v>100</v>
      </c>
      <c r="H11" s="39" t="n">
        <v>1100</v>
      </c>
    </row>
    <row r="12"/>
    <row r="13">
      <c r="A13" s="42" t="inlineStr">
        <is>
          <t>LENING 2027-0042</t>
        </is>
      </c>
    </row>
    <row r="14">
      <c r="A14" t="inlineStr">
        <is>
          <t>Nr</t>
        </is>
      </c>
      <c r="B14" t="inlineStr">
        <is>
          <t>Vervaldag</t>
        </is>
      </c>
      <c r="C14" t="inlineStr">
        <is>
          <t>Kapitaal</t>
        </is>
      </c>
      <c r="D14" t="inlineStr">
        <is>
          <t>Intrest</t>
        </is>
      </c>
      <c r="E14" t="inlineStr">
        <is>
          <t>Te betalen</t>
        </is>
      </c>
      <c r="F14" t="inlineStr">
        <is>
          <t>Nog af te lossen</t>
        </is>
      </c>
    </row>
    <row r="15">
      <c r="A15" s="39" t="n">
        <v>1</v>
      </c>
      <c r="B15" s="40" t="n">
        <v>46508</v>
      </c>
      <c r="C15" s="39" t="n">
        <v>1500</v>
      </c>
      <c r="D15" s="39" t="n">
        <v>300</v>
      </c>
      <c r="E15" s="39" t="n">
        <v>1800</v>
      </c>
      <c r="F15" s="39" t="n">
        <v>28500</v>
      </c>
    </row>
    <row r="16">
      <c r="A16" s="39" t="n">
        <v>2</v>
      </c>
      <c r="B16" s="40" t="n">
        <v>46600</v>
      </c>
      <c r="C16" s="39" t="n">
        <v>1500</v>
      </c>
      <c r="D16" s="39" t="n">
        <v>285</v>
      </c>
      <c r="E16" s="39" t="n">
        <v>1785</v>
      </c>
      <c r="F16" s="39" t="n">
        <v>27000</v>
      </c>
    </row>
    <row r="17">
      <c r="A17" s="39" t="n">
        <v>3</v>
      </c>
      <c r="B17" s="40" t="n">
        <v>46692</v>
      </c>
      <c r="C17" s="39" t="n">
        <v>1500</v>
      </c>
      <c r="D17" s="39" t="n">
        <v>270</v>
      </c>
      <c r="E17" s="39" t="n">
        <v>1770</v>
      </c>
      <c r="F17" s="39" t="n">
        <v>25500</v>
      </c>
    </row>
    <row r="18">
      <c r="A18" s="39" t="n">
        <v>4</v>
      </c>
      <c r="B18" s="40" t="n">
        <v>46784</v>
      </c>
      <c r="C18" s="39" t="n">
        <v>1500</v>
      </c>
      <c r="D18" s="39" t="n">
        <v>255</v>
      </c>
      <c r="E18" s="39" t="n">
        <v>1755</v>
      </c>
      <c r="F18" s="39" t="n">
        <v>24000</v>
      </c>
    </row>
    <row r="19">
      <c r="A19" s="39" t="n">
        <v>5</v>
      </c>
      <c r="B19" s="40" t="n">
        <v>46874</v>
      </c>
      <c r="C19" s="39" t="n">
        <v>1500</v>
      </c>
      <c r="D19" s="39" t="n">
        <v>240</v>
      </c>
      <c r="E19" s="39" t="n">
        <v>1740</v>
      </c>
      <c r="F19" s="39" t="n">
        <v>22500</v>
      </c>
    </row>
    <row r="20">
      <c r="A20" s="39" t="n">
        <v>6</v>
      </c>
      <c r="B20" s="40" t="n">
        <v>46966</v>
      </c>
      <c r="C20" s="39" t="n">
        <v>1500</v>
      </c>
      <c r="D20" s="39" t="n">
        <v>225</v>
      </c>
      <c r="E20" s="39" t="n">
        <v>1725</v>
      </c>
      <c r="F20" s="39" t="n">
        <v>21000</v>
      </c>
    </row>
    <row r="21">
      <c r="A21" s="39" t="n">
        <v>7</v>
      </c>
      <c r="B21" s="40" t="n">
        <v>47058</v>
      </c>
      <c r="C21" s="39" t="n">
        <v>1500</v>
      </c>
      <c r="D21" s="39" t="n">
        <v>210</v>
      </c>
      <c r="E21" s="39" t="n">
        <v>1710</v>
      </c>
      <c r="F21" s="39" t="n">
        <v>19500</v>
      </c>
    </row>
    <row r="22">
      <c r="A22" s="39" t="n">
        <v>8</v>
      </c>
      <c r="B22" s="40" t="n">
        <v>47150</v>
      </c>
      <c r="C22" s="39" t="n">
        <v>1500</v>
      </c>
      <c r="D22" s="39" t="n">
        <v>195</v>
      </c>
      <c r="E22" s="39" t="n">
        <v>1695</v>
      </c>
      <c r="F22" s="39" t="n">
        <v>18000</v>
      </c>
    </row>
    <row r="23">
      <c r="A23" s="39" t="n">
        <v>9</v>
      </c>
      <c r="B23" s="40" t="n">
        <v>47239</v>
      </c>
      <c r="C23" s="39" t="n">
        <v>1500</v>
      </c>
      <c r="D23" s="39" t="n">
        <v>180</v>
      </c>
      <c r="E23" s="39" t="n">
        <v>1680</v>
      </c>
      <c r="F23" s="39" t="n">
        <v>16500</v>
      </c>
    </row>
    <row r="24">
      <c r="A24" s="39" t="n">
        <v>10</v>
      </c>
      <c r="B24" s="40" t="n">
        <v>47331</v>
      </c>
      <c r="C24" s="39" t="n">
        <v>1500</v>
      </c>
      <c r="D24" s="39" t="n">
        <v>165</v>
      </c>
      <c r="E24" s="39" t="n">
        <v>1665</v>
      </c>
      <c r="F24" s="39" t="n">
        <v>15000</v>
      </c>
    </row>
    <row r="25">
      <c r="A25" s="39" t="n">
        <v>11</v>
      </c>
      <c r="B25" s="40" t="n">
        <v>47423</v>
      </c>
      <c r="C25" s="39" t="n">
        <v>1500</v>
      </c>
      <c r="D25" s="39" t="n">
        <v>150</v>
      </c>
      <c r="E25" s="39" t="n">
        <v>1650</v>
      </c>
      <c r="F25" s="39" t="n">
        <v>13500</v>
      </c>
    </row>
    <row r="26">
      <c r="A26" s="39" t="n">
        <v>12</v>
      </c>
      <c r="B26" s="40" t="n">
        <v>47515</v>
      </c>
      <c r="C26" s="39" t="n">
        <v>1500</v>
      </c>
      <c r="D26" s="39" t="n">
        <v>135</v>
      </c>
      <c r="E26" s="39" t="n">
        <v>1635</v>
      </c>
      <c r="F26" s="39" t="n">
        <v>12000</v>
      </c>
    </row>
    <row r="27">
      <c r="A27" s="39" t="n">
        <v>13</v>
      </c>
      <c r="B27" s="40" t="n">
        <v>47604</v>
      </c>
      <c r="C27" s="39" t="n">
        <v>1500</v>
      </c>
      <c r="D27" s="39" t="n">
        <v>120</v>
      </c>
      <c r="E27" s="39" t="n">
        <v>1620</v>
      </c>
      <c r="F27" s="39" t="n">
        <v>10500</v>
      </c>
    </row>
    <row r="28">
      <c r="A28" s="39" t="n">
        <v>14</v>
      </c>
      <c r="B28" s="40" t="n">
        <v>47696</v>
      </c>
      <c r="C28" s="39" t="n">
        <v>1500</v>
      </c>
      <c r="D28" s="39" t="n">
        <v>105</v>
      </c>
      <c r="E28" s="39" t="n">
        <v>1605</v>
      </c>
      <c r="F28" s="39" t="n">
        <v>9000</v>
      </c>
    </row>
    <row r="29">
      <c r="A29" s="39" t="n">
        <v>15</v>
      </c>
      <c r="B29" s="40" t="n">
        <v>47788</v>
      </c>
      <c r="C29" s="39" t="n">
        <v>1500</v>
      </c>
      <c r="D29" s="39" t="n">
        <v>90</v>
      </c>
      <c r="E29" s="39" t="n">
        <v>1590</v>
      </c>
      <c r="F29" s="39" t="n">
        <v>7500</v>
      </c>
    </row>
    <row r="30">
      <c r="A30" s="39" t="n">
        <v>16</v>
      </c>
      <c r="B30" s="40" t="n">
        <v>47880</v>
      </c>
      <c r="C30" s="39" t="n">
        <v>1500</v>
      </c>
      <c r="D30" s="39" t="n">
        <v>75</v>
      </c>
      <c r="E30" s="39" t="n">
        <v>1575</v>
      </c>
      <c r="F30" s="39" t="n">
        <v>6000</v>
      </c>
    </row>
    <row r="31">
      <c r="A31" s="39" t="n">
        <v>17</v>
      </c>
      <c r="B31" s="40" t="n">
        <v>47969</v>
      </c>
      <c r="C31" s="39" t="n">
        <v>1500</v>
      </c>
      <c r="D31" s="39" t="n">
        <v>60</v>
      </c>
      <c r="E31" s="39" t="n">
        <v>1560</v>
      </c>
      <c r="F31" s="39" t="n">
        <v>4500</v>
      </c>
    </row>
    <row r="32">
      <c r="A32" s="39" t="n">
        <v>18</v>
      </c>
      <c r="B32" s="40" t="n">
        <v>48061</v>
      </c>
      <c r="C32" s="39" t="n">
        <v>1500</v>
      </c>
      <c r="D32" s="39" t="n">
        <v>45</v>
      </c>
      <c r="E32" s="39" t="n">
        <v>1545</v>
      </c>
      <c r="F32" s="39" t="n">
        <v>3000</v>
      </c>
    </row>
    <row r="33">
      <c r="A33" s="39" t="n">
        <v>19</v>
      </c>
      <c r="B33" s="40" t="n">
        <v>48153</v>
      </c>
      <c r="C33" s="39" t="n">
        <v>1500</v>
      </c>
      <c r="D33" s="39" t="n">
        <v>30</v>
      </c>
      <c r="E33" s="39" t="n">
        <v>1530</v>
      </c>
      <c r="F33" s="39" t="n">
        <v>1500</v>
      </c>
    </row>
    <row r="34">
      <c r="A34" s="39" t="n">
        <v>20</v>
      </c>
      <c r="B34" s="40" t="n">
        <v>48245</v>
      </c>
      <c r="C34" s="39" t="n">
        <v>1500</v>
      </c>
      <c r="D34" s="39" t="n">
        <v>15</v>
      </c>
      <c r="E34" s="39" t="n">
        <v>1515</v>
      </c>
      <c r="F34" s="39" t="n">
        <v>0</v>
      </c>
    </row>
    <row r="35"/>
    <row r="36">
      <c r="A36" s="42" t="inlineStr">
        <is>
          <t>RESULTAAT</t>
        </is>
      </c>
    </row>
    <row r="37">
      <c r="A37" t="inlineStr">
        <is>
          <t>Opbrengsten</t>
        </is>
      </c>
      <c r="B37" s="39" t="n">
        <v>65100</v>
      </c>
    </row>
    <row r="38">
      <c r="A38" t="inlineStr">
        <is>
          <t>Kosten (vóór belasting)</t>
        </is>
      </c>
      <c r="B38" s="39" t="n">
        <v>60125</v>
      </c>
    </row>
    <row r="39">
      <c r="A39" t="inlineStr">
        <is>
          <t>Winst vóór belasting</t>
        </is>
      </c>
      <c r="B39" s="39" t="n">
        <v>4975</v>
      </c>
    </row>
    <row r="40">
      <c r="A40" t="inlineStr">
        <is>
          <t>Vennootschapsbelasting 20%</t>
        </is>
      </c>
      <c r="B40" s="39" t="n">
        <v>995</v>
      </c>
    </row>
    <row r="41">
      <c r="A41" t="inlineStr">
        <is>
          <t>Winst na belasting</t>
        </is>
      </c>
      <c r="B41" s="39" t="n">
        <v>3980</v>
      </c>
    </row>
    <row r="42">
      <c r="A42" t="inlineStr">
        <is>
          <t>Wettelijke reserve (5%, tot 10% van het kapitaal)</t>
        </is>
      </c>
      <c r="B42" s="39" t="n">
        <v>199</v>
      </c>
    </row>
    <row r="43">
      <c r="A43" t="inlineStr">
        <is>
          <t>Over te dragen winst</t>
        </is>
      </c>
      <c r="B43" s="39" t="n">
        <v>3781</v>
      </c>
    </row>
    <row r="44"/>
    <row r="45">
      <c r="A45" s="42" t="inlineStr">
        <is>
          <t>OPEN OP 31 MAART 2028</t>
        </is>
      </c>
    </row>
    <row r="46">
      <c r="A46" t="inlineStr">
        <is>
          <t>HelmHuis bv</t>
        </is>
      </c>
      <c r="B46" t="inlineStr">
        <is>
          <t>440000</t>
        </is>
      </c>
      <c r="C46" s="39" t="n">
        <v>-1089</v>
      </c>
    </row>
    <row r="47">
      <c r="A47" t="inlineStr">
        <is>
          <t>Spaakwerk bv</t>
        </is>
      </c>
      <c r="B47" t="inlineStr">
        <is>
          <t>440000</t>
        </is>
      </c>
      <c r="C47" s="39" t="n">
        <v>-726</v>
      </c>
    </row>
    <row r="48">
      <c r="A48" t="inlineStr">
        <is>
          <t>Stroomkracht nv</t>
        </is>
      </c>
      <c r="B48" t="inlineStr">
        <is>
          <t>440000</t>
        </is>
      </c>
      <c r="C48" s="39" t="n">
        <v>-968</v>
      </c>
    </row>
    <row r="49">
      <c r="A49" t="inlineStr">
        <is>
          <t>Drukkerij Peeters bv</t>
        </is>
      </c>
      <c r="B49" t="inlineStr">
        <is>
          <t>440000</t>
        </is>
      </c>
      <c r="C49" s="39" t="n">
        <v>-726</v>
      </c>
    </row>
    <row r="50">
      <c r="A50" t="inlineStr">
        <is>
          <t>Deprez Werkplaatsinrichting bv</t>
        </is>
      </c>
      <c r="B50" t="inlineStr">
        <is>
          <t>440000</t>
        </is>
      </c>
      <c r="C50" s="39" t="n">
        <v>-2662</v>
      </c>
    </row>
    <row r="51">
      <c r="A51" t="inlineStr">
        <is>
          <t>Kassatech bv</t>
        </is>
      </c>
      <c r="B51" t="inlineStr">
        <is>
          <t>440000</t>
        </is>
      </c>
      <c r="C51" s="39" t="n">
        <v>-1452</v>
      </c>
    </row>
    <row r="52">
      <c r="A52" t="inlineStr">
        <is>
          <t>Gerzo Verzekeringen nv</t>
        </is>
      </c>
      <c r="B52" t="inlineStr">
        <is>
          <t>440000</t>
        </is>
      </c>
      <c r="C52" s="39" t="n">
        <v>-1800</v>
      </c>
    </row>
    <row r="53">
      <c r="A53" t="inlineStr">
        <is>
          <t>Hotel De Linde bv</t>
        </is>
      </c>
      <c r="B53" t="inlineStr">
        <is>
          <t>400000</t>
        </is>
      </c>
      <c r="C53" s="39" t="n">
        <v>2392</v>
      </c>
    </row>
    <row r="54">
      <c r="A54" t="inlineStr">
        <is>
          <t>Velocity Deelfietsen bv</t>
        </is>
      </c>
      <c r="B54" t="inlineStr">
        <is>
          <t>400000</t>
        </is>
      </c>
      <c r="C54" s="39" t="n">
        <v>9196</v>
      </c>
    </row>
    <row r="55">
      <c r="A55" t="inlineStr">
        <is>
          <t>Brouwerij Van Acker bv</t>
        </is>
      </c>
      <c r="B55" t="inlineStr">
        <is>
          <t>400000</t>
        </is>
      </c>
      <c r="C55" s="39" t="n">
        <v>9680</v>
      </c>
    </row>
    <row r="56">
      <c r="A56" t="inlineStr">
        <is>
          <t>Bytewise bv</t>
        </is>
      </c>
      <c r="B56" t="inlineStr">
        <is>
          <t>400000</t>
        </is>
      </c>
      <c r="C56" s="39" t="n">
        <v>11616</v>
      </c>
    </row>
    <row r="57">
      <c r="A57" t="inlineStr">
        <is>
          <t>Loonwijs vzw</t>
        </is>
      </c>
      <c r="B57" t="inlineStr">
        <is>
          <t>440000</t>
        </is>
      </c>
      <c r="C57" s="39" t="n">
        <v>-2462</v>
      </c>
    </row>
    <row r="58">
      <c r="A58" t="inlineStr">
        <is>
          <t>Preventa vzw</t>
        </is>
      </c>
      <c r="B58" t="inlineStr">
        <is>
          <t>440000</t>
        </is>
      </c>
      <c r="C58" s="39" t="n">
        <v>-140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2026-10-03T15:41:11Z</dcterms:created>
  <dcterms:modified xmlns:dcterms="http://purl.org/dc/terms/" xmlns:xsi="http://www.w3.org/2001/XMLSchema-instance" xsi:type="dcterms:W3CDTF">2026-10-12T17:24:41Z</dcterms:modified>
  <cp:lastModifiedBy>Celine Tytgadt</cp:lastModifiedBy>
  <cp:revision>0</cp:revision>
</cp:coreProperties>
</file>